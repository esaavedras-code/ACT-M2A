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M2A (GD)\CARRETERAS\DOCUMENTOS CARRETERAS\FORMAS Y DOCUMENTOS ACT\Force account\"/>
    </mc:Choice>
  </mc:AlternateContent>
  <xr:revisionPtr revIDLastSave="0" documentId="8_{0ADA95A9-EEEF-4E66-96F2-A42BA9FBC6F6}" xr6:coauthVersionLast="47" xr6:coauthVersionMax="47" xr10:uidLastSave="{00000000-0000-0000-0000-000000000000}"/>
  <bookViews>
    <workbookView xWindow="-28920" yWindow="-1950" windowWidth="29040" windowHeight="15720" xr2:uid="{C4FE65A9-9B95-4408-9CDF-3870C09E9DF0}"/>
  </bookViews>
  <sheets>
    <sheet name="Equipo FA 50" sheetId="1" r:id="rId1"/>
  </sheets>
  <externalReferences>
    <externalReference r:id="rId2"/>
  </externalReferences>
  <definedNames>
    <definedName name="Desc_EQ">[1]DBPCFA!$Q:$Q</definedName>
    <definedName name="Desc_Equipos">'[1]Inf. Diario 49'!$AC$3:$AC$152</definedName>
    <definedName name="Desc_MS">[1]DBPCFA!$Z:$Z</definedName>
    <definedName name="Descripción">OFFSET(Desc_Equipos,0,0,'[1]Inf. Diario 49'!$AC$1,1)</definedName>
    <definedName name="Dia_ID">OFFSET('[1]Inf. Diario 49'!$T$2:$T$34,0,0,'[1]Inf. Diario 49'!$U$2,1)</definedName>
    <definedName name="EQ_Cont">'[1]Equipo Contratista'!$A:$K</definedName>
    <definedName name="EQ_HAct">[1]DBPCFA!$R:$R</definedName>
    <definedName name="EQ_HInac">[1]DBPCFA!$S:$S</definedName>
    <definedName name="Equipos">'[1]Equipo Contratista'!$A$2:$K$151</definedName>
    <definedName name="Fecha_Inf_EQ">[1]DBPCFA!$O:$O</definedName>
    <definedName name="Fecha_Inf_MS">[1]DBPCFA!$X:$X</definedName>
    <definedName name="Fecha_Inf_PC">[1]DBPCFA!$C:$C</definedName>
    <definedName name="Loc_EQ">[1]DBPCFA!$L:$L</definedName>
    <definedName name="Loc_MS">[1]DBPCFA!$V:$V</definedName>
    <definedName name="Loc_PC">[1]DBPCFA!$A:$A</definedName>
    <definedName name="Mes_FA_PC">[1]DBPCFA!$D:$D</definedName>
    <definedName name="MY_FA">[1]DBPCFA!$AL:$AL</definedName>
    <definedName name="Nombre_Apellidos">'[1]Empleados Contratista'!$A$2:$A$51</definedName>
    <definedName name="Nombre_y_Apellidos">'[1]Inf. Diario 49'!$AB$3:$AB$52</definedName>
    <definedName name="Nombres">OFFSET(Nombre_y_Apellidos,0,0,'[1]Inf. Diario 49'!$AB$1,1)</definedName>
    <definedName name="Pag_CO">[1]DBPCFA!$AG:$AG</definedName>
    <definedName name="Pag_PC">[1]DBPCFA!$B:$B</definedName>
    <definedName name="_xlnm.Print_Area" localSheetId="0">'Equipo FA 50'!$B$1:$AK$48,'Equipo FA 50'!$B$51:$AK$98,'Equipo FA 50'!$B$101:$AK$148</definedName>
    <definedName name="Total_MS">[1]DBPCFA!$AD:$AD</definedName>
    <definedName name="Total_PC">[1]DBPCFA!$H:$H</definedName>
    <definedName name="Union_PC">[1]DBPCFA!$I:$I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1" i="1" l="1"/>
  <c r="C130" i="1"/>
  <c r="C146" i="1" s="1"/>
  <c r="AM129" i="1"/>
  <c r="C128" i="1"/>
  <c r="AM127" i="1"/>
  <c r="C126" i="1"/>
  <c r="F144" i="1" s="1"/>
  <c r="AM125" i="1"/>
  <c r="C124" i="1"/>
  <c r="Z143" i="1" s="1"/>
  <c r="AM123" i="1"/>
  <c r="C122" i="1"/>
  <c r="C142" i="1" s="1"/>
  <c r="AM121" i="1"/>
  <c r="C120" i="1"/>
  <c r="AM119" i="1"/>
  <c r="C118" i="1"/>
  <c r="F140" i="1" s="1"/>
  <c r="AM117" i="1"/>
  <c r="C116" i="1"/>
  <c r="AM115" i="1"/>
  <c r="C114" i="1"/>
  <c r="AM113" i="1"/>
  <c r="C112" i="1"/>
  <c r="AJ111" i="1"/>
  <c r="AJ110" i="1"/>
  <c r="AI110" i="1"/>
  <c r="AI111" i="1" s="1"/>
  <c r="AH110" i="1"/>
  <c r="AH111" i="1" s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AE108" i="1"/>
  <c r="AE107" i="1"/>
  <c r="Y106" i="1"/>
  <c r="T106" i="1"/>
  <c r="O106" i="1"/>
  <c r="AN101" i="1"/>
  <c r="Z95" i="1"/>
  <c r="F95" i="1"/>
  <c r="Z93" i="1"/>
  <c r="C88" i="1"/>
  <c r="AM81" i="1"/>
  <c r="C80" i="1"/>
  <c r="AM79" i="1"/>
  <c r="C78" i="1"/>
  <c r="AM77" i="1"/>
  <c r="C76" i="1"/>
  <c r="AM75" i="1"/>
  <c r="C74" i="1"/>
  <c r="AM73" i="1"/>
  <c r="C72" i="1"/>
  <c r="C92" i="1" s="1"/>
  <c r="AM71" i="1"/>
  <c r="C70" i="1"/>
  <c r="C91" i="1" s="1"/>
  <c r="D91" i="1" s="1"/>
  <c r="AM69" i="1"/>
  <c r="C68" i="1"/>
  <c r="Z90" i="1" s="1"/>
  <c r="AM67" i="1"/>
  <c r="C66" i="1"/>
  <c r="AM65" i="1"/>
  <c r="C64" i="1"/>
  <c r="AM63" i="1"/>
  <c r="C62" i="1"/>
  <c r="C87" i="1" s="1"/>
  <c r="D87" i="1" s="1"/>
  <c r="AI61" i="1"/>
  <c r="AH61" i="1"/>
  <c r="AJ60" i="1"/>
  <c r="AJ61" i="1" s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AE58" i="1"/>
  <c r="AE57" i="1"/>
  <c r="Y56" i="1"/>
  <c r="T56" i="1"/>
  <c r="O56" i="1"/>
  <c r="F42" i="1"/>
  <c r="AM31" i="1"/>
  <c r="C30" i="1"/>
  <c r="C46" i="1" s="1"/>
  <c r="D46" i="1" s="1"/>
  <c r="AM29" i="1"/>
  <c r="C28" i="1"/>
  <c r="AH29" i="1" s="1"/>
  <c r="AM27" i="1"/>
  <c r="C26" i="1"/>
  <c r="C44" i="1" s="1"/>
  <c r="E44" i="1" s="1"/>
  <c r="AM25" i="1"/>
  <c r="C24" i="1"/>
  <c r="AM23" i="1"/>
  <c r="C22" i="1"/>
  <c r="X23" i="1" s="1"/>
  <c r="AM21" i="1"/>
  <c r="C20" i="1"/>
  <c r="AJ21" i="1" s="1"/>
  <c r="AM19" i="1"/>
  <c r="C18" i="1"/>
  <c r="AM17" i="1"/>
  <c r="C16" i="1"/>
  <c r="AI17" i="1" s="1"/>
  <c r="AM15" i="1"/>
  <c r="C14" i="1"/>
  <c r="AD15" i="1" s="1"/>
  <c r="AM13" i="1"/>
  <c r="C12" i="1"/>
  <c r="AJ13" i="1" s="1"/>
  <c r="AJ11" i="1"/>
  <c r="AI11" i="1"/>
  <c r="AJ10" i="1"/>
  <c r="AI10" i="1"/>
  <c r="AH10" i="1"/>
  <c r="AH11" i="1" s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E8" i="1"/>
  <c r="E8" i="1"/>
  <c r="E108" i="1" s="1"/>
  <c r="AE7" i="1"/>
  <c r="E7" i="1"/>
  <c r="Y6" i="1"/>
  <c r="T6" i="1"/>
  <c r="O6" i="1"/>
  <c r="AN1" i="1"/>
  <c r="V115" i="1" s="1"/>
  <c r="S12" i="1" l="1"/>
  <c r="AI12" i="1"/>
  <c r="S13" i="1"/>
  <c r="AI13" i="1"/>
  <c r="Q14" i="1"/>
  <c r="AG14" i="1"/>
  <c r="Q15" i="1"/>
  <c r="AG15" i="1"/>
  <c r="P16" i="1"/>
  <c r="AH16" i="1"/>
  <c r="U17" i="1"/>
  <c r="AH19" i="1"/>
  <c r="Z19" i="1"/>
  <c r="R19" i="1"/>
  <c r="J19" i="1"/>
  <c r="AH18" i="1"/>
  <c r="Z18" i="1"/>
  <c r="R18" i="1"/>
  <c r="J18" i="1"/>
  <c r="F40" i="1"/>
  <c r="Z40" i="1"/>
  <c r="C40" i="1"/>
  <c r="N18" i="1"/>
  <c r="W18" i="1"/>
  <c r="AF18" i="1"/>
  <c r="I19" i="1"/>
  <c r="S19" i="1"/>
  <c r="AB19" i="1"/>
  <c r="L20" i="1"/>
  <c r="U20" i="1"/>
  <c r="AD20" i="1"/>
  <c r="G21" i="1"/>
  <c r="Q21" i="1"/>
  <c r="Z21" i="1"/>
  <c r="AI21" i="1"/>
  <c r="J22" i="1"/>
  <c r="S22" i="1"/>
  <c r="AB22" i="1"/>
  <c r="G23" i="1"/>
  <c r="T23" i="1"/>
  <c r="AF23" i="1"/>
  <c r="J24" i="1"/>
  <c r="V24" i="1"/>
  <c r="U25" i="1"/>
  <c r="P26" i="1"/>
  <c r="AF26" i="1"/>
  <c r="P27" i="1"/>
  <c r="AF27" i="1"/>
  <c r="M28" i="1"/>
  <c r="AC28" i="1"/>
  <c r="M29" i="1"/>
  <c r="AC29" i="1"/>
  <c r="H30" i="1"/>
  <c r="AI30" i="1"/>
  <c r="J62" i="1"/>
  <c r="H64" i="1"/>
  <c r="AC66" i="1"/>
  <c r="AE72" i="1"/>
  <c r="AB76" i="1"/>
  <c r="V124" i="1"/>
  <c r="L12" i="1"/>
  <c r="T12" i="1"/>
  <c r="AB12" i="1"/>
  <c r="AJ12" i="1"/>
  <c r="L13" i="1"/>
  <c r="T13" i="1"/>
  <c r="AB13" i="1"/>
  <c r="J14" i="1"/>
  <c r="R14" i="1"/>
  <c r="Z14" i="1"/>
  <c r="AH14" i="1"/>
  <c r="J15" i="1"/>
  <c r="R15" i="1"/>
  <c r="Z15" i="1"/>
  <c r="AH15" i="1"/>
  <c r="H16" i="1"/>
  <c r="Q16" i="1"/>
  <c r="Z16" i="1"/>
  <c r="AI16" i="1"/>
  <c r="M17" i="1"/>
  <c r="V17" i="1"/>
  <c r="AE17" i="1"/>
  <c r="F18" i="1"/>
  <c r="O18" i="1"/>
  <c r="X18" i="1"/>
  <c r="AG18" i="1"/>
  <c r="K19" i="1"/>
  <c r="T19" i="1"/>
  <c r="AC19" i="1"/>
  <c r="M20" i="1"/>
  <c r="V20" i="1"/>
  <c r="AE20" i="1"/>
  <c r="I21" i="1"/>
  <c r="R21" i="1"/>
  <c r="AA21" i="1"/>
  <c r="K22" i="1"/>
  <c r="T22" i="1"/>
  <c r="AC22" i="1"/>
  <c r="H23" i="1"/>
  <c r="U23" i="1"/>
  <c r="AI23" i="1"/>
  <c r="K24" i="1"/>
  <c r="Y24" i="1"/>
  <c r="F25" i="1"/>
  <c r="V25" i="1"/>
  <c r="S26" i="1"/>
  <c r="AI26" i="1"/>
  <c r="S27" i="1"/>
  <c r="AI27" i="1"/>
  <c r="N28" i="1"/>
  <c r="AD28" i="1"/>
  <c r="N29" i="1"/>
  <c r="AD29" i="1"/>
  <c r="K30" i="1"/>
  <c r="H31" i="1"/>
  <c r="F38" i="1"/>
  <c r="T62" i="1"/>
  <c r="T64" i="1"/>
  <c r="J67" i="1"/>
  <c r="T73" i="1"/>
  <c r="AF77" i="1"/>
  <c r="P118" i="1"/>
  <c r="K12" i="1"/>
  <c r="AA12" i="1"/>
  <c r="K13" i="1"/>
  <c r="AA13" i="1"/>
  <c r="I14" i="1"/>
  <c r="Y14" i="1"/>
  <c r="I15" i="1"/>
  <c r="Y15" i="1"/>
  <c r="G16" i="1"/>
  <c r="Y16" i="1"/>
  <c r="K17" i="1"/>
  <c r="AD17" i="1"/>
  <c r="C37" i="1"/>
  <c r="F37" i="1"/>
  <c r="Z37" i="1"/>
  <c r="M12" i="1"/>
  <c r="U12" i="1"/>
  <c r="AC12" i="1"/>
  <c r="M13" i="1"/>
  <c r="U13" i="1"/>
  <c r="AC13" i="1"/>
  <c r="K14" i="1"/>
  <c r="S14" i="1"/>
  <c r="AA14" i="1"/>
  <c r="AI14" i="1"/>
  <c r="K15" i="1"/>
  <c r="S15" i="1"/>
  <c r="AA15" i="1"/>
  <c r="AI15" i="1"/>
  <c r="I16" i="1"/>
  <c r="R16" i="1"/>
  <c r="AA16" i="1"/>
  <c r="N17" i="1"/>
  <c r="W17" i="1"/>
  <c r="AF17" i="1"/>
  <c r="G18" i="1"/>
  <c r="P18" i="1"/>
  <c r="Y18" i="1"/>
  <c r="AI18" i="1"/>
  <c r="L19" i="1"/>
  <c r="U19" i="1"/>
  <c r="AD19" i="1"/>
  <c r="C41" i="1"/>
  <c r="AF21" i="1"/>
  <c r="X21" i="1"/>
  <c r="P21" i="1"/>
  <c r="H21" i="1"/>
  <c r="AF20" i="1"/>
  <c r="X20" i="1"/>
  <c r="P20" i="1"/>
  <c r="H20" i="1"/>
  <c r="F41" i="1"/>
  <c r="Z41" i="1"/>
  <c r="N20" i="1"/>
  <c r="W20" i="1"/>
  <c r="AG20" i="1"/>
  <c r="J21" i="1"/>
  <c r="S21" i="1"/>
  <c r="AB21" i="1"/>
  <c r="L22" i="1"/>
  <c r="U22" i="1"/>
  <c r="AE22" i="1"/>
  <c r="K23" i="1"/>
  <c r="W23" i="1"/>
  <c r="AJ23" i="1"/>
  <c r="M24" i="1"/>
  <c r="Z24" i="1"/>
  <c r="I25" i="1"/>
  <c r="Y25" i="1"/>
  <c r="T26" i="1"/>
  <c r="AJ26" i="1"/>
  <c r="T27" i="1"/>
  <c r="AJ27" i="1"/>
  <c r="Q28" i="1"/>
  <c r="AG28" i="1"/>
  <c r="Q29" i="1"/>
  <c r="AG29" i="1"/>
  <c r="O30" i="1"/>
  <c r="K31" i="1"/>
  <c r="AE62" i="1"/>
  <c r="AF64" i="1"/>
  <c r="X67" i="1"/>
  <c r="N70" i="1"/>
  <c r="L14" i="1"/>
  <c r="T14" i="1"/>
  <c r="AB14" i="1"/>
  <c r="AJ14" i="1"/>
  <c r="L15" i="1"/>
  <c r="T15" i="1"/>
  <c r="AB15" i="1"/>
  <c r="AJ15" i="1"/>
  <c r="J16" i="1"/>
  <c r="S16" i="1"/>
  <c r="AC16" i="1"/>
  <c r="F17" i="1"/>
  <c r="O17" i="1"/>
  <c r="X17" i="1"/>
  <c r="AG17" i="1"/>
  <c r="H18" i="1"/>
  <c r="Q18" i="1"/>
  <c r="AA18" i="1"/>
  <c r="AJ18" i="1"/>
  <c r="M19" i="1"/>
  <c r="V19" i="1"/>
  <c r="AE19" i="1"/>
  <c r="F20" i="1"/>
  <c r="O20" i="1"/>
  <c r="Y20" i="1"/>
  <c r="AH20" i="1"/>
  <c r="K21" i="1"/>
  <c r="T21" i="1"/>
  <c r="AC21" i="1"/>
  <c r="M22" i="1"/>
  <c r="W22" i="1"/>
  <c r="AF22" i="1"/>
  <c r="L23" i="1"/>
  <c r="N24" i="1"/>
  <c r="AA24" i="1"/>
  <c r="J25" i="1"/>
  <c r="Z25" i="1"/>
  <c r="G26" i="1"/>
  <c r="W26" i="1"/>
  <c r="G27" i="1"/>
  <c r="W27" i="1"/>
  <c r="R28" i="1"/>
  <c r="AH28" i="1"/>
  <c r="R29" i="1"/>
  <c r="P30" i="1"/>
  <c r="P31" i="1"/>
  <c r="J63" i="1"/>
  <c r="M65" i="1"/>
  <c r="AH70" i="1"/>
  <c r="AJ75" i="1"/>
  <c r="M14" i="1"/>
  <c r="M15" i="1"/>
  <c r="U15" i="1"/>
  <c r="AC15" i="1"/>
  <c r="K16" i="1"/>
  <c r="AD16" i="1"/>
  <c r="G17" i="1"/>
  <c r="P17" i="1"/>
  <c r="Y17" i="1"/>
  <c r="AH17" i="1"/>
  <c r="I18" i="1"/>
  <c r="S18" i="1"/>
  <c r="AB18" i="1"/>
  <c r="N19" i="1"/>
  <c r="W19" i="1"/>
  <c r="AF19" i="1"/>
  <c r="G20" i="1"/>
  <c r="Q20" i="1"/>
  <c r="Z20" i="1"/>
  <c r="AI20" i="1"/>
  <c r="L21" i="1"/>
  <c r="U21" i="1"/>
  <c r="AD21" i="1"/>
  <c r="Z42" i="1"/>
  <c r="AD23" i="1"/>
  <c r="V23" i="1"/>
  <c r="N23" i="1"/>
  <c r="F23" i="1"/>
  <c r="AD22" i="1"/>
  <c r="V22" i="1"/>
  <c r="N22" i="1"/>
  <c r="F22" i="1"/>
  <c r="C42" i="1"/>
  <c r="AH23" i="1"/>
  <c r="Z23" i="1"/>
  <c r="R23" i="1"/>
  <c r="J23" i="1"/>
  <c r="AG23" i="1"/>
  <c r="Y23" i="1"/>
  <c r="Q23" i="1"/>
  <c r="I23" i="1"/>
  <c r="AG22" i="1"/>
  <c r="O22" i="1"/>
  <c r="X22" i="1"/>
  <c r="AH22" i="1"/>
  <c r="M23" i="1"/>
  <c r="AA23" i="1"/>
  <c r="Q24" i="1"/>
  <c r="AC24" i="1"/>
  <c r="M25" i="1"/>
  <c r="AC25" i="1"/>
  <c r="H26" i="1"/>
  <c r="X26" i="1"/>
  <c r="H27" i="1"/>
  <c r="X27" i="1"/>
  <c r="Z45" i="1"/>
  <c r="F45" i="1"/>
  <c r="AF29" i="1"/>
  <c r="X29" i="1"/>
  <c r="P29" i="1"/>
  <c r="H29" i="1"/>
  <c r="AF28" i="1"/>
  <c r="X28" i="1"/>
  <c r="P28" i="1"/>
  <c r="H28" i="1"/>
  <c r="AE29" i="1"/>
  <c r="W29" i="1"/>
  <c r="O29" i="1"/>
  <c r="G29" i="1"/>
  <c r="AE28" i="1"/>
  <c r="W28" i="1"/>
  <c r="O28" i="1"/>
  <c r="G28" i="1"/>
  <c r="C45" i="1"/>
  <c r="AJ29" i="1"/>
  <c r="AB29" i="1"/>
  <c r="T29" i="1"/>
  <c r="L29" i="1"/>
  <c r="AJ28" i="1"/>
  <c r="AB28" i="1"/>
  <c r="T28" i="1"/>
  <c r="L28" i="1"/>
  <c r="AI29" i="1"/>
  <c r="AA29" i="1"/>
  <c r="S29" i="1"/>
  <c r="K29" i="1"/>
  <c r="AI28" i="1"/>
  <c r="AA28" i="1"/>
  <c r="S28" i="1"/>
  <c r="K28" i="1"/>
  <c r="U28" i="1"/>
  <c r="U29" i="1"/>
  <c r="S30" i="1"/>
  <c r="X31" i="1"/>
  <c r="E58" i="1"/>
  <c r="T63" i="1"/>
  <c r="Z65" i="1"/>
  <c r="Y71" i="1"/>
  <c r="AH74" i="1"/>
  <c r="O128" i="1"/>
  <c r="G128" i="1"/>
  <c r="AG127" i="1"/>
  <c r="Y127" i="1"/>
  <c r="Q127" i="1"/>
  <c r="I127" i="1"/>
  <c r="AG126" i="1"/>
  <c r="Y126" i="1"/>
  <c r="Q126" i="1"/>
  <c r="I126" i="1"/>
  <c r="W120" i="1"/>
  <c r="O120" i="1"/>
  <c r="G120" i="1"/>
  <c r="AG119" i="1"/>
  <c r="Y119" i="1"/>
  <c r="O127" i="1"/>
  <c r="G127" i="1"/>
  <c r="AE126" i="1"/>
  <c r="W126" i="1"/>
  <c r="O126" i="1"/>
  <c r="G126" i="1"/>
  <c r="AE119" i="1"/>
  <c r="W119" i="1"/>
  <c r="O119" i="1"/>
  <c r="G119" i="1"/>
  <c r="L126" i="1"/>
  <c r="AI119" i="1"/>
  <c r="AA119" i="1"/>
  <c r="S119" i="1"/>
  <c r="K119" i="1"/>
  <c r="AI118" i="1"/>
  <c r="AA118" i="1"/>
  <c r="S118" i="1"/>
  <c r="K118" i="1"/>
  <c r="F130" i="1"/>
  <c r="N129" i="1"/>
  <c r="N128" i="1"/>
  <c r="Z127" i="1"/>
  <c r="F127" i="1"/>
  <c r="P126" i="1"/>
  <c r="AH125" i="1"/>
  <c r="R125" i="1"/>
  <c r="AH124" i="1"/>
  <c r="R124" i="1"/>
  <c r="V123" i="1"/>
  <c r="F123" i="1"/>
  <c r="V122" i="1"/>
  <c r="F122" i="1"/>
  <c r="Z121" i="1"/>
  <c r="J121" i="1"/>
  <c r="Z120" i="1"/>
  <c r="J120" i="1"/>
  <c r="AD119" i="1"/>
  <c r="P119" i="1"/>
  <c r="AH118" i="1"/>
  <c r="X118" i="1"/>
  <c r="N118" i="1"/>
  <c r="AD113" i="1"/>
  <c r="V113" i="1"/>
  <c r="N113" i="1"/>
  <c r="F113" i="1"/>
  <c r="AD112" i="1"/>
  <c r="V112" i="1"/>
  <c r="N112" i="1"/>
  <c r="F112" i="1"/>
  <c r="AD131" i="1"/>
  <c r="H129" i="1"/>
  <c r="H128" i="1"/>
  <c r="X127" i="1"/>
  <c r="AH126" i="1"/>
  <c r="N126" i="1"/>
  <c r="AF125" i="1"/>
  <c r="P125" i="1"/>
  <c r="AF124" i="1"/>
  <c r="P124" i="1"/>
  <c r="AJ123" i="1"/>
  <c r="T123" i="1"/>
  <c r="AJ122" i="1"/>
  <c r="T122" i="1"/>
  <c r="X121" i="1"/>
  <c r="H121" i="1"/>
  <c r="X120" i="1"/>
  <c r="H120" i="1"/>
  <c r="AB119" i="1"/>
  <c r="N119" i="1"/>
  <c r="AG118" i="1"/>
  <c r="W118" i="1"/>
  <c r="L118" i="1"/>
  <c r="V131" i="1"/>
  <c r="F129" i="1"/>
  <c r="F128" i="1"/>
  <c r="V127" i="1"/>
  <c r="AF126" i="1"/>
  <c r="J126" i="1"/>
  <c r="AD125" i="1"/>
  <c r="N125" i="1"/>
  <c r="AD124" i="1"/>
  <c r="N124" i="1"/>
  <c r="AH123" i="1"/>
  <c r="R123" i="1"/>
  <c r="AH122" i="1"/>
  <c r="R122" i="1"/>
  <c r="V121" i="1"/>
  <c r="F121" i="1"/>
  <c r="V120" i="1"/>
  <c r="F120" i="1"/>
  <c r="Z119" i="1"/>
  <c r="L119" i="1"/>
  <c r="AF118" i="1"/>
  <c r="V118" i="1"/>
  <c r="J118" i="1"/>
  <c r="N131" i="1"/>
  <c r="AF129" i="1"/>
  <c r="AF128" i="1"/>
  <c r="R127" i="1"/>
  <c r="AD126" i="1"/>
  <c r="H126" i="1"/>
  <c r="AB125" i="1"/>
  <c r="L125" i="1"/>
  <c r="AB124" i="1"/>
  <c r="L124" i="1"/>
  <c r="AF123" i="1"/>
  <c r="P123" i="1"/>
  <c r="AF122" i="1"/>
  <c r="P122" i="1"/>
  <c r="AJ121" i="1"/>
  <c r="T121" i="1"/>
  <c r="AJ120" i="1"/>
  <c r="T120" i="1"/>
  <c r="X119" i="1"/>
  <c r="J119" i="1"/>
  <c r="AE118" i="1"/>
  <c r="T118" i="1"/>
  <c r="I118" i="1"/>
  <c r="AA113" i="1"/>
  <c r="S113" i="1"/>
  <c r="K113" i="1"/>
  <c r="AI112" i="1"/>
  <c r="AA112" i="1"/>
  <c r="S112" i="1"/>
  <c r="K112" i="1"/>
  <c r="F131" i="1"/>
  <c r="AD129" i="1"/>
  <c r="AD128" i="1"/>
  <c r="P127" i="1"/>
  <c r="Z126" i="1"/>
  <c r="F126" i="1"/>
  <c r="Z125" i="1"/>
  <c r="J125" i="1"/>
  <c r="Z124" i="1"/>
  <c r="J124" i="1"/>
  <c r="AD123" i="1"/>
  <c r="N123" i="1"/>
  <c r="AD122" i="1"/>
  <c r="N122" i="1"/>
  <c r="AH121" i="1"/>
  <c r="R121" i="1"/>
  <c r="AH120" i="1"/>
  <c r="R120" i="1"/>
  <c r="AD130" i="1"/>
  <c r="X129" i="1"/>
  <c r="X128" i="1"/>
  <c r="AH127" i="1"/>
  <c r="N127" i="1"/>
  <c r="X126" i="1"/>
  <c r="X125" i="1"/>
  <c r="H125" i="1"/>
  <c r="X124" i="1"/>
  <c r="H124" i="1"/>
  <c r="AB123" i="1"/>
  <c r="L123" i="1"/>
  <c r="AB122" i="1"/>
  <c r="L122" i="1"/>
  <c r="AF121" i="1"/>
  <c r="P121" i="1"/>
  <c r="AF120" i="1"/>
  <c r="P120" i="1"/>
  <c r="AJ119" i="1"/>
  <c r="T119" i="1"/>
  <c r="H119" i="1"/>
  <c r="AB118" i="1"/>
  <c r="Q118" i="1"/>
  <c r="G118" i="1"/>
  <c r="N130" i="1"/>
  <c r="P129" i="1"/>
  <c r="P128" i="1"/>
  <c r="AD127" i="1"/>
  <c r="H127" i="1"/>
  <c r="R126" i="1"/>
  <c r="AJ125" i="1"/>
  <c r="T125" i="1"/>
  <c r="AJ124" i="1"/>
  <c r="T124" i="1"/>
  <c r="X123" i="1"/>
  <c r="H123" i="1"/>
  <c r="X122" i="1"/>
  <c r="H122" i="1"/>
  <c r="AB121" i="1"/>
  <c r="L121" i="1"/>
  <c r="AB120" i="1"/>
  <c r="L120" i="1"/>
  <c r="AF119" i="1"/>
  <c r="Q119" i="1"/>
  <c r="AJ118" i="1"/>
  <c r="Y118" i="1"/>
  <c r="O118" i="1"/>
  <c r="AC117" i="1"/>
  <c r="AF127" i="1"/>
  <c r="F124" i="1"/>
  <c r="V119" i="1"/>
  <c r="H118" i="1"/>
  <c r="T117" i="1"/>
  <c r="Z116" i="1"/>
  <c r="P115" i="1"/>
  <c r="AC114" i="1"/>
  <c r="F114" i="1"/>
  <c r="W113" i="1"/>
  <c r="AF112" i="1"/>
  <c r="J112" i="1"/>
  <c r="AA79" i="1"/>
  <c r="N79" i="1"/>
  <c r="AF78" i="1"/>
  <c r="T78" i="1"/>
  <c r="G78" i="1"/>
  <c r="AE77" i="1"/>
  <c r="V77" i="1"/>
  <c r="M77" i="1"/>
  <c r="AJ76" i="1"/>
  <c r="AA76" i="1"/>
  <c r="S76" i="1"/>
  <c r="K76" i="1"/>
  <c r="V130" i="1"/>
  <c r="J127" i="1"/>
  <c r="AD121" i="1"/>
  <c r="R119" i="1"/>
  <c r="F118" i="1"/>
  <c r="N117" i="1"/>
  <c r="Y116" i="1"/>
  <c r="R113" i="1"/>
  <c r="AE112" i="1"/>
  <c r="H112" i="1"/>
  <c r="X79" i="1"/>
  <c r="L79" i="1"/>
  <c r="AE78" i="1"/>
  <c r="S78" i="1"/>
  <c r="F78" i="1"/>
  <c r="V126" i="1"/>
  <c r="N121" i="1"/>
  <c r="I119" i="1"/>
  <c r="L117" i="1"/>
  <c r="S116" i="1"/>
  <c r="AI115" i="1"/>
  <c r="M115" i="1"/>
  <c r="V114" i="1"/>
  <c r="P113" i="1"/>
  <c r="Z112" i="1"/>
  <c r="G112" i="1"/>
  <c r="AJ79" i="1"/>
  <c r="W79" i="1"/>
  <c r="K79" i="1"/>
  <c r="AD78" i="1"/>
  <c r="P78" i="1"/>
  <c r="AE71" i="1"/>
  <c r="W71" i="1"/>
  <c r="O71" i="1"/>
  <c r="G71" i="1"/>
  <c r="AE70" i="1"/>
  <c r="W70" i="1"/>
  <c r="O70" i="1"/>
  <c r="G70" i="1"/>
  <c r="AG69" i="1"/>
  <c r="Y69" i="1"/>
  <c r="Q69" i="1"/>
  <c r="I69" i="1"/>
  <c r="AG68" i="1"/>
  <c r="Y68" i="1"/>
  <c r="Q68" i="1"/>
  <c r="I68" i="1"/>
  <c r="Z123" i="1"/>
  <c r="AD120" i="1"/>
  <c r="F119" i="1"/>
  <c r="K117" i="1"/>
  <c r="Q116" i="1"/>
  <c r="AF115" i="1"/>
  <c r="H115" i="1"/>
  <c r="U114" i="1"/>
  <c r="AH113" i="1"/>
  <c r="O113" i="1"/>
  <c r="X112" i="1"/>
  <c r="F81" i="1"/>
  <c r="Z80" i="1"/>
  <c r="M80" i="1"/>
  <c r="AI79" i="1"/>
  <c r="V79" i="1"/>
  <c r="H79" i="1"/>
  <c r="AB78" i="1"/>
  <c r="O78" i="1"/>
  <c r="V129" i="1"/>
  <c r="J123" i="1"/>
  <c r="N120" i="1"/>
  <c r="AD118" i="1"/>
  <c r="AG117" i="1"/>
  <c r="P116" i="1"/>
  <c r="AE115" i="1"/>
  <c r="F115" i="1"/>
  <c r="P114" i="1"/>
  <c r="AF113" i="1"/>
  <c r="J113" i="1"/>
  <c r="W112" i="1"/>
  <c r="AF79" i="1"/>
  <c r="T79" i="1"/>
  <c r="G79" i="1"/>
  <c r="AA78" i="1"/>
  <c r="N78" i="1"/>
  <c r="V128" i="1"/>
  <c r="V125" i="1"/>
  <c r="Z122" i="1"/>
  <c r="Z118" i="1"/>
  <c r="AD117" i="1"/>
  <c r="AI116" i="1"/>
  <c r="J116" i="1"/>
  <c r="Z115" i="1"/>
  <c r="N114" i="1"/>
  <c r="AE113" i="1"/>
  <c r="H113" i="1"/>
  <c r="R112" i="1"/>
  <c r="AE79" i="1"/>
  <c r="S79" i="1"/>
  <c r="F79" i="1"/>
  <c r="X78" i="1"/>
  <c r="L78" i="1"/>
  <c r="AH77" i="1"/>
  <c r="Y77" i="1"/>
  <c r="P77" i="1"/>
  <c r="G77" i="1"/>
  <c r="AD76" i="1"/>
  <c r="V76" i="1"/>
  <c r="N76" i="1"/>
  <c r="F76" i="1"/>
  <c r="Z73" i="1"/>
  <c r="R73" i="1"/>
  <c r="J73" i="1"/>
  <c r="AH72" i="1"/>
  <c r="Z72" i="1"/>
  <c r="R72" i="1"/>
  <c r="J72" i="1"/>
  <c r="AJ71" i="1"/>
  <c r="AB71" i="1"/>
  <c r="T71" i="1"/>
  <c r="L71" i="1"/>
  <c r="AJ70" i="1"/>
  <c r="AB70" i="1"/>
  <c r="T70" i="1"/>
  <c r="L70" i="1"/>
  <c r="AD69" i="1"/>
  <c r="V69" i="1"/>
  <c r="N69" i="1"/>
  <c r="F69" i="1"/>
  <c r="AD68" i="1"/>
  <c r="V68" i="1"/>
  <c r="F125" i="1"/>
  <c r="J122" i="1"/>
  <c r="R118" i="1"/>
  <c r="X117" i="1"/>
  <c r="AH116" i="1"/>
  <c r="H116" i="1"/>
  <c r="W115" i="1"/>
  <c r="AF114" i="1"/>
  <c r="M114" i="1"/>
  <c r="Z113" i="1"/>
  <c r="G113" i="1"/>
  <c r="P112" i="1"/>
  <c r="AD79" i="1"/>
  <c r="P79" i="1"/>
  <c r="AJ78" i="1"/>
  <c r="W78" i="1"/>
  <c r="K78" i="1"/>
  <c r="AI71" i="1"/>
  <c r="AA71" i="1"/>
  <c r="S71" i="1"/>
  <c r="K71" i="1"/>
  <c r="AI70" i="1"/>
  <c r="AA70" i="1"/>
  <c r="S70" i="1"/>
  <c r="K70" i="1"/>
  <c r="AD114" i="1"/>
  <c r="AB79" i="1"/>
  <c r="AB77" i="1"/>
  <c r="X76" i="1"/>
  <c r="AD75" i="1"/>
  <c r="AD74" i="1"/>
  <c r="P73" i="1"/>
  <c r="AB72" i="1"/>
  <c r="G72" i="1"/>
  <c r="V71" i="1"/>
  <c r="AG70" i="1"/>
  <c r="J70" i="1"/>
  <c r="AB69" i="1"/>
  <c r="H69" i="1"/>
  <c r="S68" i="1"/>
  <c r="V67" i="1"/>
  <c r="H67" i="1"/>
  <c r="AA66" i="1"/>
  <c r="N66" i="1"/>
  <c r="X65" i="1"/>
  <c r="L65" i="1"/>
  <c r="AE64" i="1"/>
  <c r="R64" i="1"/>
  <c r="G64" i="1"/>
  <c r="AD63" i="1"/>
  <c r="S63" i="1"/>
  <c r="I63" i="1"/>
  <c r="AD62" i="1"/>
  <c r="S62" i="1"/>
  <c r="I62" i="1"/>
  <c r="AE31" i="1"/>
  <c r="W31" i="1"/>
  <c r="O31" i="1"/>
  <c r="G31" i="1"/>
  <c r="AE30" i="1"/>
  <c r="W30" i="1"/>
  <c r="H114" i="1"/>
  <c r="Z81" i="1"/>
  <c r="O79" i="1"/>
  <c r="W77" i="1"/>
  <c r="T76" i="1"/>
  <c r="Z75" i="1"/>
  <c r="Z74" i="1"/>
  <c r="AJ73" i="1"/>
  <c r="O73" i="1"/>
  <c r="X72" i="1"/>
  <c r="R71" i="1"/>
  <c r="AD70" i="1"/>
  <c r="I70" i="1"/>
  <c r="AA69" i="1"/>
  <c r="AJ68" i="1"/>
  <c r="P68" i="1"/>
  <c r="AB63" i="1"/>
  <c r="R63" i="1"/>
  <c r="G63" i="1"/>
  <c r="AB62" i="1"/>
  <c r="R62" i="1"/>
  <c r="G62" i="1"/>
  <c r="U117" i="1"/>
  <c r="M81" i="1"/>
  <c r="AI78" i="1"/>
  <c r="R77" i="1"/>
  <c r="P76" i="1"/>
  <c r="V75" i="1"/>
  <c r="V74" i="1"/>
  <c r="AF73" i="1"/>
  <c r="L73" i="1"/>
  <c r="W72" i="1"/>
  <c r="Q71" i="1"/>
  <c r="Z70" i="1"/>
  <c r="F70" i="1"/>
  <c r="X69" i="1"/>
  <c r="AI68" i="1"/>
  <c r="N68" i="1"/>
  <c r="AH67" i="1"/>
  <c r="R67" i="1"/>
  <c r="X66" i="1"/>
  <c r="K66" i="1"/>
  <c r="AH65" i="1"/>
  <c r="U65" i="1"/>
  <c r="H65" i="1"/>
  <c r="AB64" i="1"/>
  <c r="O64" i="1"/>
  <c r="AA63" i="1"/>
  <c r="Q63" i="1"/>
  <c r="F63" i="1"/>
  <c r="AA62" i="1"/>
  <c r="Q62" i="1"/>
  <c r="F62" i="1"/>
  <c r="AG27" i="1"/>
  <c r="Y27" i="1"/>
  <c r="Q27" i="1"/>
  <c r="I27" i="1"/>
  <c r="AG26" i="1"/>
  <c r="Y26" i="1"/>
  <c r="Q26" i="1"/>
  <c r="I26" i="1"/>
  <c r="AB116" i="1"/>
  <c r="AG80" i="1"/>
  <c r="V78" i="1"/>
  <c r="N77" i="1"/>
  <c r="L76" i="1"/>
  <c r="R75" i="1"/>
  <c r="R74" i="1"/>
  <c r="AE73" i="1"/>
  <c r="H73" i="1"/>
  <c r="T72" i="1"/>
  <c r="AH71" i="1"/>
  <c r="N71" i="1"/>
  <c r="Y70" i="1"/>
  <c r="T69" i="1"/>
  <c r="AF68" i="1"/>
  <c r="L68" i="1"/>
  <c r="AF65" i="1"/>
  <c r="T65" i="1"/>
  <c r="G65" i="1"/>
  <c r="Z64" i="1"/>
  <c r="M64" i="1"/>
  <c r="AJ63" i="1"/>
  <c r="Z63" i="1"/>
  <c r="O63" i="1"/>
  <c r="AJ62" i="1"/>
  <c r="Z62" i="1"/>
  <c r="O62" i="1"/>
  <c r="F116" i="1"/>
  <c r="X113" i="1"/>
  <c r="T80" i="1"/>
  <c r="H78" i="1"/>
  <c r="I77" i="1"/>
  <c r="H76" i="1"/>
  <c r="N75" i="1"/>
  <c r="N74" i="1"/>
  <c r="AB73" i="1"/>
  <c r="G73" i="1"/>
  <c r="P72" i="1"/>
  <c r="AG71" i="1"/>
  <c r="J71" i="1"/>
  <c r="V70" i="1"/>
  <c r="S69" i="1"/>
  <c r="AB68" i="1"/>
  <c r="K68" i="1"/>
  <c r="AE65" i="1"/>
  <c r="R65" i="1"/>
  <c r="X64" i="1"/>
  <c r="L64" i="1"/>
  <c r="AI63" i="1"/>
  <c r="Y63" i="1"/>
  <c r="N63" i="1"/>
  <c r="AI62" i="1"/>
  <c r="Y62" i="1"/>
  <c r="N62" i="1"/>
  <c r="AI31" i="1"/>
  <c r="AA31" i="1"/>
  <c r="S31" i="1"/>
  <c r="AH112" i="1"/>
  <c r="F80" i="1"/>
  <c r="J75" i="1"/>
  <c r="J74" i="1"/>
  <c r="X73" i="1"/>
  <c r="AJ72" i="1"/>
  <c r="O72" i="1"/>
  <c r="AD71" i="1"/>
  <c r="I71" i="1"/>
  <c r="R70" i="1"/>
  <c r="AJ69" i="1"/>
  <c r="P69" i="1"/>
  <c r="AA68" i="1"/>
  <c r="H68" i="1"/>
  <c r="AC65" i="1"/>
  <c r="P65" i="1"/>
  <c r="AJ64" i="1"/>
  <c r="W64" i="1"/>
  <c r="J64" i="1"/>
  <c r="AH63" i="1"/>
  <c r="W63" i="1"/>
  <c r="L63" i="1"/>
  <c r="AH62" i="1"/>
  <c r="W62" i="1"/>
  <c r="L62" i="1"/>
  <c r="AD27" i="1"/>
  <c r="V27" i="1"/>
  <c r="N27" i="1"/>
  <c r="F27" i="1"/>
  <c r="AD26" i="1"/>
  <c r="V26" i="1"/>
  <c r="N26" i="1"/>
  <c r="F26" i="1"/>
  <c r="AH119" i="1"/>
  <c r="O112" i="1"/>
  <c r="AF76" i="1"/>
  <c r="F75" i="1"/>
  <c r="F74" i="1"/>
  <c r="W73" i="1"/>
  <c r="AF72" i="1"/>
  <c r="L72" i="1"/>
  <c r="Z71" i="1"/>
  <c r="F71" i="1"/>
  <c r="Q70" i="1"/>
  <c r="AI69" i="1"/>
  <c r="L69" i="1"/>
  <c r="X68" i="1"/>
  <c r="F68" i="1"/>
  <c r="AB65" i="1"/>
  <c r="O65" i="1"/>
  <c r="AH64" i="1"/>
  <c r="U64" i="1"/>
  <c r="I64" i="1"/>
  <c r="AG63" i="1"/>
  <c r="V63" i="1"/>
  <c r="K63" i="1"/>
  <c r="AG62" i="1"/>
  <c r="V62" i="1"/>
  <c r="K62" i="1"/>
  <c r="V13" i="1"/>
  <c r="G12" i="1"/>
  <c r="O12" i="1"/>
  <c r="W12" i="1"/>
  <c r="AE12" i="1"/>
  <c r="G13" i="1"/>
  <c r="O13" i="1"/>
  <c r="W13" i="1"/>
  <c r="AE13" i="1"/>
  <c r="U14" i="1"/>
  <c r="AC14" i="1"/>
  <c r="U16" i="1"/>
  <c r="H12" i="1"/>
  <c r="P12" i="1"/>
  <c r="X12" i="1"/>
  <c r="AF12" i="1"/>
  <c r="H13" i="1"/>
  <c r="P13" i="1"/>
  <c r="X13" i="1"/>
  <c r="AF13" i="1"/>
  <c r="F14" i="1"/>
  <c r="N14" i="1"/>
  <c r="V14" i="1"/>
  <c r="AD14" i="1"/>
  <c r="F15" i="1"/>
  <c r="N15" i="1"/>
  <c r="V15" i="1"/>
  <c r="M16" i="1"/>
  <c r="V16" i="1"/>
  <c r="AE16" i="1"/>
  <c r="H17" i="1"/>
  <c r="Q17" i="1"/>
  <c r="Z17" i="1"/>
  <c r="K18" i="1"/>
  <c r="T18" i="1"/>
  <c r="AC18" i="1"/>
  <c r="F19" i="1"/>
  <c r="O19" i="1"/>
  <c r="X19" i="1"/>
  <c r="AG19" i="1"/>
  <c r="I20" i="1"/>
  <c r="R20" i="1"/>
  <c r="AA20" i="1"/>
  <c r="AJ20" i="1"/>
  <c r="M21" i="1"/>
  <c r="V21" i="1"/>
  <c r="AE21" i="1"/>
  <c r="G22" i="1"/>
  <c r="P22" i="1"/>
  <c r="Y22" i="1"/>
  <c r="AI22" i="1"/>
  <c r="O23" i="1"/>
  <c r="AB23" i="1"/>
  <c r="F43" i="1"/>
  <c r="AJ25" i="1"/>
  <c r="AB25" i="1"/>
  <c r="T25" i="1"/>
  <c r="L25" i="1"/>
  <c r="AJ24" i="1"/>
  <c r="AB24" i="1"/>
  <c r="T24" i="1"/>
  <c r="L24" i="1"/>
  <c r="Z43" i="1"/>
  <c r="AI25" i="1"/>
  <c r="AA25" i="1"/>
  <c r="S25" i="1"/>
  <c r="K25" i="1"/>
  <c r="AI24" i="1"/>
  <c r="C43" i="1"/>
  <c r="AF25" i="1"/>
  <c r="X25" i="1"/>
  <c r="P25" i="1"/>
  <c r="H25" i="1"/>
  <c r="AF24" i="1"/>
  <c r="X24" i="1"/>
  <c r="P24" i="1"/>
  <c r="H24" i="1"/>
  <c r="AE25" i="1"/>
  <c r="W25" i="1"/>
  <c r="O25" i="1"/>
  <c r="G25" i="1"/>
  <c r="AE24" i="1"/>
  <c r="W24" i="1"/>
  <c r="O24" i="1"/>
  <c r="G24" i="1"/>
  <c r="R24" i="1"/>
  <c r="AD24" i="1"/>
  <c r="N25" i="1"/>
  <c r="AD25" i="1"/>
  <c r="K26" i="1"/>
  <c r="AA26" i="1"/>
  <c r="K27" i="1"/>
  <c r="AA27" i="1"/>
  <c r="F28" i="1"/>
  <c r="V28" i="1"/>
  <c r="F29" i="1"/>
  <c r="V29" i="1"/>
  <c r="X30" i="1"/>
  <c r="AF31" i="1"/>
  <c r="AE63" i="1"/>
  <c r="T68" i="1"/>
  <c r="AH75" i="1"/>
  <c r="F12" i="1"/>
  <c r="N12" i="1"/>
  <c r="V12" i="1"/>
  <c r="AD12" i="1"/>
  <c r="F13" i="1"/>
  <c r="N13" i="1"/>
  <c r="AD13" i="1"/>
  <c r="Z38" i="1"/>
  <c r="C38" i="1"/>
  <c r="I12" i="1"/>
  <c r="Q12" i="1"/>
  <c r="Y12" i="1"/>
  <c r="AG12" i="1"/>
  <c r="I13" i="1"/>
  <c r="Q13" i="1"/>
  <c r="Y13" i="1"/>
  <c r="AG13" i="1"/>
  <c r="G14" i="1"/>
  <c r="O14" i="1"/>
  <c r="W14" i="1"/>
  <c r="AE14" i="1"/>
  <c r="G15" i="1"/>
  <c r="O15" i="1"/>
  <c r="W15" i="1"/>
  <c r="AE15" i="1"/>
  <c r="F39" i="1"/>
  <c r="AJ17" i="1"/>
  <c r="AB17" i="1"/>
  <c r="T17" i="1"/>
  <c r="L17" i="1"/>
  <c r="AJ16" i="1"/>
  <c r="AB16" i="1"/>
  <c r="T16" i="1"/>
  <c r="L16" i="1"/>
  <c r="Z39" i="1"/>
  <c r="C39" i="1"/>
  <c r="N16" i="1"/>
  <c r="W16" i="1"/>
  <c r="AF16" i="1"/>
  <c r="I17" i="1"/>
  <c r="R17" i="1"/>
  <c r="AA17" i="1"/>
  <c r="L18" i="1"/>
  <c r="U18" i="1"/>
  <c r="AD18" i="1"/>
  <c r="G19" i="1"/>
  <c r="P19" i="1"/>
  <c r="Y19" i="1"/>
  <c r="AI19" i="1"/>
  <c r="J20" i="1"/>
  <c r="S20" i="1"/>
  <c r="AB20" i="1"/>
  <c r="N21" i="1"/>
  <c r="W21" i="1"/>
  <c r="AG21" i="1"/>
  <c r="H22" i="1"/>
  <c r="Q22" i="1"/>
  <c r="Z22" i="1"/>
  <c r="AJ22" i="1"/>
  <c r="P23" i="1"/>
  <c r="AC23" i="1"/>
  <c r="F24" i="1"/>
  <c r="S24" i="1"/>
  <c r="AG24" i="1"/>
  <c r="Q25" i="1"/>
  <c r="AG25" i="1"/>
  <c r="L26" i="1"/>
  <c r="AB26" i="1"/>
  <c r="L27" i="1"/>
  <c r="AB27" i="1"/>
  <c r="I28" i="1"/>
  <c r="Y28" i="1"/>
  <c r="I29" i="1"/>
  <c r="Y29" i="1"/>
  <c r="H46" i="1"/>
  <c r="AA30" i="1"/>
  <c r="E46" i="1"/>
  <c r="K69" i="1"/>
  <c r="J12" i="1"/>
  <c r="R12" i="1"/>
  <c r="Z12" i="1"/>
  <c r="AH12" i="1"/>
  <c r="J13" i="1"/>
  <c r="R13" i="1"/>
  <c r="Z13" i="1"/>
  <c r="AH13" i="1"/>
  <c r="H14" i="1"/>
  <c r="P14" i="1"/>
  <c r="X14" i="1"/>
  <c r="AF14" i="1"/>
  <c r="H15" i="1"/>
  <c r="P15" i="1"/>
  <c r="X15" i="1"/>
  <c r="AF15" i="1"/>
  <c r="F16" i="1"/>
  <c r="O16" i="1"/>
  <c r="X16" i="1"/>
  <c r="AG16" i="1"/>
  <c r="J17" i="1"/>
  <c r="S17" i="1"/>
  <c r="AC17" i="1"/>
  <c r="M18" i="1"/>
  <c r="V18" i="1"/>
  <c r="AE18" i="1"/>
  <c r="H19" i="1"/>
  <c r="Q19" i="1"/>
  <c r="AA19" i="1"/>
  <c r="AJ19" i="1"/>
  <c r="K20" i="1"/>
  <c r="T20" i="1"/>
  <c r="AC20" i="1"/>
  <c r="F21" i="1"/>
  <c r="O21" i="1"/>
  <c r="Y21" i="1"/>
  <c r="AH21" i="1"/>
  <c r="I22" i="1"/>
  <c r="R22" i="1"/>
  <c r="AA22" i="1"/>
  <c r="S23" i="1"/>
  <c r="AE23" i="1"/>
  <c r="I24" i="1"/>
  <c r="U24" i="1"/>
  <c r="AH24" i="1"/>
  <c r="R25" i="1"/>
  <c r="AH25" i="1"/>
  <c r="O26" i="1"/>
  <c r="AE26" i="1"/>
  <c r="O27" i="1"/>
  <c r="AE27" i="1"/>
  <c r="J28" i="1"/>
  <c r="Z28" i="1"/>
  <c r="J29" i="1"/>
  <c r="Z29" i="1"/>
  <c r="G30" i="1"/>
  <c r="AF30" i="1"/>
  <c r="P66" i="1"/>
  <c r="AF69" i="1"/>
  <c r="H72" i="1"/>
  <c r="E88" i="1"/>
  <c r="D88" i="1"/>
  <c r="M26" i="1"/>
  <c r="U26" i="1"/>
  <c r="AC26" i="1"/>
  <c r="M27" i="1"/>
  <c r="U27" i="1"/>
  <c r="AC27" i="1"/>
  <c r="I30" i="1"/>
  <c r="Q30" i="1"/>
  <c r="Y30" i="1"/>
  <c r="AG30" i="1"/>
  <c r="I31" i="1"/>
  <c r="Q31" i="1"/>
  <c r="Y31" i="1"/>
  <c r="AG31" i="1"/>
  <c r="D44" i="1"/>
  <c r="H44" i="1" s="1"/>
  <c r="Z44" i="1"/>
  <c r="F46" i="1"/>
  <c r="F89" i="1"/>
  <c r="C89" i="1"/>
  <c r="AJ67" i="1"/>
  <c r="AB67" i="1"/>
  <c r="T67" i="1"/>
  <c r="L67" i="1"/>
  <c r="AJ66" i="1"/>
  <c r="AB66" i="1"/>
  <c r="T66" i="1"/>
  <c r="L66" i="1"/>
  <c r="AI67" i="1"/>
  <c r="AA67" i="1"/>
  <c r="S67" i="1"/>
  <c r="Z89" i="1"/>
  <c r="AG67" i="1"/>
  <c r="Y67" i="1"/>
  <c r="Q67" i="1"/>
  <c r="I67" i="1"/>
  <c r="AG66" i="1"/>
  <c r="Y66" i="1"/>
  <c r="Q66" i="1"/>
  <c r="I66" i="1"/>
  <c r="AE67" i="1"/>
  <c r="W67" i="1"/>
  <c r="O67" i="1"/>
  <c r="G67" i="1"/>
  <c r="AE66" i="1"/>
  <c r="W66" i="1"/>
  <c r="O66" i="1"/>
  <c r="G66" i="1"/>
  <c r="R66" i="1"/>
  <c r="AD66" i="1"/>
  <c r="K67" i="1"/>
  <c r="Z67" i="1"/>
  <c r="AJ81" i="1"/>
  <c r="J30" i="1"/>
  <c r="R30" i="1"/>
  <c r="Z30" i="1"/>
  <c r="AH30" i="1"/>
  <c r="J31" i="1"/>
  <c r="R31" i="1"/>
  <c r="Z31" i="1"/>
  <c r="AH31" i="1"/>
  <c r="F66" i="1"/>
  <c r="AK66" i="1" s="1"/>
  <c r="W89" i="1" s="1"/>
  <c r="S66" i="1"/>
  <c r="AF66" i="1"/>
  <c r="M67" i="1"/>
  <c r="AC67" i="1"/>
  <c r="F44" i="1"/>
  <c r="H66" i="1"/>
  <c r="U66" i="1"/>
  <c r="AH66" i="1"/>
  <c r="N67" i="1"/>
  <c r="AD67" i="1"/>
  <c r="L30" i="1"/>
  <c r="T30" i="1"/>
  <c r="AB30" i="1"/>
  <c r="AJ30" i="1"/>
  <c r="L31" i="1"/>
  <c r="T31" i="1"/>
  <c r="AB31" i="1"/>
  <c r="AJ31" i="1"/>
  <c r="J66" i="1"/>
  <c r="V66" i="1"/>
  <c r="AI66" i="1"/>
  <c r="P67" i="1"/>
  <c r="AF67" i="1"/>
  <c r="M30" i="1"/>
  <c r="U30" i="1"/>
  <c r="AC30" i="1"/>
  <c r="M31" i="1"/>
  <c r="U31" i="1"/>
  <c r="AC31" i="1"/>
  <c r="J26" i="1"/>
  <c r="R26" i="1"/>
  <c r="Z26" i="1"/>
  <c r="AH26" i="1"/>
  <c r="J27" i="1"/>
  <c r="R27" i="1"/>
  <c r="Z27" i="1"/>
  <c r="AH27" i="1"/>
  <c r="F30" i="1"/>
  <c r="N30" i="1"/>
  <c r="V30" i="1"/>
  <c r="AD30" i="1"/>
  <c r="F31" i="1"/>
  <c r="N31" i="1"/>
  <c r="V31" i="1"/>
  <c r="AD31" i="1"/>
  <c r="Z46" i="1"/>
  <c r="F88" i="1"/>
  <c r="Z88" i="1"/>
  <c r="AD65" i="1"/>
  <c r="V65" i="1"/>
  <c r="N65" i="1"/>
  <c r="F65" i="1"/>
  <c r="AD64" i="1"/>
  <c r="V64" i="1"/>
  <c r="N64" i="1"/>
  <c r="F64" i="1"/>
  <c r="AI65" i="1"/>
  <c r="AA65" i="1"/>
  <c r="S65" i="1"/>
  <c r="K65" i="1"/>
  <c r="AI64" i="1"/>
  <c r="AA64" i="1"/>
  <c r="S64" i="1"/>
  <c r="K64" i="1"/>
  <c r="AG65" i="1"/>
  <c r="Y65" i="1"/>
  <c r="Q65" i="1"/>
  <c r="I65" i="1"/>
  <c r="AG64" i="1"/>
  <c r="Y64" i="1"/>
  <c r="Q64" i="1"/>
  <c r="P64" i="1"/>
  <c r="AC64" i="1"/>
  <c r="J65" i="1"/>
  <c r="W65" i="1"/>
  <c r="AJ65" i="1"/>
  <c r="M66" i="1"/>
  <c r="Z66" i="1"/>
  <c r="F67" i="1"/>
  <c r="U67" i="1"/>
  <c r="E92" i="1"/>
  <c r="D92" i="1"/>
  <c r="M68" i="1"/>
  <c r="U68" i="1"/>
  <c r="AC68" i="1"/>
  <c r="M69" i="1"/>
  <c r="U69" i="1"/>
  <c r="AC69" i="1"/>
  <c r="I72" i="1"/>
  <c r="Q72" i="1"/>
  <c r="Y72" i="1"/>
  <c r="AG72" i="1"/>
  <c r="I73" i="1"/>
  <c r="Q73" i="1"/>
  <c r="Y73" i="1"/>
  <c r="AG73" i="1"/>
  <c r="G74" i="1"/>
  <c r="O74" i="1"/>
  <c r="W74" i="1"/>
  <c r="AE74" i="1"/>
  <c r="G75" i="1"/>
  <c r="O75" i="1"/>
  <c r="W75" i="1"/>
  <c r="AE75" i="1"/>
  <c r="AJ77" i="1"/>
  <c r="AI77" i="1"/>
  <c r="AA77" i="1"/>
  <c r="S77" i="1"/>
  <c r="K77" i="1"/>
  <c r="AI76" i="1"/>
  <c r="Z94" i="1"/>
  <c r="M76" i="1"/>
  <c r="U76" i="1"/>
  <c r="AC76" i="1"/>
  <c r="F77" i="1"/>
  <c r="O77" i="1"/>
  <c r="X77" i="1"/>
  <c r="AG77" i="1"/>
  <c r="I80" i="1"/>
  <c r="U80" i="1"/>
  <c r="AH80" i="1"/>
  <c r="N81" i="1"/>
  <c r="AB81" i="1"/>
  <c r="E87" i="1"/>
  <c r="Z91" i="1"/>
  <c r="C94" i="1"/>
  <c r="AH73" i="1"/>
  <c r="H74" i="1"/>
  <c r="P74" i="1"/>
  <c r="X74" i="1"/>
  <c r="AF74" i="1"/>
  <c r="H75" i="1"/>
  <c r="P75" i="1"/>
  <c r="X75" i="1"/>
  <c r="AF75" i="1"/>
  <c r="J80" i="1"/>
  <c r="V80" i="1"/>
  <c r="AJ80" i="1"/>
  <c r="Q81" i="1"/>
  <c r="AC81" i="1"/>
  <c r="F87" i="1"/>
  <c r="H87" i="1"/>
  <c r="M62" i="1"/>
  <c r="U62" i="1"/>
  <c r="AC62" i="1"/>
  <c r="M63" i="1"/>
  <c r="U63" i="1"/>
  <c r="AC63" i="1"/>
  <c r="G68" i="1"/>
  <c r="O68" i="1"/>
  <c r="W68" i="1"/>
  <c r="AE68" i="1"/>
  <c r="G69" i="1"/>
  <c r="O69" i="1"/>
  <c r="W69" i="1"/>
  <c r="AE69" i="1"/>
  <c r="M70" i="1"/>
  <c r="U70" i="1"/>
  <c r="AC70" i="1"/>
  <c r="M71" i="1"/>
  <c r="U71" i="1"/>
  <c r="AC71" i="1"/>
  <c r="K72" i="1"/>
  <c r="S72" i="1"/>
  <c r="AA72" i="1"/>
  <c r="AI72" i="1"/>
  <c r="K73" i="1"/>
  <c r="S73" i="1"/>
  <c r="AA73" i="1"/>
  <c r="AI73" i="1"/>
  <c r="I74" i="1"/>
  <c r="Q74" i="1"/>
  <c r="Y74" i="1"/>
  <c r="AG74" i="1"/>
  <c r="I75" i="1"/>
  <c r="Q75" i="1"/>
  <c r="Y75" i="1"/>
  <c r="AG75" i="1"/>
  <c r="G76" i="1"/>
  <c r="O76" i="1"/>
  <c r="W76" i="1"/>
  <c r="AE76" i="1"/>
  <c r="H77" i="1"/>
  <c r="Q77" i="1"/>
  <c r="Z77" i="1"/>
  <c r="L80" i="1"/>
  <c r="Y80" i="1"/>
  <c r="R81" i="1"/>
  <c r="AD81" i="1"/>
  <c r="F94" i="1"/>
  <c r="T81" i="1"/>
  <c r="AG81" i="1"/>
  <c r="AJ113" i="1"/>
  <c r="F92" i="1"/>
  <c r="Z92" i="1"/>
  <c r="M72" i="1"/>
  <c r="U72" i="1"/>
  <c r="AC72" i="1"/>
  <c r="M73" i="1"/>
  <c r="U73" i="1"/>
  <c r="AC73" i="1"/>
  <c r="K74" i="1"/>
  <c r="S74" i="1"/>
  <c r="AA74" i="1"/>
  <c r="AI74" i="1"/>
  <c r="K75" i="1"/>
  <c r="S75" i="1"/>
  <c r="AA75" i="1"/>
  <c r="AI75" i="1"/>
  <c r="I76" i="1"/>
  <c r="Q76" i="1"/>
  <c r="Y76" i="1"/>
  <c r="AG76" i="1"/>
  <c r="J77" i="1"/>
  <c r="T77" i="1"/>
  <c r="AC77" i="1"/>
  <c r="AH79" i="1"/>
  <c r="N80" i="1"/>
  <c r="AB80" i="1"/>
  <c r="I81" i="1"/>
  <c r="U81" i="1"/>
  <c r="AH81" i="1"/>
  <c r="Z87" i="1"/>
  <c r="C90" i="1"/>
  <c r="E91" i="1"/>
  <c r="H91" i="1" s="1"/>
  <c r="H62" i="1"/>
  <c r="P62" i="1"/>
  <c r="X62" i="1"/>
  <c r="AF62" i="1"/>
  <c r="H63" i="1"/>
  <c r="P63" i="1"/>
  <c r="X63" i="1"/>
  <c r="AF63" i="1"/>
  <c r="J68" i="1"/>
  <c r="R68" i="1"/>
  <c r="Z68" i="1"/>
  <c r="AH68" i="1"/>
  <c r="J69" i="1"/>
  <c r="R69" i="1"/>
  <c r="Z69" i="1"/>
  <c r="AH69" i="1"/>
  <c r="H70" i="1"/>
  <c r="P70" i="1"/>
  <c r="X70" i="1"/>
  <c r="AF70" i="1"/>
  <c r="H71" i="1"/>
  <c r="P71" i="1"/>
  <c r="X71" i="1"/>
  <c r="AF71" i="1"/>
  <c r="F72" i="1"/>
  <c r="N72" i="1"/>
  <c r="V72" i="1"/>
  <c r="AD72" i="1"/>
  <c r="F73" i="1"/>
  <c r="N73" i="1"/>
  <c r="V73" i="1"/>
  <c r="AD73" i="1"/>
  <c r="L74" i="1"/>
  <c r="T74" i="1"/>
  <c r="AB74" i="1"/>
  <c r="AJ74" i="1"/>
  <c r="L75" i="1"/>
  <c r="T75" i="1"/>
  <c r="AB75" i="1"/>
  <c r="J76" i="1"/>
  <c r="R76" i="1"/>
  <c r="Z76" i="1"/>
  <c r="AH76" i="1"/>
  <c r="L77" i="1"/>
  <c r="U77" i="1"/>
  <c r="AD77" i="1"/>
  <c r="Q80" i="1"/>
  <c r="AC80" i="1"/>
  <c r="J81" i="1"/>
  <c r="V81" i="1"/>
  <c r="F91" i="1"/>
  <c r="C138" i="1"/>
  <c r="AG115" i="1"/>
  <c r="Y115" i="1"/>
  <c r="Q115" i="1"/>
  <c r="F138" i="1"/>
  <c r="Z138" i="1"/>
  <c r="AD115" i="1"/>
  <c r="U115" i="1"/>
  <c r="L115" i="1"/>
  <c r="AJ114" i="1"/>
  <c r="AB114" i="1"/>
  <c r="T114" i="1"/>
  <c r="L114" i="1"/>
  <c r="AC115" i="1"/>
  <c r="T115" i="1"/>
  <c r="K115" i="1"/>
  <c r="AI114" i="1"/>
  <c r="AA114" i="1"/>
  <c r="S114" i="1"/>
  <c r="K114" i="1"/>
  <c r="AB115" i="1"/>
  <c r="S115" i="1"/>
  <c r="J115" i="1"/>
  <c r="AH114" i="1"/>
  <c r="Z114" i="1"/>
  <c r="R114" i="1"/>
  <c r="J114" i="1"/>
  <c r="AJ115" i="1"/>
  <c r="AA115" i="1"/>
  <c r="R115" i="1"/>
  <c r="I115" i="1"/>
  <c r="AG114" i="1"/>
  <c r="Y114" i="1"/>
  <c r="Q114" i="1"/>
  <c r="I114" i="1"/>
  <c r="AH115" i="1"/>
  <c r="X115" i="1"/>
  <c r="O115" i="1"/>
  <c r="G115" i="1"/>
  <c r="AE114" i="1"/>
  <c r="W114" i="1"/>
  <c r="O114" i="1"/>
  <c r="G114" i="1"/>
  <c r="X114" i="1"/>
  <c r="N115" i="1"/>
  <c r="F93" i="1"/>
  <c r="C93" i="1"/>
  <c r="M74" i="1"/>
  <c r="U74" i="1"/>
  <c r="AC74" i="1"/>
  <c r="M75" i="1"/>
  <c r="U75" i="1"/>
  <c r="AC75" i="1"/>
  <c r="F96" i="1"/>
  <c r="AF81" i="1"/>
  <c r="X81" i="1"/>
  <c r="P81" i="1"/>
  <c r="H81" i="1"/>
  <c r="AF80" i="1"/>
  <c r="X80" i="1"/>
  <c r="P80" i="1"/>
  <c r="H80" i="1"/>
  <c r="Z96" i="1"/>
  <c r="AE81" i="1"/>
  <c r="W81" i="1"/>
  <c r="O81" i="1"/>
  <c r="G81" i="1"/>
  <c r="AE80" i="1"/>
  <c r="W80" i="1"/>
  <c r="O80" i="1"/>
  <c r="G80" i="1"/>
  <c r="C96" i="1"/>
  <c r="AI81" i="1"/>
  <c r="AA81" i="1"/>
  <c r="S81" i="1"/>
  <c r="K81" i="1"/>
  <c r="AI80" i="1"/>
  <c r="AA80" i="1"/>
  <c r="S80" i="1"/>
  <c r="K80" i="1"/>
  <c r="R80" i="1"/>
  <c r="AD80" i="1"/>
  <c r="L81" i="1"/>
  <c r="Y81" i="1"/>
  <c r="F90" i="1"/>
  <c r="AJ117" i="1"/>
  <c r="M78" i="1"/>
  <c r="U78" i="1"/>
  <c r="AC78" i="1"/>
  <c r="M79" i="1"/>
  <c r="U79" i="1"/>
  <c r="AC79" i="1"/>
  <c r="I112" i="1"/>
  <c r="Q112" i="1"/>
  <c r="Y112" i="1"/>
  <c r="AG112" i="1"/>
  <c r="I113" i="1"/>
  <c r="Q113" i="1"/>
  <c r="Y113" i="1"/>
  <c r="AG113" i="1"/>
  <c r="I116" i="1"/>
  <c r="R116" i="1"/>
  <c r="AA116" i="1"/>
  <c r="AJ116" i="1"/>
  <c r="M117" i="1"/>
  <c r="V117" i="1"/>
  <c r="AF117" i="1"/>
  <c r="AI113" i="1"/>
  <c r="K116" i="1"/>
  <c r="T116" i="1"/>
  <c r="AC116" i="1"/>
  <c r="F117" i="1"/>
  <c r="P117" i="1"/>
  <c r="Y117" i="1"/>
  <c r="AH117" i="1"/>
  <c r="AE121" i="1"/>
  <c r="AE129" i="1"/>
  <c r="L112" i="1"/>
  <c r="T112" i="1"/>
  <c r="AB112" i="1"/>
  <c r="AJ112" i="1"/>
  <c r="L113" i="1"/>
  <c r="T113" i="1"/>
  <c r="AB113" i="1"/>
  <c r="L116" i="1"/>
  <c r="U116" i="1"/>
  <c r="AD116" i="1"/>
  <c r="H117" i="1"/>
  <c r="Q117" i="1"/>
  <c r="Z117" i="1"/>
  <c r="AI117" i="1"/>
  <c r="I78" i="1"/>
  <c r="Q78" i="1"/>
  <c r="Y78" i="1"/>
  <c r="AG78" i="1"/>
  <c r="I79" i="1"/>
  <c r="Q79" i="1"/>
  <c r="Y79" i="1"/>
  <c r="AG79" i="1"/>
  <c r="C95" i="1"/>
  <c r="F137" i="1"/>
  <c r="Z137" i="1"/>
  <c r="C137" i="1"/>
  <c r="M112" i="1"/>
  <c r="U112" i="1"/>
  <c r="AC112" i="1"/>
  <c r="M113" i="1"/>
  <c r="U113" i="1"/>
  <c r="AC113" i="1"/>
  <c r="M116" i="1"/>
  <c r="V116" i="1"/>
  <c r="AF116" i="1"/>
  <c r="I117" i="1"/>
  <c r="R117" i="1"/>
  <c r="AA117" i="1"/>
  <c r="E142" i="1"/>
  <c r="D142" i="1"/>
  <c r="H142" i="1" s="1"/>
  <c r="E146" i="1"/>
  <c r="D146" i="1"/>
  <c r="J78" i="1"/>
  <c r="R78" i="1"/>
  <c r="Z78" i="1"/>
  <c r="AH78" i="1"/>
  <c r="J79" i="1"/>
  <c r="R79" i="1"/>
  <c r="Z79" i="1"/>
  <c r="Z139" i="1"/>
  <c r="C139" i="1"/>
  <c r="AE117" i="1"/>
  <c r="W117" i="1"/>
  <c r="O117" i="1"/>
  <c r="G117" i="1"/>
  <c r="AE116" i="1"/>
  <c r="W116" i="1"/>
  <c r="O116" i="1"/>
  <c r="G116" i="1"/>
  <c r="F139" i="1"/>
  <c r="N116" i="1"/>
  <c r="X116" i="1"/>
  <c r="AG116" i="1"/>
  <c r="J117" i="1"/>
  <c r="S117" i="1"/>
  <c r="AB117" i="1"/>
  <c r="F143" i="1"/>
  <c r="I120" i="1"/>
  <c r="Q120" i="1"/>
  <c r="Y120" i="1"/>
  <c r="AG120" i="1"/>
  <c r="I121" i="1"/>
  <c r="Q121" i="1"/>
  <c r="Y121" i="1"/>
  <c r="AG121" i="1"/>
  <c r="G122" i="1"/>
  <c r="O122" i="1"/>
  <c r="W122" i="1"/>
  <c r="AE122" i="1"/>
  <c r="G123" i="1"/>
  <c r="O123" i="1"/>
  <c r="W123" i="1"/>
  <c r="AE123" i="1"/>
  <c r="M124" i="1"/>
  <c r="U124" i="1"/>
  <c r="AC124" i="1"/>
  <c r="M125" i="1"/>
  <c r="U125" i="1"/>
  <c r="AC125" i="1"/>
  <c r="K126" i="1"/>
  <c r="S126" i="1"/>
  <c r="AA126" i="1"/>
  <c r="AI126" i="1"/>
  <c r="K127" i="1"/>
  <c r="S127" i="1"/>
  <c r="AA127" i="1"/>
  <c r="AI127" i="1"/>
  <c r="I128" i="1"/>
  <c r="Q128" i="1"/>
  <c r="Y128" i="1"/>
  <c r="AG128" i="1"/>
  <c r="I129" i="1"/>
  <c r="Q129" i="1"/>
  <c r="Y129" i="1"/>
  <c r="AG129" i="1"/>
  <c r="G130" i="1"/>
  <c r="O130" i="1"/>
  <c r="W130" i="1"/>
  <c r="AE130" i="1"/>
  <c r="G131" i="1"/>
  <c r="O131" i="1"/>
  <c r="W131" i="1"/>
  <c r="AE131" i="1"/>
  <c r="C141" i="1"/>
  <c r="Z142" i="1"/>
  <c r="C145" i="1"/>
  <c r="Z146" i="1"/>
  <c r="T126" i="1"/>
  <c r="AB126" i="1"/>
  <c r="AJ126" i="1"/>
  <c r="L127" i="1"/>
  <c r="T127" i="1"/>
  <c r="AB127" i="1"/>
  <c r="AJ127" i="1"/>
  <c r="J128" i="1"/>
  <c r="R128" i="1"/>
  <c r="Z128" i="1"/>
  <c r="AH128" i="1"/>
  <c r="J129" i="1"/>
  <c r="R129" i="1"/>
  <c r="Z129" i="1"/>
  <c r="AH129" i="1"/>
  <c r="H130" i="1"/>
  <c r="P130" i="1"/>
  <c r="X130" i="1"/>
  <c r="AF130" i="1"/>
  <c r="H131" i="1"/>
  <c r="P131" i="1"/>
  <c r="X131" i="1"/>
  <c r="AF131" i="1"/>
  <c r="F142" i="1"/>
  <c r="F146" i="1"/>
  <c r="M118" i="1"/>
  <c r="U118" i="1"/>
  <c r="AC118" i="1"/>
  <c r="M119" i="1"/>
  <c r="U119" i="1"/>
  <c r="AC119" i="1"/>
  <c r="K120" i="1"/>
  <c r="S120" i="1"/>
  <c r="AA120" i="1"/>
  <c r="AI120" i="1"/>
  <c r="K121" i="1"/>
  <c r="S121" i="1"/>
  <c r="AA121" i="1"/>
  <c r="AI121" i="1"/>
  <c r="I122" i="1"/>
  <c r="Q122" i="1"/>
  <c r="Y122" i="1"/>
  <c r="AG122" i="1"/>
  <c r="I123" i="1"/>
  <c r="Q123" i="1"/>
  <c r="Y123" i="1"/>
  <c r="AG123" i="1"/>
  <c r="G124" i="1"/>
  <c r="O124" i="1"/>
  <c r="W124" i="1"/>
  <c r="AE124" i="1"/>
  <c r="G125" i="1"/>
  <c r="O125" i="1"/>
  <c r="W125" i="1"/>
  <c r="AE125" i="1"/>
  <c r="M126" i="1"/>
  <c r="U126" i="1"/>
  <c r="AC126" i="1"/>
  <c r="M127" i="1"/>
  <c r="U127" i="1"/>
  <c r="AC127" i="1"/>
  <c r="K128" i="1"/>
  <c r="S128" i="1"/>
  <c r="AA128" i="1"/>
  <c r="AI128" i="1"/>
  <c r="K129" i="1"/>
  <c r="S129" i="1"/>
  <c r="AA129" i="1"/>
  <c r="AI129" i="1"/>
  <c r="I130" i="1"/>
  <c r="Q130" i="1"/>
  <c r="Y130" i="1"/>
  <c r="AG130" i="1"/>
  <c r="I131" i="1"/>
  <c r="Q131" i="1"/>
  <c r="Y131" i="1"/>
  <c r="AG131" i="1"/>
  <c r="C140" i="1"/>
  <c r="Z141" i="1"/>
  <c r="C144" i="1"/>
  <c r="Z145" i="1"/>
  <c r="L128" i="1"/>
  <c r="T128" i="1"/>
  <c r="AB128" i="1"/>
  <c r="AJ128" i="1"/>
  <c r="L129" i="1"/>
  <c r="T129" i="1"/>
  <c r="AB129" i="1"/>
  <c r="AJ129" i="1"/>
  <c r="J130" i="1"/>
  <c r="R130" i="1"/>
  <c r="Z130" i="1"/>
  <c r="AH130" i="1"/>
  <c r="J131" i="1"/>
  <c r="R131" i="1"/>
  <c r="Z131" i="1"/>
  <c r="AH131" i="1"/>
  <c r="F141" i="1"/>
  <c r="F145" i="1"/>
  <c r="M120" i="1"/>
  <c r="U120" i="1"/>
  <c r="AC120" i="1"/>
  <c r="M121" i="1"/>
  <c r="U121" i="1"/>
  <c r="AC121" i="1"/>
  <c r="K122" i="1"/>
  <c r="S122" i="1"/>
  <c r="AA122" i="1"/>
  <c r="AI122" i="1"/>
  <c r="K123" i="1"/>
  <c r="S123" i="1"/>
  <c r="AA123" i="1"/>
  <c r="AI123" i="1"/>
  <c r="I124" i="1"/>
  <c r="Q124" i="1"/>
  <c r="Y124" i="1"/>
  <c r="AG124" i="1"/>
  <c r="I125" i="1"/>
  <c r="Q125" i="1"/>
  <c r="Y125" i="1"/>
  <c r="AG125" i="1"/>
  <c r="W127" i="1"/>
  <c r="AE127" i="1"/>
  <c r="M128" i="1"/>
  <c r="U128" i="1"/>
  <c r="AC128" i="1"/>
  <c r="M129" i="1"/>
  <c r="U129" i="1"/>
  <c r="AC129" i="1"/>
  <c r="K130" i="1"/>
  <c r="S130" i="1"/>
  <c r="AA130" i="1"/>
  <c r="AI130" i="1"/>
  <c r="K131" i="1"/>
  <c r="S131" i="1"/>
  <c r="AA131" i="1"/>
  <c r="AI131" i="1"/>
  <c r="Z140" i="1"/>
  <c r="C143" i="1"/>
  <c r="Z144" i="1"/>
  <c r="L130" i="1"/>
  <c r="T130" i="1"/>
  <c r="AB130" i="1"/>
  <c r="AJ130" i="1"/>
  <c r="L131" i="1"/>
  <c r="T131" i="1"/>
  <c r="AB131" i="1"/>
  <c r="AJ131" i="1"/>
  <c r="AE120" i="1"/>
  <c r="G121" i="1"/>
  <c r="O121" i="1"/>
  <c r="W121" i="1"/>
  <c r="M122" i="1"/>
  <c r="U122" i="1"/>
  <c r="AC122" i="1"/>
  <c r="M123" i="1"/>
  <c r="U123" i="1"/>
  <c r="AC123" i="1"/>
  <c r="K124" i="1"/>
  <c r="S124" i="1"/>
  <c r="AA124" i="1"/>
  <c r="AI124" i="1"/>
  <c r="K125" i="1"/>
  <c r="S125" i="1"/>
  <c r="AA125" i="1"/>
  <c r="AI125" i="1"/>
  <c r="W128" i="1"/>
  <c r="AE128" i="1"/>
  <c r="G129" i="1"/>
  <c r="O129" i="1"/>
  <c r="W129" i="1"/>
  <c r="M130" i="1"/>
  <c r="U130" i="1"/>
  <c r="AC130" i="1"/>
  <c r="M131" i="1"/>
  <c r="U131" i="1"/>
  <c r="AC131" i="1"/>
  <c r="AC91" i="1" l="1"/>
  <c r="AK64" i="1"/>
  <c r="W88" i="1" s="1"/>
  <c r="AC142" i="1"/>
  <c r="D95" i="1"/>
  <c r="H95" i="1" s="1"/>
  <c r="E95" i="1"/>
  <c r="E90" i="1"/>
  <c r="D90" i="1"/>
  <c r="AK29" i="1"/>
  <c r="K45" i="1" s="1"/>
  <c r="AK71" i="1"/>
  <c r="K91" i="1" s="1"/>
  <c r="AK116" i="1"/>
  <c r="W139" i="1" s="1"/>
  <c r="AK69" i="1"/>
  <c r="K90" i="1" s="1"/>
  <c r="AK78" i="1"/>
  <c r="W95" i="1" s="1"/>
  <c r="AK131" i="1"/>
  <c r="K146" i="1" s="1"/>
  <c r="AK123" i="1"/>
  <c r="K142" i="1" s="1"/>
  <c r="E42" i="1"/>
  <c r="D42" i="1"/>
  <c r="H42" i="1" s="1"/>
  <c r="AK25" i="1"/>
  <c r="K43" i="1" s="1"/>
  <c r="AK113" i="1"/>
  <c r="K137" i="1" s="1"/>
  <c r="E144" i="1"/>
  <c r="D144" i="1"/>
  <c r="H144" i="1" s="1"/>
  <c r="AK73" i="1"/>
  <c r="K92" i="1" s="1"/>
  <c r="AK67" i="1"/>
  <c r="K89" i="1" s="1"/>
  <c r="AK21" i="1"/>
  <c r="K41" i="1" s="1"/>
  <c r="AK28" i="1"/>
  <c r="W45" i="1" s="1"/>
  <c r="AK26" i="1"/>
  <c r="W44" i="1" s="1"/>
  <c r="AK118" i="1"/>
  <c r="W140" i="1" s="1"/>
  <c r="E40" i="1"/>
  <c r="D40" i="1"/>
  <c r="H40" i="1" s="1"/>
  <c r="E145" i="1"/>
  <c r="D145" i="1"/>
  <c r="H145" i="1" s="1"/>
  <c r="E138" i="1"/>
  <c r="D138" i="1"/>
  <c r="H138" i="1" s="1"/>
  <c r="AC87" i="1"/>
  <c r="E94" i="1"/>
  <c r="D94" i="1"/>
  <c r="H94" i="1" s="1"/>
  <c r="AK30" i="1"/>
  <c r="W46" i="1" s="1"/>
  <c r="D89" i="1"/>
  <c r="H89" i="1" s="1"/>
  <c r="E89" i="1"/>
  <c r="AK16" i="1"/>
  <c r="W39" i="1" s="1"/>
  <c r="E43" i="1"/>
  <c r="D43" i="1"/>
  <c r="H43" i="1" s="1"/>
  <c r="AK19" i="1"/>
  <c r="K40" i="1" s="1"/>
  <c r="AK14" i="1"/>
  <c r="W38" i="1" s="1"/>
  <c r="AK68" i="1"/>
  <c r="W90" i="1" s="1"/>
  <c r="AK76" i="1"/>
  <c r="W94" i="1" s="1"/>
  <c r="AK126" i="1"/>
  <c r="W144" i="1" s="1"/>
  <c r="AK128" i="1"/>
  <c r="W145" i="1" s="1"/>
  <c r="AK130" i="1"/>
  <c r="W146" i="1" s="1"/>
  <c r="E41" i="1"/>
  <c r="D41" i="1"/>
  <c r="E140" i="1"/>
  <c r="D140" i="1"/>
  <c r="E139" i="1"/>
  <c r="D139" i="1"/>
  <c r="AK117" i="1"/>
  <c r="K139" i="1" s="1"/>
  <c r="E96" i="1"/>
  <c r="D96" i="1"/>
  <c r="AK24" i="1"/>
  <c r="W43" i="1" s="1"/>
  <c r="AK62" i="1"/>
  <c r="W87" i="1" s="1"/>
  <c r="AF87" i="1" s="1"/>
  <c r="AK81" i="1"/>
  <c r="K96" i="1" s="1"/>
  <c r="AK120" i="1"/>
  <c r="W141" i="1" s="1"/>
  <c r="AK129" i="1"/>
  <c r="K145" i="1" s="1"/>
  <c r="AK20" i="1"/>
  <c r="W41" i="1" s="1"/>
  <c r="AK12" i="1"/>
  <c r="W37" i="1" s="1"/>
  <c r="AK22" i="1"/>
  <c r="W42" i="1" s="1"/>
  <c r="E37" i="1"/>
  <c r="D37" i="1"/>
  <c r="E141" i="1"/>
  <c r="D141" i="1"/>
  <c r="H146" i="1"/>
  <c r="E137" i="1"/>
  <c r="D137" i="1"/>
  <c r="H137" i="1" s="1"/>
  <c r="E93" i="1"/>
  <c r="D93" i="1"/>
  <c r="H93" i="1" s="1"/>
  <c r="AK65" i="1"/>
  <c r="K88" i="1" s="1"/>
  <c r="AK13" i="1"/>
  <c r="K37" i="1" s="1"/>
  <c r="AK74" i="1"/>
  <c r="W93" i="1" s="1"/>
  <c r="AK125" i="1"/>
  <c r="K143" i="1" s="1"/>
  <c r="AK79" i="1"/>
  <c r="K95" i="1" s="1"/>
  <c r="AK115" i="1"/>
  <c r="K138" i="1" s="1"/>
  <c r="AK119" i="1"/>
  <c r="K140" i="1" s="1"/>
  <c r="AK124" i="1"/>
  <c r="W143" i="1" s="1"/>
  <c r="AK112" i="1"/>
  <c r="W137" i="1" s="1"/>
  <c r="AK23" i="1"/>
  <c r="K42" i="1" s="1"/>
  <c r="AK18" i="1"/>
  <c r="W40" i="1" s="1"/>
  <c r="AK72" i="1"/>
  <c r="W92" i="1" s="1"/>
  <c r="AK77" i="1"/>
  <c r="K94" i="1" s="1"/>
  <c r="H88" i="1"/>
  <c r="E39" i="1"/>
  <c r="D39" i="1"/>
  <c r="H39" i="1" s="1"/>
  <c r="AK75" i="1"/>
  <c r="K93" i="1" s="1"/>
  <c r="AK27" i="1"/>
  <c r="K44" i="1" s="1"/>
  <c r="AK70" i="1"/>
  <c r="W91" i="1" s="1"/>
  <c r="AF91" i="1" s="1"/>
  <c r="AK114" i="1"/>
  <c r="W138" i="1" s="1"/>
  <c r="AK121" i="1"/>
  <c r="K141" i="1" s="1"/>
  <c r="AK122" i="1"/>
  <c r="W142" i="1" s="1"/>
  <c r="AF142" i="1" s="1"/>
  <c r="E38" i="1"/>
  <c r="D38" i="1"/>
  <c r="H38" i="1" s="1"/>
  <c r="AK80" i="1"/>
  <c r="W96" i="1" s="1"/>
  <c r="E143" i="1"/>
  <c r="D143" i="1"/>
  <c r="H92" i="1"/>
  <c r="AK31" i="1"/>
  <c r="K46" i="1" s="1"/>
  <c r="AC44" i="1"/>
  <c r="AC46" i="1"/>
  <c r="AK15" i="1"/>
  <c r="K38" i="1" s="1"/>
  <c r="AK63" i="1"/>
  <c r="K87" i="1" s="1"/>
  <c r="AK127" i="1"/>
  <c r="K144" i="1" s="1"/>
  <c r="E45" i="1"/>
  <c r="D45" i="1"/>
  <c r="H45" i="1" s="1"/>
  <c r="AK17" i="1"/>
  <c r="K39" i="1" s="1"/>
  <c r="Q93" i="1" l="1"/>
  <c r="N93" i="1"/>
  <c r="N88" i="1"/>
  <c r="AI88" i="1" s="1"/>
  <c r="Q88" i="1"/>
  <c r="T88" i="1" s="1"/>
  <c r="H37" i="1"/>
  <c r="N37" i="1" s="1"/>
  <c r="Q96" i="1"/>
  <c r="H140" i="1"/>
  <c r="AF46" i="1"/>
  <c r="N92" i="1"/>
  <c r="Q92" i="1"/>
  <c r="T92" i="1" s="1"/>
  <c r="Q146" i="1"/>
  <c r="T146" i="1" s="1"/>
  <c r="N146" i="1"/>
  <c r="Q38" i="1"/>
  <c r="N38" i="1"/>
  <c r="Q142" i="1"/>
  <c r="T142" i="1" s="1"/>
  <c r="N142" i="1"/>
  <c r="AI142" i="1" s="1"/>
  <c r="T38" i="1"/>
  <c r="AC38" i="1"/>
  <c r="AC39" i="1"/>
  <c r="AF39" i="1" s="1"/>
  <c r="AC93" i="1"/>
  <c r="T93" i="1"/>
  <c r="AF38" i="1"/>
  <c r="AC94" i="1"/>
  <c r="AF94" i="1" s="1"/>
  <c r="T94" i="1"/>
  <c r="AC40" i="1"/>
  <c r="AC144" i="1"/>
  <c r="T95" i="1"/>
  <c r="AC95" i="1"/>
  <c r="AF95" i="1" s="1"/>
  <c r="Q89" i="1"/>
  <c r="T89" i="1" s="1"/>
  <c r="N89" i="1"/>
  <c r="Q39" i="1"/>
  <c r="T39" i="1" s="1"/>
  <c r="N39" i="1"/>
  <c r="Q140" i="1"/>
  <c r="N140" i="1"/>
  <c r="AF42" i="1"/>
  <c r="AF43" i="1"/>
  <c r="H41" i="1"/>
  <c r="N40" i="1"/>
  <c r="Q40" i="1"/>
  <c r="T40" i="1" s="1"/>
  <c r="Q90" i="1"/>
  <c r="Q37" i="1"/>
  <c r="AC45" i="1"/>
  <c r="T45" i="1"/>
  <c r="AC88" i="1"/>
  <c r="Q138" i="1"/>
  <c r="N138" i="1"/>
  <c r="AC137" i="1"/>
  <c r="AF137" i="1" s="1"/>
  <c r="T137" i="1"/>
  <c r="H96" i="1"/>
  <c r="AC43" i="1"/>
  <c r="N137" i="1"/>
  <c r="Q137" i="1"/>
  <c r="Q44" i="1"/>
  <c r="T44" i="1" s="1"/>
  <c r="N44" i="1"/>
  <c r="AI44" i="1" s="1"/>
  <c r="AC145" i="1"/>
  <c r="Q46" i="1"/>
  <c r="T46" i="1" s="1"/>
  <c r="N46" i="1"/>
  <c r="AI46" i="1" s="1"/>
  <c r="N141" i="1"/>
  <c r="Q141" i="1"/>
  <c r="Q94" i="1"/>
  <c r="N94" i="1"/>
  <c r="Q95" i="1"/>
  <c r="N95" i="1"/>
  <c r="AF44" i="1"/>
  <c r="Q43" i="1"/>
  <c r="T43" i="1" s="1"/>
  <c r="N43" i="1"/>
  <c r="AI43" i="1" s="1"/>
  <c r="Q91" i="1"/>
  <c r="T91" i="1" s="1"/>
  <c r="N91" i="1"/>
  <c r="AI91" i="1" s="1"/>
  <c r="AF88" i="1"/>
  <c r="Q42" i="1"/>
  <c r="N42" i="1"/>
  <c r="AC89" i="1"/>
  <c r="AF89" i="1" s="1"/>
  <c r="Q144" i="1"/>
  <c r="T144" i="1" s="1"/>
  <c r="N144" i="1"/>
  <c r="AI144" i="1" s="1"/>
  <c r="AC92" i="1"/>
  <c r="AF92" i="1" s="1"/>
  <c r="Q143" i="1"/>
  <c r="AC146" i="1"/>
  <c r="AF146" i="1" s="1"/>
  <c r="Q139" i="1"/>
  <c r="AF145" i="1"/>
  <c r="T138" i="1"/>
  <c r="AC138" i="1"/>
  <c r="AF138" i="1" s="1"/>
  <c r="AF45" i="1"/>
  <c r="T42" i="1"/>
  <c r="AC42" i="1"/>
  <c r="Q45" i="1"/>
  <c r="N45" i="1"/>
  <c r="Q87" i="1"/>
  <c r="T87" i="1" s="1"/>
  <c r="N87" i="1"/>
  <c r="H143" i="1"/>
  <c r="N143" i="1" s="1"/>
  <c r="AF40" i="1"/>
  <c r="AF93" i="1"/>
  <c r="H141" i="1"/>
  <c r="N145" i="1"/>
  <c r="AI145" i="1" s="1"/>
  <c r="Q145" i="1"/>
  <c r="T145" i="1" s="1"/>
  <c r="H139" i="1"/>
  <c r="N139" i="1" s="1"/>
  <c r="AF144" i="1"/>
  <c r="Q41" i="1"/>
  <c r="N41" i="1"/>
  <c r="H90" i="1"/>
  <c r="N90" i="1" s="1"/>
  <c r="N47" i="1" l="1"/>
  <c r="AI143" i="1"/>
  <c r="AI41" i="1"/>
  <c r="AC96" i="1"/>
  <c r="AF96" i="1" s="1"/>
  <c r="T96" i="1"/>
  <c r="AI92" i="1"/>
  <c r="AI94" i="1"/>
  <c r="AI87" i="1"/>
  <c r="AI137" i="1"/>
  <c r="N147" i="1"/>
  <c r="AI138" i="1"/>
  <c r="AI93" i="1"/>
  <c r="AI42" i="1"/>
  <c r="AI39" i="1"/>
  <c r="AI38" i="1"/>
  <c r="AC140" i="1"/>
  <c r="AF140" i="1" s="1"/>
  <c r="AI140" i="1" s="1"/>
  <c r="T140" i="1"/>
  <c r="T41" i="1"/>
  <c r="AC41" i="1"/>
  <c r="AF41" i="1" s="1"/>
  <c r="AI95" i="1"/>
  <c r="T37" i="1"/>
  <c r="T47" i="1" s="1"/>
  <c r="AC37" i="1"/>
  <c r="AF37" i="1" s="1"/>
  <c r="AF47" i="1" s="1"/>
  <c r="T143" i="1"/>
  <c r="AC143" i="1"/>
  <c r="AF143" i="1" s="1"/>
  <c r="T139" i="1"/>
  <c r="T147" i="1" s="1"/>
  <c r="AC139" i="1"/>
  <c r="AF139" i="1" s="1"/>
  <c r="AI139" i="1" s="1"/>
  <c r="AI45" i="1"/>
  <c r="AC141" i="1"/>
  <c r="AF141" i="1" s="1"/>
  <c r="AI141" i="1" s="1"/>
  <c r="T141" i="1"/>
  <c r="AC90" i="1"/>
  <c r="AF90" i="1" s="1"/>
  <c r="AF97" i="1" s="1"/>
  <c r="T90" i="1"/>
  <c r="T97" i="1" s="1"/>
  <c r="AI40" i="1"/>
  <c r="AI89" i="1"/>
  <c r="AI146" i="1"/>
  <c r="N96" i="1"/>
  <c r="N97" i="1" s="1"/>
  <c r="AI96" i="1" l="1"/>
  <c r="AI37" i="1"/>
  <c r="AF147" i="1"/>
  <c r="AI90" i="1"/>
</calcChain>
</file>

<file path=xl/sharedStrings.xml><?xml version="1.0" encoding="utf-8"?>
<sst xmlns="http://schemas.openxmlformats.org/spreadsheetml/2006/main" count="241" uniqueCount="70">
  <si>
    <t xml:space="preserve">    </t>
  </si>
  <si>
    <t>Res ID</t>
  </si>
  <si>
    <t>AUTORIDAD DE CARRETERAS Y TRANSPORTACION</t>
  </si>
  <si>
    <t xml:space="preserve">                                                          Area de Construcción</t>
  </si>
  <si>
    <t>Hoja Num.</t>
  </si>
  <si>
    <t>Total de Hojas</t>
  </si>
  <si>
    <t>RELACION DE EQUIPO DEL TRABAJO POR ADMINISTRACION DELEGADA</t>
  </si>
  <si>
    <t xml:space="preserve">FORCE ACCOUNT NUM.   </t>
  </si>
  <si>
    <t xml:space="preserve">PARTIDA NUM.   </t>
  </si>
  <si>
    <t xml:space="preserve">E.W.O. NUM.   </t>
  </si>
  <si>
    <t>Nombre y Num. De Proyecto</t>
  </si>
  <si>
    <t>Contratista</t>
  </si>
  <si>
    <r>
      <t>Mes y Año</t>
    </r>
    <r>
      <rPr>
        <u/>
        <sz val="10"/>
        <rFont val="Arial"/>
        <family val="2"/>
      </rPr>
      <t xml:space="preserve">      </t>
    </r>
  </si>
  <si>
    <t>Adm. de Proyecto</t>
  </si>
  <si>
    <t>Detalle del Tiempo Trabajado</t>
  </si>
  <si>
    <t>A</t>
  </si>
  <si>
    <t>Dia de la semana</t>
  </si>
  <si>
    <t>Total activo</t>
  </si>
  <si>
    <t>Dia del mes</t>
  </si>
  <si>
    <t>Total inactivo</t>
  </si>
  <si>
    <t>B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</si>
  <si>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</si>
  <si>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</si>
  <si>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</si>
  <si>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</si>
  <si>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</si>
  <si>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</si>
  <si>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</si>
  <si>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</si>
  <si>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</si>
  <si>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</si>
  <si>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</si>
  <si>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</si>
  <si>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</si>
  <si>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</si>
  <si>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 xml:space="preserve">RENTA </t>
  </si>
  <si>
    <t>RENTA POR</t>
  </si>
  <si>
    <t>FACTOR</t>
  </si>
  <si>
    <t>RENTA</t>
  </si>
  <si>
    <t>TOT. HORAS</t>
  </si>
  <si>
    <t>RENTA EQ.</t>
  </si>
  <si>
    <t>COSTO</t>
  </si>
  <si>
    <t>RENTA EQUIPO</t>
  </si>
  <si>
    <t>TOT. RENTA</t>
  </si>
  <si>
    <t>MENSUAL</t>
  </si>
  <si>
    <t>HORA</t>
  </si>
  <si>
    <t>AÑOS</t>
  </si>
  <si>
    <t>ZONA</t>
  </si>
  <si>
    <t>POR HORA</t>
  </si>
  <si>
    <t>INACTIVAS</t>
  </si>
  <si>
    <t>INACTIVO</t>
  </si>
  <si>
    <t>ACT. + INACT.</t>
  </si>
  <si>
    <t>ACTIVAS</t>
  </si>
  <si>
    <t>OPERACION</t>
  </si>
  <si>
    <t>ACT. POR HORA</t>
  </si>
  <si>
    <t>ACT. MENS.</t>
  </si>
  <si>
    <t>POR EQUIPO</t>
  </si>
  <si>
    <t>***</t>
  </si>
  <si>
    <t>aa/176</t>
  </si>
  <si>
    <t>bb*cc*dd</t>
  </si>
  <si>
    <t>ee*ff</t>
  </si>
  <si>
    <t>ff+jj</t>
  </si>
  <si>
    <t>ee*hh</t>
  </si>
  <si>
    <t>ee+kk</t>
  </si>
  <si>
    <t>jj*ll</t>
  </si>
  <si>
    <t>gg+mm</t>
  </si>
  <si>
    <t>Subtot. gg</t>
  </si>
  <si>
    <t>Subtot. ii</t>
  </si>
  <si>
    <t>Subtot. mm</t>
  </si>
  <si>
    <t>Mejoras de Seguridad Carretera PR-156 Caguas - Aguas Buenas  (AC-015681)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</si>
</sst>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mmmm\ yyyy"/>
    <numFmt numFmtId="165" formatCode="&quot;$&quot;#,##0.00"/>
  </numFmts>
  <fonts count="10" x14ac:knownFonts="1"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2" fillId="0" borderId="0" xfId="0" applyFont="1" applyAlignment="1" applyProtection="1">
      <alignment horizontal="left"/>
      <protection hidden="1"/>
    </xf>
    <xf numFmtId="0" fontId="1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left"/>
      <protection hidden="1"/>
    </xf>
    <xf numFmtId="0" fontId="0" fillId="0" borderId="0" xfId="0"/>
    <xf numFmtId="17" fontId="5" fillId="0" borderId="1" xfId="0" applyNumberFormat="1" applyFont="1" applyBorder="1" applyAlignment="1" applyProtection="1">
      <alignment horizontal="center"/>
      <protection hidden="1"/>
    </xf>
    <xf numFmtId="164" fontId="4" fillId="0" borderId="2" xfId="0" applyNumberFormat="1" applyFont="1" applyBorder="1" applyAlignment="1" applyProtection="1">
      <alignment horizontal="left"/>
      <protection hidden="1"/>
    </xf>
    <xf numFmtId="0" fontId="6" fillId="0" borderId="1" xfId="0" applyFont="1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left" vertical="center"/>
      <protection hidden="1"/>
    </xf>
    <xf numFmtId="0" fontId="0" fillId="0" borderId="10" xfId="0" applyBorder="1" applyAlignment="1" applyProtection="1">
      <alignment horizontal="left" vertical="center"/>
      <protection hidden="1"/>
    </xf>
    <xf numFmtId="0" fontId="0" fillId="0" borderId="11" xfId="0" applyBorder="1" applyAlignment="1" applyProtection="1">
      <alignment horizontal="left" vertical="center"/>
      <protection hidden="1"/>
    </xf>
    <xf numFmtId="2" fontId="0" fillId="0" borderId="12" xfId="0" applyNumberFormat="1" applyBorder="1" applyAlignment="1" applyProtection="1">
      <alignment horizontal="center" wrapText="1"/>
      <protection hidden="1"/>
    </xf>
    <xf numFmtId="2" fontId="0" fillId="0" borderId="13" xfId="0" applyNumberForma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7" xfId="0" applyBorder="1" applyAlignment="1" applyProtection="1">
      <alignment horizontal="left" vertical="center"/>
      <protection hidden="1"/>
    </xf>
    <xf numFmtId="2" fontId="0" fillId="0" borderId="15" xfId="0" applyNumberFormat="1" applyBorder="1" applyAlignment="1" applyProtection="1">
      <alignment horizontal="center" wrapText="1"/>
      <protection hidden="1"/>
    </xf>
    <xf numFmtId="2" fontId="0" fillId="0" borderId="6" xfId="0" applyNumberForma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0" borderId="9" xfId="0" applyFont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7" fillId="0" borderId="12" xfId="0" applyFont="1" applyBorder="1" applyAlignment="1" applyProtection="1">
      <alignment horizontal="center"/>
      <protection hidden="1"/>
    </xf>
    <xf numFmtId="0" fontId="7" fillId="0" borderId="9" xfId="0" applyFont="1" applyBorder="1" applyAlignment="1" applyProtection="1">
      <alignment horizontal="center"/>
      <protection hidden="1"/>
    </xf>
    <xf numFmtId="0" fontId="7" fillId="0" borderId="11" xfId="0" applyFont="1" applyBorder="1" applyAlignment="1" applyProtection="1">
      <alignment horizontal="center"/>
      <protection hidden="1"/>
    </xf>
    <xf numFmtId="0" fontId="7" fillId="0" borderId="16" xfId="0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7" fillId="0" borderId="17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7" fillId="0" borderId="14" xfId="0" applyFont="1" applyBorder="1" applyAlignment="1" applyProtection="1">
      <alignment horizontal="center"/>
      <protection hidden="1"/>
    </xf>
    <xf numFmtId="0" fontId="7" fillId="0" borderId="7" xfId="0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3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7" xfId="0" applyFont="1" applyBorder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center"/>
      <protection hidden="1"/>
    </xf>
    <xf numFmtId="0" fontId="9" fillId="0" borderId="4" xfId="0" applyFont="1" applyBorder="1" applyAlignment="1" applyProtection="1">
      <alignment horizontal="center"/>
      <protection hidden="1"/>
    </xf>
    <xf numFmtId="0" fontId="9" fillId="0" borderId="2" xfId="0" applyFont="1" applyBorder="1" applyAlignment="1" applyProtection="1">
      <alignment horizontal="center"/>
      <protection hidden="1"/>
    </xf>
    <xf numFmtId="0" fontId="9" fillId="0" borderId="5" xfId="0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0" fillId="0" borderId="3" xfId="0" applyNumberFormat="1" applyBorder="1" applyAlignment="1" applyProtection="1">
      <alignment horizontal="center" vertic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165" fontId="0" fillId="0" borderId="3" xfId="0" applyNumberFormat="1" applyBorder="1" applyAlignment="1" applyProtection="1">
      <alignment horizontal="center"/>
      <protection hidden="1"/>
    </xf>
    <xf numFmtId="2" fontId="0" fillId="0" borderId="3" xfId="0" applyNumberFormat="1" applyBorder="1" applyAlignment="1" applyProtection="1">
      <alignment horizontal="center"/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2" fontId="0" fillId="0" borderId="4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 vertical="center"/>
      <protection hidden="1"/>
    </xf>
    <xf numFmtId="165" fontId="0" fillId="0" borderId="2" xfId="0" applyNumberFormat="1" applyBorder="1" applyAlignment="1" applyProtection="1">
      <alignment horizontal="center" vertical="center"/>
      <protection hidden="1"/>
    </xf>
    <xf numFmtId="165" fontId="0" fillId="0" borderId="5" xfId="0" applyNumberFormat="1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2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7" fontId="0" fillId="0" borderId="0" xfId="0" applyNumberFormat="1" applyAlignment="1" applyProtection="1">
      <alignment horizontal="left"/>
      <protection hidden="1"/>
    </xf>
    <xf numFmtId="7" fontId="0" fillId="0" borderId="0" xfId="0" applyNumberFormat="1" applyAlignment="1" applyProtection="1">
      <alignment horizontal="center"/>
      <protection hidden="1"/>
    </xf>
  </cellXfs>
  <cellStyles count="1"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NUALES/Manual%20Documentacion/Anejos%20Manual/5.%20Formulario%20Force%20Account_V2.3.xlsm" TargetMode="External"/><Relationship Id="rId2" Type="http://schemas.openxmlformats.org/officeDocument/2006/relationships/externalLinkPath" Target="file:///G:\My%20Drive\M2A%20(GD)\CARRETERAS\DOCUMENTOS%20CARRETERAS\FORMAS%20Y%20DOCUMENTOS%20ACT\MANUALES\Manual%20Documentacion\Anejos%20Manual\5.%20Formulario%20Force%20Account_V2.3.xlsm" TargetMode="External"/><Relationship Id="rId1" Type="http://schemas.openxmlformats.org/officeDocument/2006/relationships/externalLinkPath" Target="/My%20Drive/M2A%20(GD)/CARRETERAS/DOCUMENTOS%20CARRETERAS/FORMAS%20Y%20DOCUMENTOS%20ACT/MANUALES/Manual%20Documentacion/Anejos%20Manual/5.%20Formulario%20Force%20Account_V2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rmación Force Account"/>
      <sheetName val="Empleados Contratista"/>
      <sheetName val="Equipo Contratista"/>
      <sheetName val="Resumen FA (Anual) 52"/>
      <sheetName val="Resumen FA (Mensual) 51"/>
      <sheetName val="Inf. Diario 49"/>
      <sheetName val="Equipo FA 50"/>
      <sheetName val="DBPCFA"/>
    </sheetNames>
    <sheetDataSet>
      <sheetData sheetId="0">
        <row r="1">
          <cell r="I1" t="b">
            <v>1</v>
          </cell>
        </row>
      </sheetData>
      <sheetData sheetId="1"/>
      <sheetData sheetId="2">
        <row r="1">
          <cell r="A1" t="str">
            <v>Desc + ID</v>
          </cell>
          <cell r="B1" t="str">
            <v>ID Num.</v>
          </cell>
          <cell r="C1" t="str">
            <v>Descripción</v>
          </cell>
          <cell r="D1" t="str">
            <v>Modelo</v>
          </cell>
          <cell r="E1" t="str">
            <v>Año</v>
          </cell>
          <cell r="F1" t="str">
            <v>Capacidad</v>
          </cell>
          <cell r="G1" t="str">
            <v>Diesel/     Gasolina</v>
          </cell>
          <cell r="H1" t="str">
            <v>Alquilado/   Propio</v>
          </cell>
          <cell r="I1" t="str">
            <v>Renta Mensual</v>
          </cell>
          <cell r="J1" t="str">
            <v>Factor de Zona</v>
          </cell>
          <cell r="K1" t="str">
            <v>Costo Operacional</v>
          </cell>
        </row>
        <row r="2">
          <cell r="A2" t="str">
            <v/>
          </cell>
        </row>
        <row r="3">
          <cell r="A3" t="str">
            <v/>
          </cell>
        </row>
        <row r="4">
          <cell r="A4" t="str">
            <v/>
          </cell>
        </row>
        <row r="5">
          <cell r="A5" t="str">
            <v/>
          </cell>
        </row>
        <row r="6">
          <cell r="A6" t="str">
            <v/>
          </cell>
        </row>
        <row r="7">
          <cell r="A7" t="str">
            <v/>
          </cell>
        </row>
        <row r="8">
          <cell r="A8" t="str">
            <v/>
          </cell>
        </row>
        <row r="9">
          <cell r="A9" t="str">
            <v/>
          </cell>
        </row>
        <row r="10">
          <cell r="A10" t="str">
            <v/>
          </cell>
        </row>
        <row r="11">
          <cell r="A11" t="str">
            <v/>
          </cell>
        </row>
        <row r="12">
          <cell r="A12" t="str">
            <v/>
          </cell>
        </row>
        <row r="13">
          <cell r="A13" t="str">
            <v/>
          </cell>
        </row>
        <row r="14">
          <cell r="A14" t="str">
            <v/>
          </cell>
        </row>
        <row r="15">
          <cell r="A15" t="str">
            <v/>
          </cell>
        </row>
        <row r="16">
          <cell r="A16" t="str">
            <v/>
          </cell>
        </row>
        <row r="17">
          <cell r="A17" t="str">
            <v/>
          </cell>
        </row>
        <row r="18">
          <cell r="A18" t="str">
            <v/>
          </cell>
        </row>
        <row r="19">
          <cell r="A19" t="str">
            <v/>
          </cell>
        </row>
        <row r="20">
          <cell r="A20" t="str">
            <v/>
          </cell>
        </row>
        <row r="21">
          <cell r="A21" t="str">
            <v/>
          </cell>
        </row>
        <row r="22">
          <cell r="A22" t="str">
            <v/>
          </cell>
        </row>
        <row r="23">
          <cell r="A23" t="str">
            <v/>
          </cell>
        </row>
        <row r="24">
          <cell r="A24" t="str">
            <v/>
          </cell>
        </row>
        <row r="25">
          <cell r="A25" t="str">
            <v/>
          </cell>
        </row>
        <row r="26">
          <cell r="A26" t="str">
            <v/>
          </cell>
        </row>
        <row r="27">
          <cell r="A27" t="str">
            <v/>
          </cell>
        </row>
        <row r="28">
          <cell r="A28" t="str">
            <v/>
          </cell>
        </row>
        <row r="29">
          <cell r="A29" t="str">
            <v/>
          </cell>
        </row>
        <row r="30">
          <cell r="A30" t="str">
            <v/>
          </cell>
        </row>
        <row r="31">
          <cell r="A31" t="str">
            <v/>
          </cell>
        </row>
        <row r="32">
          <cell r="A32" t="str">
            <v/>
          </cell>
        </row>
        <row r="33">
          <cell r="A33" t="str">
            <v/>
          </cell>
        </row>
        <row r="34">
          <cell r="A34" t="str">
            <v/>
          </cell>
        </row>
        <row r="35">
          <cell r="A35" t="str">
            <v/>
          </cell>
        </row>
        <row r="36">
          <cell r="A36" t="str">
            <v/>
          </cell>
        </row>
        <row r="37">
          <cell r="A37" t="str">
            <v/>
          </cell>
        </row>
        <row r="38">
          <cell r="A38" t="str">
            <v/>
          </cell>
        </row>
        <row r="39">
          <cell r="A39" t="str">
            <v/>
          </cell>
        </row>
        <row r="40">
          <cell r="A40" t="str">
            <v/>
          </cell>
        </row>
        <row r="41">
          <cell r="A41" t="str">
            <v/>
          </cell>
        </row>
        <row r="42">
          <cell r="A42" t="str">
            <v/>
          </cell>
        </row>
        <row r="43">
          <cell r="A43" t="str">
            <v/>
          </cell>
        </row>
        <row r="44">
          <cell r="A44" t="str">
            <v/>
          </cell>
        </row>
        <row r="45">
          <cell r="A45" t="str">
            <v/>
          </cell>
        </row>
        <row r="46">
          <cell r="A46" t="str">
            <v/>
          </cell>
        </row>
        <row r="47">
          <cell r="A47" t="str">
            <v/>
          </cell>
        </row>
        <row r="48">
          <cell r="A48" t="str">
            <v/>
          </cell>
        </row>
        <row r="49">
          <cell r="A49" t="str">
            <v/>
          </cell>
        </row>
        <row r="50">
          <cell r="A50" t="str">
            <v/>
          </cell>
        </row>
        <row r="51">
          <cell r="A51" t="str">
            <v/>
          </cell>
        </row>
        <row r="52">
          <cell r="A52" t="str">
            <v/>
          </cell>
        </row>
        <row r="53">
          <cell r="A53" t="str">
            <v/>
          </cell>
        </row>
        <row r="54">
          <cell r="A54" t="str">
            <v/>
          </cell>
        </row>
        <row r="55">
          <cell r="A55" t="str">
            <v/>
          </cell>
        </row>
        <row r="56">
          <cell r="A56" t="str">
            <v/>
          </cell>
        </row>
        <row r="57">
          <cell r="A57" t="str">
            <v/>
          </cell>
        </row>
        <row r="58">
          <cell r="A58" t="str">
            <v/>
          </cell>
        </row>
        <row r="59">
          <cell r="A59" t="str">
            <v/>
          </cell>
        </row>
        <row r="60">
          <cell r="A60" t="str">
            <v/>
          </cell>
        </row>
        <row r="61">
          <cell r="A61" t="str">
            <v/>
          </cell>
        </row>
        <row r="62">
          <cell r="A62" t="str">
            <v/>
          </cell>
        </row>
        <row r="63">
          <cell r="A63" t="str">
            <v/>
          </cell>
        </row>
        <row r="64">
          <cell r="A64" t="str">
            <v/>
          </cell>
        </row>
        <row r="65">
          <cell r="A65" t="str">
            <v/>
          </cell>
        </row>
        <row r="66">
          <cell r="A66" t="str">
            <v/>
          </cell>
        </row>
        <row r="67">
          <cell r="A67" t="str">
            <v/>
          </cell>
        </row>
        <row r="68">
          <cell r="A68" t="str">
            <v/>
          </cell>
        </row>
        <row r="69">
          <cell r="A69" t="str">
            <v/>
          </cell>
        </row>
        <row r="70">
          <cell r="A70" t="str">
            <v/>
          </cell>
        </row>
        <row r="71">
          <cell r="A71" t="str">
            <v/>
          </cell>
        </row>
        <row r="72">
          <cell r="A72" t="str">
            <v/>
          </cell>
        </row>
        <row r="73">
          <cell r="A73" t="str">
            <v/>
          </cell>
        </row>
        <row r="74">
          <cell r="A74" t="str">
            <v/>
          </cell>
        </row>
        <row r="75">
          <cell r="A75" t="str">
            <v/>
          </cell>
        </row>
        <row r="76">
          <cell r="A76" t="str">
            <v/>
          </cell>
        </row>
        <row r="77">
          <cell r="A77" t="str">
            <v/>
          </cell>
        </row>
        <row r="78">
          <cell r="A78" t="str">
            <v/>
          </cell>
        </row>
        <row r="79">
          <cell r="A79" t="str">
            <v/>
          </cell>
        </row>
        <row r="80">
          <cell r="A80" t="str">
            <v/>
          </cell>
        </row>
        <row r="81">
          <cell r="A81" t="str">
            <v/>
          </cell>
        </row>
        <row r="82">
          <cell r="A82" t="str">
            <v/>
          </cell>
        </row>
        <row r="83">
          <cell r="A83" t="str">
            <v/>
          </cell>
        </row>
        <row r="84">
          <cell r="A84" t="str">
            <v/>
          </cell>
        </row>
        <row r="85">
          <cell r="A85" t="str">
            <v/>
          </cell>
        </row>
        <row r="86">
          <cell r="A86" t="str">
            <v/>
          </cell>
        </row>
        <row r="87">
          <cell r="A87" t="str">
            <v/>
          </cell>
        </row>
        <row r="88">
          <cell r="A88" t="str">
            <v/>
          </cell>
        </row>
        <row r="89">
          <cell r="A89" t="str">
            <v/>
          </cell>
        </row>
        <row r="90">
          <cell r="A90" t="str">
            <v/>
          </cell>
        </row>
        <row r="91">
          <cell r="A91" t="str">
            <v/>
          </cell>
        </row>
        <row r="92">
          <cell r="A92" t="str">
            <v/>
          </cell>
        </row>
        <row r="93">
          <cell r="A93" t="str">
            <v/>
          </cell>
        </row>
        <row r="94">
          <cell r="A94" t="str">
            <v/>
          </cell>
        </row>
        <row r="95">
          <cell r="A95" t="str">
            <v/>
          </cell>
        </row>
        <row r="96">
          <cell r="A96" t="str">
            <v/>
          </cell>
        </row>
        <row r="97">
          <cell r="A97" t="str">
            <v/>
          </cell>
        </row>
        <row r="98">
          <cell r="A98" t="str">
            <v/>
          </cell>
        </row>
        <row r="99">
          <cell r="A99" t="str">
            <v/>
          </cell>
        </row>
        <row r="100">
          <cell r="A100" t="str">
            <v/>
          </cell>
        </row>
        <row r="101">
          <cell r="A101" t="str">
            <v/>
          </cell>
        </row>
        <row r="102">
          <cell r="A102" t="str">
            <v/>
          </cell>
        </row>
        <row r="103">
          <cell r="A103" t="str">
            <v/>
          </cell>
        </row>
        <row r="104">
          <cell r="A104" t="str">
            <v/>
          </cell>
        </row>
        <row r="105">
          <cell r="A105" t="str">
            <v/>
          </cell>
        </row>
        <row r="106">
          <cell r="A106" t="str">
            <v/>
          </cell>
        </row>
        <row r="107">
          <cell r="A107" t="str">
            <v/>
          </cell>
        </row>
        <row r="108">
          <cell r="A108" t="str">
            <v/>
          </cell>
        </row>
        <row r="109">
          <cell r="A109" t="str">
            <v/>
          </cell>
        </row>
        <row r="110">
          <cell r="A110" t="str">
            <v/>
          </cell>
        </row>
        <row r="111">
          <cell r="A111" t="str">
            <v/>
          </cell>
        </row>
        <row r="112">
          <cell r="A112" t="str">
            <v/>
          </cell>
        </row>
        <row r="113">
          <cell r="A113" t="str">
            <v/>
          </cell>
        </row>
        <row r="114">
          <cell r="A114" t="str">
            <v/>
          </cell>
        </row>
        <row r="115">
          <cell r="A115" t="str">
            <v/>
          </cell>
        </row>
        <row r="116">
          <cell r="A116" t="str">
            <v/>
          </cell>
        </row>
        <row r="117">
          <cell r="A117" t="str">
            <v/>
          </cell>
        </row>
        <row r="118">
          <cell r="A118" t="str">
            <v/>
          </cell>
        </row>
        <row r="119">
          <cell r="A119" t="str">
            <v/>
          </cell>
        </row>
        <row r="120">
          <cell r="A120" t="str">
            <v/>
          </cell>
        </row>
        <row r="121">
          <cell r="A121" t="str">
            <v/>
          </cell>
        </row>
        <row r="122">
          <cell r="A122" t="str">
            <v/>
          </cell>
        </row>
        <row r="123">
          <cell r="A123" t="str">
            <v/>
          </cell>
        </row>
        <row r="124">
          <cell r="A124" t="str">
            <v/>
          </cell>
        </row>
        <row r="125">
          <cell r="A125" t="str">
            <v/>
          </cell>
        </row>
        <row r="126">
          <cell r="A126" t="str">
            <v/>
          </cell>
        </row>
        <row r="127">
          <cell r="A127" t="str">
            <v/>
          </cell>
        </row>
        <row r="128">
          <cell r="A128" t="str">
            <v/>
          </cell>
        </row>
        <row r="129">
          <cell r="A129" t="str">
            <v/>
          </cell>
        </row>
        <row r="130">
          <cell r="A130" t="str">
            <v/>
          </cell>
        </row>
        <row r="131">
          <cell r="A131" t="str">
            <v/>
          </cell>
        </row>
        <row r="132">
          <cell r="A132" t="str">
            <v/>
          </cell>
        </row>
        <row r="133">
          <cell r="A133" t="str">
            <v/>
          </cell>
        </row>
        <row r="134">
          <cell r="A134" t="str">
            <v/>
          </cell>
        </row>
        <row r="135">
          <cell r="A135" t="str">
            <v/>
          </cell>
        </row>
        <row r="136">
          <cell r="A136" t="str">
            <v/>
          </cell>
        </row>
        <row r="137">
          <cell r="A137" t="str">
            <v/>
          </cell>
        </row>
        <row r="138">
          <cell r="A138" t="str">
            <v/>
          </cell>
        </row>
        <row r="139">
          <cell r="A139" t="str">
            <v/>
          </cell>
        </row>
        <row r="140">
          <cell r="A140" t="str">
            <v/>
          </cell>
        </row>
        <row r="141">
          <cell r="A141" t="str">
            <v/>
          </cell>
        </row>
        <row r="142">
          <cell r="A142" t="str">
            <v/>
          </cell>
        </row>
        <row r="143">
          <cell r="A143" t="str">
            <v/>
          </cell>
        </row>
        <row r="144">
          <cell r="A144" t="str">
            <v/>
          </cell>
        </row>
        <row r="145">
          <cell r="A145" t="str">
            <v/>
          </cell>
        </row>
        <row r="146">
          <cell r="A146" t="str">
            <v/>
          </cell>
        </row>
        <row r="147">
          <cell r="A147" t="str">
            <v/>
          </cell>
        </row>
        <row r="148">
          <cell r="A148" t="str">
            <v/>
          </cell>
        </row>
        <row r="149">
          <cell r="A149" t="str">
            <v/>
          </cell>
        </row>
        <row r="150">
          <cell r="A150" t="str">
            <v/>
          </cell>
        </row>
        <row r="151">
          <cell r="A151" t="str">
            <v/>
          </cell>
        </row>
      </sheetData>
      <sheetData sheetId="3"/>
      <sheetData sheetId="4">
        <row r="1">
          <cell r="U1">
            <v>0</v>
          </cell>
          <cell r="Z1" t="str">
            <v>Año00</v>
          </cell>
        </row>
        <row r="10">
          <cell r="Q10" t="str">
            <v>Año</v>
          </cell>
        </row>
        <row r="17">
          <cell r="A17" t="str">
            <v/>
          </cell>
          <cell r="G17" t="str">
            <v/>
          </cell>
          <cell r="M17" t="str">
            <v/>
          </cell>
        </row>
        <row r="18">
          <cell r="A18" t="str">
            <v/>
          </cell>
          <cell r="G18" t="str">
            <v/>
          </cell>
          <cell r="M18" t="str">
            <v/>
          </cell>
        </row>
        <row r="19">
          <cell r="A19" t="str">
            <v/>
          </cell>
          <cell r="G19" t="str">
            <v/>
          </cell>
          <cell r="M19" t="str">
            <v/>
          </cell>
        </row>
        <row r="20">
          <cell r="A20" t="str">
            <v/>
          </cell>
          <cell r="G20" t="str">
            <v/>
          </cell>
          <cell r="M20" t="str">
            <v/>
          </cell>
        </row>
        <row r="21">
          <cell r="A21" t="str">
            <v/>
          </cell>
          <cell r="G21" t="str">
            <v/>
          </cell>
          <cell r="M21" t="str">
            <v/>
          </cell>
        </row>
        <row r="22">
          <cell r="A22" t="str">
            <v/>
          </cell>
          <cell r="G22" t="str">
            <v/>
          </cell>
          <cell r="M22" t="str">
            <v/>
          </cell>
        </row>
        <row r="23">
          <cell r="A23" t="str">
            <v/>
          </cell>
          <cell r="G23" t="str">
            <v/>
          </cell>
          <cell r="M23" t="str">
            <v/>
          </cell>
        </row>
        <row r="24">
          <cell r="A24" t="str">
            <v/>
          </cell>
          <cell r="G24" t="str">
            <v/>
          </cell>
          <cell r="M24" t="str">
            <v/>
          </cell>
        </row>
        <row r="25">
          <cell r="A25" t="str">
            <v/>
          </cell>
          <cell r="G25" t="str">
            <v/>
          </cell>
          <cell r="M25" t="str">
            <v/>
          </cell>
        </row>
        <row r="26">
          <cell r="A26" t="str">
            <v/>
          </cell>
          <cell r="G26" t="str">
            <v/>
          </cell>
          <cell r="M26" t="str">
            <v/>
          </cell>
        </row>
      </sheetData>
      <sheetData sheetId="5">
        <row r="1">
          <cell r="AB1">
            <v>0</v>
          </cell>
          <cell r="AC1">
            <v>0</v>
          </cell>
        </row>
        <row r="2">
          <cell r="T2" t="str">
            <v>Seleccione Fecha</v>
          </cell>
          <cell r="U2">
            <v>32</v>
          </cell>
        </row>
        <row r="3">
          <cell r="T3" t="e">
            <v>#VALUE!</v>
          </cell>
          <cell r="AB3">
            <v>0</v>
          </cell>
          <cell r="AC3">
            <v>0</v>
          </cell>
        </row>
        <row r="4">
          <cell r="T4" t="e">
            <v>#VALUE!</v>
          </cell>
          <cell r="AB4">
            <v>0</v>
          </cell>
          <cell r="AC4">
            <v>0</v>
          </cell>
        </row>
        <row r="5">
          <cell r="T5" t="e">
            <v>#VALUE!</v>
          </cell>
          <cell r="AB5">
            <v>0</v>
          </cell>
          <cell r="AC5">
            <v>0</v>
          </cell>
        </row>
        <row r="6">
          <cell r="T6" t="e">
            <v>#VALUE!</v>
          </cell>
          <cell r="AB6">
            <v>0</v>
          </cell>
          <cell r="AC6">
            <v>0</v>
          </cell>
        </row>
        <row r="7">
          <cell r="T7" t="e">
            <v>#VALUE!</v>
          </cell>
          <cell r="AB7">
            <v>0</v>
          </cell>
          <cell r="AC7">
            <v>0</v>
          </cell>
        </row>
        <row r="8">
          <cell r="T8" t="e">
            <v>#VALUE!</v>
          </cell>
          <cell r="AB8">
            <v>0</v>
          </cell>
          <cell r="AC8">
            <v>0</v>
          </cell>
        </row>
        <row r="9">
          <cell r="T9" t="e">
            <v>#VALUE!</v>
          </cell>
          <cell r="AB9">
            <v>0</v>
          </cell>
          <cell r="AC9">
            <v>0</v>
          </cell>
        </row>
        <row r="10">
          <cell r="T10" t="e">
            <v>#VALUE!</v>
          </cell>
          <cell r="AB10">
            <v>0</v>
          </cell>
          <cell r="AC10">
            <v>0</v>
          </cell>
        </row>
        <row r="11">
          <cell r="T11" t="e">
            <v>#VALUE!</v>
          </cell>
          <cell r="AB11">
            <v>0</v>
          </cell>
          <cell r="AC11">
            <v>0</v>
          </cell>
        </row>
        <row r="12">
          <cell r="T12" t="e">
            <v>#VALUE!</v>
          </cell>
          <cell r="AB12">
            <v>0</v>
          </cell>
          <cell r="AC12">
            <v>0</v>
          </cell>
        </row>
        <row r="13">
          <cell r="T13" t="e">
            <v>#VALUE!</v>
          </cell>
          <cell r="AB13">
            <v>0</v>
          </cell>
          <cell r="AC13">
            <v>0</v>
          </cell>
        </row>
        <row r="14">
          <cell r="T14" t="e">
            <v>#VALUE!</v>
          </cell>
          <cell r="AB14">
            <v>0</v>
          </cell>
          <cell r="AC14">
            <v>0</v>
          </cell>
        </row>
        <row r="15">
          <cell r="T15" t="e">
            <v>#VALUE!</v>
          </cell>
          <cell r="AB15">
            <v>0</v>
          </cell>
          <cell r="AC15">
            <v>0</v>
          </cell>
        </row>
        <row r="16">
          <cell r="T16" t="e">
            <v>#VALUE!</v>
          </cell>
          <cell r="AB16">
            <v>0</v>
          </cell>
          <cell r="AC16">
            <v>0</v>
          </cell>
        </row>
        <row r="17">
          <cell r="T17" t="e">
            <v>#VALUE!</v>
          </cell>
          <cell r="AB17">
            <v>0</v>
          </cell>
          <cell r="AC17">
            <v>0</v>
          </cell>
        </row>
        <row r="18">
          <cell r="T18" t="e">
            <v>#VALUE!</v>
          </cell>
          <cell r="AB18">
            <v>0</v>
          </cell>
          <cell r="AC18">
            <v>0</v>
          </cell>
        </row>
        <row r="19">
          <cell r="T19" t="e">
            <v>#VALUE!</v>
          </cell>
          <cell r="AB19">
            <v>0</v>
          </cell>
          <cell r="AC19">
            <v>0</v>
          </cell>
        </row>
        <row r="20">
          <cell r="T20" t="e">
            <v>#VALUE!</v>
          </cell>
          <cell r="AB20">
            <v>0</v>
          </cell>
          <cell r="AC20">
            <v>0</v>
          </cell>
        </row>
        <row r="21">
          <cell r="T21" t="e">
            <v>#VALUE!</v>
          </cell>
          <cell r="AB21">
            <v>0</v>
          </cell>
          <cell r="AC21">
            <v>0</v>
          </cell>
        </row>
        <row r="22">
          <cell r="T22" t="e">
            <v>#VALUE!</v>
          </cell>
          <cell r="AB22">
            <v>0</v>
          </cell>
          <cell r="AC22">
            <v>0</v>
          </cell>
        </row>
        <row r="23">
          <cell r="T23" t="e">
            <v>#VALUE!</v>
          </cell>
          <cell r="AB23">
            <v>0</v>
          </cell>
          <cell r="AC23">
            <v>0</v>
          </cell>
        </row>
        <row r="24">
          <cell r="T24" t="e">
            <v>#VALUE!</v>
          </cell>
          <cell r="AB24">
            <v>0</v>
          </cell>
          <cell r="AC24">
            <v>0</v>
          </cell>
        </row>
        <row r="25">
          <cell r="T25" t="e">
            <v>#VALUE!</v>
          </cell>
          <cell r="AB25">
            <v>0</v>
          </cell>
          <cell r="AC25">
            <v>0</v>
          </cell>
        </row>
        <row r="26">
          <cell r="T26" t="e">
            <v>#VALUE!</v>
          </cell>
          <cell r="AB26">
            <v>0</v>
          </cell>
          <cell r="AC26">
            <v>0</v>
          </cell>
        </row>
        <row r="27">
          <cell r="T27" t="e">
            <v>#VALUE!</v>
          </cell>
          <cell r="AB27">
            <v>0</v>
          </cell>
          <cell r="AC27">
            <v>0</v>
          </cell>
        </row>
        <row r="28">
          <cell r="T28" t="e">
            <v>#VALUE!</v>
          </cell>
          <cell r="AB28">
            <v>0</v>
          </cell>
          <cell r="AC28">
            <v>0</v>
          </cell>
        </row>
        <row r="29">
          <cell r="T29" t="e">
            <v>#VALUE!</v>
          </cell>
          <cell r="AB29">
            <v>0</v>
          </cell>
          <cell r="AC29">
            <v>0</v>
          </cell>
        </row>
        <row r="30">
          <cell r="T30" t="e">
            <v>#VALUE!</v>
          </cell>
          <cell r="AB30">
            <v>0</v>
          </cell>
          <cell r="AC30">
            <v>0</v>
          </cell>
        </row>
        <row r="31">
          <cell r="T31" t="e">
            <v>#VALUE!</v>
          </cell>
          <cell r="AB31">
            <v>0</v>
          </cell>
          <cell r="AC31">
            <v>0</v>
          </cell>
        </row>
        <row r="32">
          <cell r="T32" t="e">
            <v>#VALUE!</v>
          </cell>
          <cell r="AB32">
            <v>0</v>
          </cell>
          <cell r="AC32">
            <v>0</v>
          </cell>
        </row>
        <row r="33">
          <cell r="T33" t="e">
            <v>#VALUE!</v>
          </cell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B36">
            <v>0</v>
          </cell>
          <cell r="AC36">
            <v>0</v>
          </cell>
        </row>
        <row r="37">
          <cell r="AB37">
            <v>0</v>
          </cell>
          <cell r="AC37">
            <v>0</v>
          </cell>
        </row>
        <row r="38">
          <cell r="AB38">
            <v>0</v>
          </cell>
          <cell r="AC38">
            <v>0</v>
          </cell>
        </row>
        <row r="39">
          <cell r="AB39">
            <v>0</v>
          </cell>
          <cell r="AC39">
            <v>0</v>
          </cell>
        </row>
        <row r="40">
          <cell r="AB40">
            <v>0</v>
          </cell>
          <cell r="AC40">
            <v>0</v>
          </cell>
        </row>
        <row r="41">
          <cell r="AB41">
            <v>0</v>
          </cell>
          <cell r="AC41">
            <v>0</v>
          </cell>
        </row>
        <row r="42">
          <cell r="AB42">
            <v>0</v>
          </cell>
          <cell r="AC42">
            <v>0</v>
          </cell>
        </row>
        <row r="43">
          <cell r="AB43">
            <v>0</v>
          </cell>
          <cell r="AC43">
            <v>0</v>
          </cell>
        </row>
        <row r="44">
          <cell r="AB44">
            <v>0</v>
          </cell>
          <cell r="AC44">
            <v>0</v>
          </cell>
        </row>
        <row r="45">
          <cell r="AB45">
            <v>0</v>
          </cell>
          <cell r="AC45">
            <v>0</v>
          </cell>
        </row>
        <row r="46">
          <cell r="AB46">
            <v>0</v>
          </cell>
          <cell r="AC46">
            <v>0</v>
          </cell>
        </row>
        <row r="47">
          <cell r="AB47">
            <v>0</v>
          </cell>
          <cell r="AC47">
            <v>0</v>
          </cell>
        </row>
        <row r="48">
          <cell r="AB48">
            <v>0</v>
          </cell>
          <cell r="AC48">
            <v>0</v>
          </cell>
        </row>
        <row r="49">
          <cell r="AB49">
            <v>0</v>
          </cell>
          <cell r="AC49">
            <v>0</v>
          </cell>
        </row>
        <row r="50">
          <cell r="AB50">
            <v>0</v>
          </cell>
          <cell r="AC50">
            <v>0</v>
          </cell>
        </row>
        <row r="51">
          <cell r="AB51">
            <v>0</v>
          </cell>
          <cell r="AC51">
            <v>0</v>
          </cell>
        </row>
        <row r="52">
          <cell r="AB52">
            <v>0</v>
          </cell>
          <cell r="AC52">
            <v>0</v>
          </cell>
        </row>
        <row r="53">
          <cell r="AC53">
            <v>0</v>
          </cell>
        </row>
        <row r="54">
          <cell r="AC54">
            <v>0</v>
          </cell>
        </row>
        <row r="55">
          <cell r="AC55">
            <v>0</v>
          </cell>
        </row>
        <row r="56">
          <cell r="AC56">
            <v>0</v>
          </cell>
        </row>
        <row r="57">
          <cell r="AC57">
            <v>0</v>
          </cell>
        </row>
        <row r="58">
          <cell r="AC58">
            <v>0</v>
          </cell>
        </row>
        <row r="59">
          <cell r="AC59">
            <v>0</v>
          </cell>
        </row>
        <row r="60">
          <cell r="AC60">
            <v>0</v>
          </cell>
        </row>
        <row r="61">
          <cell r="AC61">
            <v>0</v>
          </cell>
        </row>
        <row r="62">
          <cell r="AC62">
            <v>0</v>
          </cell>
        </row>
        <row r="63">
          <cell r="AC63">
            <v>0</v>
          </cell>
        </row>
        <row r="64">
          <cell r="AC64">
            <v>0</v>
          </cell>
        </row>
        <row r="65">
          <cell r="AC65">
            <v>0</v>
          </cell>
        </row>
        <row r="66">
          <cell r="AC66">
            <v>0</v>
          </cell>
        </row>
        <row r="67">
          <cell r="AC67">
            <v>0</v>
          </cell>
        </row>
        <row r="68">
          <cell r="AC68">
            <v>0</v>
          </cell>
        </row>
        <row r="69">
          <cell r="AC69">
            <v>0</v>
          </cell>
        </row>
        <row r="70">
          <cell r="AC70">
            <v>0</v>
          </cell>
        </row>
        <row r="71">
          <cell r="AC71">
            <v>0</v>
          </cell>
        </row>
        <row r="72">
          <cell r="AC72">
            <v>0</v>
          </cell>
        </row>
        <row r="73">
          <cell r="AC73">
            <v>0</v>
          </cell>
        </row>
        <row r="74">
          <cell r="AC74">
            <v>0</v>
          </cell>
        </row>
        <row r="75">
          <cell r="AC75">
            <v>0</v>
          </cell>
        </row>
        <row r="76">
          <cell r="AC76">
            <v>0</v>
          </cell>
        </row>
        <row r="77">
          <cell r="AC77">
            <v>0</v>
          </cell>
        </row>
        <row r="78">
          <cell r="AC78">
            <v>0</v>
          </cell>
        </row>
        <row r="79">
          <cell r="AC79">
            <v>0</v>
          </cell>
        </row>
        <row r="80">
          <cell r="AC80">
            <v>0</v>
          </cell>
        </row>
        <row r="81">
          <cell r="AC81">
            <v>0</v>
          </cell>
        </row>
        <row r="82">
          <cell r="AC82">
            <v>0</v>
          </cell>
        </row>
        <row r="83">
          <cell r="AC83">
            <v>0</v>
          </cell>
        </row>
        <row r="84">
          <cell r="AC84">
            <v>0</v>
          </cell>
        </row>
        <row r="85">
          <cell r="AC85">
            <v>0</v>
          </cell>
        </row>
        <row r="86">
          <cell r="AC86">
            <v>0</v>
          </cell>
        </row>
        <row r="87">
          <cell r="AC87">
            <v>0</v>
          </cell>
        </row>
        <row r="88">
          <cell r="AC88">
            <v>0</v>
          </cell>
        </row>
        <row r="89">
          <cell r="AC89">
            <v>0</v>
          </cell>
        </row>
        <row r="90">
          <cell r="AC90">
            <v>0</v>
          </cell>
        </row>
        <row r="91">
          <cell r="AC91">
            <v>0</v>
          </cell>
        </row>
        <row r="92">
          <cell r="AC92">
            <v>0</v>
          </cell>
        </row>
        <row r="93">
          <cell r="AC93">
            <v>0</v>
          </cell>
        </row>
        <row r="94">
          <cell r="AC94">
            <v>0</v>
          </cell>
        </row>
        <row r="95">
          <cell r="AC95">
            <v>0</v>
          </cell>
        </row>
        <row r="96">
          <cell r="AC96">
            <v>0</v>
          </cell>
        </row>
        <row r="97">
          <cell r="AC97">
            <v>0</v>
          </cell>
        </row>
        <row r="98">
          <cell r="AC98">
            <v>0</v>
          </cell>
        </row>
        <row r="99">
          <cell r="AC99">
            <v>0</v>
          </cell>
        </row>
        <row r="100">
          <cell r="AC100">
            <v>0</v>
          </cell>
        </row>
        <row r="101">
          <cell r="AC101">
            <v>0</v>
          </cell>
        </row>
        <row r="102">
          <cell r="AC102">
            <v>0</v>
          </cell>
        </row>
        <row r="103">
          <cell r="AC103">
            <v>0</v>
          </cell>
        </row>
        <row r="104">
          <cell r="AC104">
            <v>0</v>
          </cell>
        </row>
        <row r="105">
          <cell r="AC105">
            <v>0</v>
          </cell>
        </row>
        <row r="106">
          <cell r="AC106">
            <v>0</v>
          </cell>
        </row>
        <row r="107">
          <cell r="AC107">
            <v>0</v>
          </cell>
        </row>
        <row r="108">
          <cell r="AC108">
            <v>0</v>
          </cell>
        </row>
        <row r="109">
          <cell r="AC109">
            <v>0</v>
          </cell>
        </row>
        <row r="110">
          <cell r="AC110">
            <v>0</v>
          </cell>
        </row>
        <row r="111">
          <cell r="AC111">
            <v>0</v>
          </cell>
        </row>
        <row r="112">
          <cell r="AC112">
            <v>0</v>
          </cell>
        </row>
        <row r="113">
          <cell r="AC113">
            <v>0</v>
          </cell>
        </row>
        <row r="114">
          <cell r="AC114">
            <v>0</v>
          </cell>
        </row>
        <row r="115">
          <cell r="AC115">
            <v>0</v>
          </cell>
        </row>
        <row r="116">
          <cell r="AC116">
            <v>0</v>
          </cell>
        </row>
        <row r="117">
          <cell r="AC117">
            <v>0</v>
          </cell>
        </row>
        <row r="118">
          <cell r="AC118">
            <v>0</v>
          </cell>
        </row>
        <row r="119">
          <cell r="AC119">
            <v>0</v>
          </cell>
        </row>
        <row r="120">
          <cell r="AC120">
            <v>0</v>
          </cell>
        </row>
        <row r="121">
          <cell r="AC121">
            <v>0</v>
          </cell>
        </row>
        <row r="122">
          <cell r="AC122">
            <v>0</v>
          </cell>
        </row>
        <row r="123">
          <cell r="AC123">
            <v>0</v>
          </cell>
        </row>
        <row r="124">
          <cell r="AC124">
            <v>0</v>
          </cell>
        </row>
        <row r="125">
          <cell r="AC125">
            <v>0</v>
          </cell>
        </row>
        <row r="126">
          <cell r="AC126">
            <v>0</v>
          </cell>
        </row>
        <row r="127">
          <cell r="AC127">
            <v>0</v>
          </cell>
        </row>
        <row r="128">
          <cell r="AC128">
            <v>0</v>
          </cell>
        </row>
        <row r="129">
          <cell r="AC129">
            <v>0</v>
          </cell>
        </row>
        <row r="130">
          <cell r="AC130">
            <v>0</v>
          </cell>
        </row>
        <row r="131">
          <cell r="AC131">
            <v>0</v>
          </cell>
        </row>
        <row r="132">
          <cell r="AC132">
            <v>0</v>
          </cell>
        </row>
        <row r="133">
          <cell r="AC133">
            <v>0</v>
          </cell>
        </row>
        <row r="134">
          <cell r="AC134">
            <v>0</v>
          </cell>
        </row>
        <row r="135">
          <cell r="AC135">
            <v>0</v>
          </cell>
        </row>
        <row r="136">
          <cell r="AC136">
            <v>0</v>
          </cell>
        </row>
        <row r="137">
          <cell r="AC137">
            <v>0</v>
          </cell>
        </row>
        <row r="138">
          <cell r="AC138">
            <v>0</v>
          </cell>
        </row>
        <row r="139">
          <cell r="AC139">
            <v>0</v>
          </cell>
        </row>
        <row r="140">
          <cell r="AC140">
            <v>0</v>
          </cell>
        </row>
        <row r="141">
          <cell r="AC141">
            <v>0</v>
          </cell>
        </row>
        <row r="142">
          <cell r="AC142">
            <v>0</v>
          </cell>
        </row>
        <row r="143">
          <cell r="AC143">
            <v>0</v>
          </cell>
        </row>
        <row r="144">
          <cell r="AC144">
            <v>0</v>
          </cell>
        </row>
        <row r="145">
          <cell r="AC145">
            <v>0</v>
          </cell>
        </row>
        <row r="146">
          <cell r="AC146">
            <v>0</v>
          </cell>
        </row>
        <row r="147">
          <cell r="AC147">
            <v>0</v>
          </cell>
        </row>
        <row r="148">
          <cell r="AC148">
            <v>0</v>
          </cell>
        </row>
        <row r="149">
          <cell r="AC149">
            <v>0</v>
          </cell>
        </row>
        <row r="150">
          <cell r="AC150">
            <v>0</v>
          </cell>
        </row>
        <row r="151">
          <cell r="AC151">
            <v>0</v>
          </cell>
        </row>
        <row r="152">
          <cell r="AC152">
            <v>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DDB91-1676-4F97-963C-6E732056B8F4}">
  <sheetPr codeName="Sheet3"/>
  <dimension ref="A1:IU161"/>
  <sheetViews>
    <sheetView showGridLines="0" showRowColHeaders="0" tabSelected="1" view="pageBreakPreview" topLeftCell="B1" zoomScaleNormal="100" zoomScaleSheetLayoutView="100" workbookViewId="0">
      <selection activeCell="B1" sqref="B1:AK1"/>
    </sheetView>
  </sheetViews>
  <sheetFormatPr defaultColWidth="0" defaultRowHeight="12.75" customHeight="1" zeroHeight="1" x14ac:dyDescent="0.25"/>
  <cols>
    <col min="1" max="1" width="9.109375" style="1" hidden="1" customWidth="1"/>
    <col min="2" max="2" width="3.109375" style="3" customWidth="1"/>
    <col min="3" max="3" width="13" style="3" customWidth="1"/>
    <col min="4" max="4" width="10" style="3" customWidth="1"/>
    <col min="5" max="5" width="10.109375" style="3" customWidth="1"/>
    <col min="6" max="36" width="5.88671875" style="3" customWidth="1"/>
    <col min="37" max="37" width="11.88671875" style="3" customWidth="1"/>
    <col min="38" max="38" width="2.5546875" style="3" customWidth="1"/>
    <col min="39" max="39" width="8.5546875" style="3" hidden="1" customWidth="1"/>
    <col min="40" max="40" width="9.109375" style="3" hidden="1" customWidth="1"/>
    <col min="41" max="77" width="7.88671875" style="3" hidden="1" customWidth="1"/>
    <col min="78" max="255" width="9.109375" style="3" hidden="1" customWidth="1"/>
    <col min="256" max="16384" width="1.109375" style="3" hidden="1"/>
  </cols>
  <sheetData>
    <row r="1" spans="1:40" ht="13.2" x14ac:dyDescent="0.2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M1" s="1" t="s">
        <v>1</v>
      </c>
      <c r="AN1" s="1" t="str">
        <f>'[1]Resumen FA (Mensual) 51'!Z1</f>
        <v>Año00</v>
      </c>
    </row>
    <row r="2" spans="1:40" ht="13.2" x14ac:dyDescent="0.25"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M2" s="1"/>
      <c r="AN2" s="1"/>
    </row>
    <row r="3" spans="1:40" ht="13.2" x14ac:dyDescent="0.25">
      <c r="B3" s="2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4"/>
      <c r="AI3" s="4" t="s">
        <v>4</v>
      </c>
      <c r="AJ3" s="5"/>
      <c r="AK3" s="1"/>
      <c r="AM3" s="1"/>
      <c r="AN3" s="1"/>
    </row>
    <row r="4" spans="1:40" ht="13.2" x14ac:dyDescent="0.25">
      <c r="B4" s="6"/>
      <c r="C4" s="6"/>
      <c r="D4" s="6"/>
      <c r="E4" s="6"/>
      <c r="V4" s="4"/>
      <c r="W4" s="4"/>
      <c r="X4" s="4"/>
      <c r="Y4" s="4"/>
      <c r="Z4" s="4"/>
      <c r="AC4" s="4"/>
      <c r="AD4" s="4"/>
      <c r="AE4" s="4"/>
      <c r="AF4" s="4"/>
      <c r="AG4" s="4"/>
      <c r="AH4" s="4"/>
      <c r="AI4" s="4" t="s">
        <v>5</v>
      </c>
      <c r="AJ4" s="5"/>
    </row>
    <row r="5" spans="1:40" ht="15" x14ac:dyDescent="0.25">
      <c r="B5" s="7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40" ht="13.2" x14ac:dyDescent="0.25">
      <c r="B6" s="1"/>
      <c r="C6" s="1"/>
      <c r="D6" s="1"/>
      <c r="E6" s="1"/>
      <c r="K6" s="8" t="s">
        <v>7</v>
      </c>
      <c r="L6" s="8"/>
      <c r="M6" s="8"/>
      <c r="N6" s="8"/>
      <c r="O6" s="9">
        <f>'[1]Información Force Account'!$B$7</f>
        <v>0</v>
      </c>
      <c r="P6" s="9"/>
      <c r="Q6" s="8" t="s">
        <v>8</v>
      </c>
      <c r="R6" s="8"/>
      <c r="S6" s="8"/>
      <c r="T6" s="9">
        <f>'[1]Información Force Account'!$B$8</f>
        <v>0</v>
      </c>
      <c r="U6" s="9"/>
      <c r="V6" s="8" t="s">
        <v>9</v>
      </c>
      <c r="W6" s="8"/>
      <c r="X6" s="8"/>
      <c r="Y6" s="9">
        <f>'[1]Información Force Account'!$B$9</f>
        <v>0</v>
      </c>
      <c r="Z6" s="9"/>
      <c r="AF6" s="1"/>
      <c r="AG6" s="1"/>
      <c r="AH6" s="1"/>
      <c r="AI6" s="1"/>
      <c r="AJ6" s="1"/>
      <c r="AK6" s="1"/>
    </row>
    <row r="7" spans="1:40" ht="13.2" x14ac:dyDescent="0.25">
      <c r="B7" s="3" t="s">
        <v>10</v>
      </c>
      <c r="E7" s="10" t="str">
        <f>'[1]Información Force Account'!$B$2 &amp; "  (" &amp;'[1]Información Force Account'!$B$1 &amp;")"</f>
        <v xml:space="preserve">  ()</v>
      </c>
      <c r="F7" s="10"/>
      <c r="G7" s="10"/>
      <c r="H7" s="10"/>
      <c r="I7" s="10"/>
      <c r="J7" s="10"/>
      <c r="K7" s="11"/>
      <c r="L7" s="11"/>
      <c r="M7" s="11"/>
      <c r="N7" s="11"/>
      <c r="O7" s="11"/>
      <c r="P7" s="11"/>
      <c r="Q7" s="12"/>
      <c r="R7" s="12"/>
      <c r="S7" s="12"/>
      <c r="T7" s="12"/>
      <c r="U7" s="12"/>
      <c r="V7" s="12"/>
      <c r="W7" s="12"/>
      <c r="X7" s="12"/>
      <c r="AA7" s="6"/>
      <c r="AB7" s="6"/>
      <c r="AC7" s="6"/>
      <c r="AD7" s="4" t="s">
        <v>11</v>
      </c>
      <c r="AE7" s="9">
        <f>'[1]Información Force Account'!$B$4</f>
        <v>0</v>
      </c>
      <c r="AF7" s="9"/>
      <c r="AG7" s="9"/>
      <c r="AH7" s="9"/>
      <c r="AI7" s="9"/>
      <c r="AJ7" s="9"/>
      <c r="AK7" s="6"/>
    </row>
    <row r="8" spans="1:40" ht="13.2" x14ac:dyDescent="0.25">
      <c r="B8" s="3" t="s">
        <v>12</v>
      </c>
      <c r="D8" s="13"/>
      <c r="E8" s="14" t="e">
        <f>DATE('[1]Resumen FA (Mensual) 51'!Q10,'[1]Resumen FA (Mensual) 51'!U1,1)</f>
        <v>#VALUE!</v>
      </c>
      <c r="F8" s="14"/>
      <c r="G8" s="14"/>
      <c r="H8" s="14"/>
      <c r="I8" s="14"/>
      <c r="J8" s="14"/>
      <c r="T8" s="6"/>
      <c r="U8" s="6"/>
      <c r="V8" s="6"/>
      <c r="W8" s="6"/>
      <c r="X8" s="6"/>
      <c r="Y8" s="6"/>
      <c r="Z8" s="6"/>
      <c r="AA8" s="6"/>
      <c r="AB8" s="6"/>
      <c r="AC8" s="6"/>
      <c r="AD8" s="4" t="s">
        <v>13</v>
      </c>
      <c r="AE8" s="9">
        <f>'[1]Información Force Account'!$B$3</f>
        <v>0</v>
      </c>
      <c r="AF8" s="9"/>
      <c r="AG8" s="9"/>
      <c r="AH8" s="9"/>
      <c r="AI8" s="9"/>
      <c r="AJ8" s="9"/>
      <c r="AK8" s="6"/>
    </row>
    <row r="9" spans="1:40" ht="13.8" x14ac:dyDescent="0.25">
      <c r="B9" s="15" t="s">
        <v>14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</row>
    <row r="10" spans="1:40" ht="13.2" x14ac:dyDescent="0.25">
      <c r="B10" s="16" t="s">
        <v>15</v>
      </c>
      <c r="C10" s="17" t="s">
        <v>16</v>
      </c>
      <c r="D10" s="18"/>
      <c r="E10" s="19"/>
      <c r="F10" s="16" t="str">
        <f>'[1]Resumen FA (Mensual) 51'!$A$17</f>
        <v/>
      </c>
      <c r="G10" s="16" t="str">
        <f>'[1]Resumen FA (Mensual) 51'!$A$18</f>
        <v/>
      </c>
      <c r="H10" s="16" t="str">
        <f>'[1]Resumen FA (Mensual) 51'!$A$19</f>
        <v/>
      </c>
      <c r="I10" s="16" t="str">
        <f>'[1]Resumen FA (Mensual) 51'!$A$20</f>
        <v/>
      </c>
      <c r="J10" s="16" t="str">
        <f>'[1]Resumen FA (Mensual) 51'!$A$21</f>
        <v/>
      </c>
      <c r="K10" s="16" t="str">
        <f>'[1]Resumen FA (Mensual) 51'!$A$22</f>
        <v/>
      </c>
      <c r="L10" s="16" t="str">
        <f>'[1]Resumen FA (Mensual) 51'!$A$23</f>
        <v/>
      </c>
      <c r="M10" s="16" t="str">
        <f>'[1]Resumen FA (Mensual) 51'!$A$24</f>
        <v/>
      </c>
      <c r="N10" s="16" t="str">
        <f>'[1]Resumen FA (Mensual) 51'!$A$25</f>
        <v/>
      </c>
      <c r="O10" s="16" t="str">
        <f>'[1]Resumen FA (Mensual) 51'!$A$26</f>
        <v/>
      </c>
      <c r="P10" s="16" t="str">
        <f>'[1]Resumen FA (Mensual) 51'!$G$17</f>
        <v/>
      </c>
      <c r="Q10" s="16" t="str">
        <f>'[1]Resumen FA (Mensual) 51'!$G$18</f>
        <v/>
      </c>
      <c r="R10" s="16" t="str">
        <f>'[1]Resumen FA (Mensual) 51'!$G$19</f>
        <v/>
      </c>
      <c r="S10" s="16" t="str">
        <f>'[1]Resumen FA (Mensual) 51'!$G$20</f>
        <v/>
      </c>
      <c r="T10" s="16" t="str">
        <f>'[1]Resumen FA (Mensual) 51'!$G$21</f>
        <v/>
      </c>
      <c r="U10" s="16" t="str">
        <f>'[1]Resumen FA (Mensual) 51'!$G$22</f>
        <v/>
      </c>
      <c r="V10" s="16" t="str">
        <f>'[1]Resumen FA (Mensual) 51'!$G$23</f>
        <v/>
      </c>
      <c r="W10" s="16" t="str">
        <f>'[1]Resumen FA (Mensual) 51'!$G$24</f>
        <v/>
      </c>
      <c r="X10" s="16" t="str">
        <f>'[1]Resumen FA (Mensual) 51'!$G$25</f>
        <v/>
      </c>
      <c r="Y10" s="16" t="str">
        <f>'[1]Resumen FA (Mensual) 51'!$G$26</f>
        <v/>
      </c>
      <c r="Z10" s="16" t="str">
        <f>'[1]Resumen FA (Mensual) 51'!$M$17</f>
        <v/>
      </c>
      <c r="AA10" s="16" t="str">
        <f>'[1]Resumen FA (Mensual) 51'!$M$18</f>
        <v/>
      </c>
      <c r="AB10" s="16" t="str">
        <f>'[1]Resumen FA (Mensual) 51'!$M$19</f>
        <v/>
      </c>
      <c r="AC10" s="16" t="str">
        <f>'[1]Resumen FA (Mensual) 51'!$M$20</f>
        <v/>
      </c>
      <c r="AD10" s="16" t="str">
        <f>'[1]Resumen FA (Mensual) 51'!$M$21</f>
        <v/>
      </c>
      <c r="AE10" s="16" t="str">
        <f>'[1]Resumen FA (Mensual) 51'!$M$22</f>
        <v/>
      </c>
      <c r="AF10" s="16" t="str">
        <f>'[1]Resumen FA (Mensual) 51'!$M$23</f>
        <v/>
      </c>
      <c r="AG10" s="16" t="str">
        <f>'[1]Resumen FA (Mensual) 51'!$M$24</f>
        <v/>
      </c>
      <c r="AH10" s="16" t="str">
        <f>'[1]Resumen FA (Mensual) 51'!$M$25</f>
        <v/>
      </c>
      <c r="AI10" s="16" t="str">
        <f>'[1]Resumen FA (Mensual) 51'!$M$26</f>
        <v/>
      </c>
      <c r="AJ10" s="16" t="str">
        <f>'[1]Resumen FA (Mensual) 51'!$M$26</f>
        <v/>
      </c>
      <c r="AK10" s="16" t="s">
        <v>17</v>
      </c>
    </row>
    <row r="11" spans="1:40" ht="13.2" x14ac:dyDescent="0.25">
      <c r="B11" s="20"/>
      <c r="C11" s="17" t="s">
        <v>18</v>
      </c>
      <c r="D11" s="18"/>
      <c r="E11" s="19"/>
      <c r="F11" s="20">
        <v>1</v>
      </c>
      <c r="G11" s="20">
        <v>2</v>
      </c>
      <c r="H11" s="20">
        <v>3</v>
      </c>
      <c r="I11" s="20">
        <v>4</v>
      </c>
      <c r="J11" s="20">
        <v>5</v>
      </c>
      <c r="K11" s="20">
        <v>6</v>
      </c>
      <c r="L11" s="21">
        <v>7</v>
      </c>
      <c r="M11" s="20">
        <v>8</v>
      </c>
      <c r="N11" s="20">
        <v>9</v>
      </c>
      <c r="O11" s="20">
        <v>10</v>
      </c>
      <c r="P11" s="20">
        <v>11</v>
      </c>
      <c r="Q11" s="20">
        <v>12</v>
      </c>
      <c r="R11" s="20">
        <v>13</v>
      </c>
      <c r="S11" s="20">
        <v>14</v>
      </c>
      <c r="T11" s="20">
        <v>15</v>
      </c>
      <c r="U11" s="20">
        <v>16</v>
      </c>
      <c r="V11" s="20">
        <v>17</v>
      </c>
      <c r="W11" s="20">
        <v>18</v>
      </c>
      <c r="X11" s="20">
        <v>19</v>
      </c>
      <c r="Y11" s="20">
        <v>20</v>
      </c>
      <c r="Z11" s="20">
        <v>21</v>
      </c>
      <c r="AA11" s="20">
        <v>22</v>
      </c>
      <c r="AB11" s="20">
        <v>23</v>
      </c>
      <c r="AC11" s="20">
        <v>24</v>
      </c>
      <c r="AD11" s="20">
        <v>25</v>
      </c>
      <c r="AE11" s="20">
        <v>26</v>
      </c>
      <c r="AF11" s="20">
        <v>27</v>
      </c>
      <c r="AG11" s="20">
        <v>28</v>
      </c>
      <c r="AH11" s="20" t="str">
        <f>IF(AH10&lt;&gt;"",29,"")</f>
        <v/>
      </c>
      <c r="AI11" s="20" t="str">
        <f>IF(AI10&lt;&gt;"",30,"")</f>
        <v/>
      </c>
      <c r="AJ11" s="20" t="str">
        <f>IF(AJ10&lt;&gt;"",31,"")</f>
        <v/>
      </c>
      <c r="AK11" s="20" t="s">
        <v>19</v>
      </c>
    </row>
    <row r="12" spans="1:40" ht="13.2" x14ac:dyDescent="0.25">
      <c r="A12" s="22"/>
      <c r="B12" s="23">
        <v>1</v>
      </c>
      <c r="C12" s="24" t="str">
        <f>IF(ISBLANK([1]DBPCFA!AP1),"",[1]DBPCFA!AP1)</f>
        <v/>
      </c>
      <c r="D12" s="25"/>
      <c r="E12" s="26"/>
      <c r="F12" s="27">
        <f t="shared" ref="F12:AJ12" si="0">SUMIFS(EQ_HAct,Desc_EQ,$C12,Fecha_Inf_EQ,VALUE($AN$1&amp;TEXT(F$11,"00")))</f>
        <v>0</v>
      </c>
      <c r="G12" s="27">
        <f t="shared" si="0"/>
        <v>0</v>
      </c>
      <c r="H12" s="27">
        <f t="shared" si="0"/>
        <v>0</v>
      </c>
      <c r="I12" s="27">
        <f t="shared" si="0"/>
        <v>0</v>
      </c>
      <c r="J12" s="27">
        <f t="shared" si="0"/>
        <v>0</v>
      </c>
      <c r="K12" s="27">
        <f t="shared" si="0"/>
        <v>0</v>
      </c>
      <c r="L12" s="27">
        <f t="shared" si="0"/>
        <v>0</v>
      </c>
      <c r="M12" s="27">
        <f t="shared" si="0"/>
        <v>0</v>
      </c>
      <c r="N12" s="27">
        <f t="shared" si="0"/>
        <v>0</v>
      </c>
      <c r="O12" s="27">
        <f t="shared" si="0"/>
        <v>0</v>
      </c>
      <c r="P12" s="27">
        <f t="shared" si="0"/>
        <v>0</v>
      </c>
      <c r="Q12" s="27">
        <f t="shared" si="0"/>
        <v>0</v>
      </c>
      <c r="R12" s="27">
        <f t="shared" si="0"/>
        <v>0</v>
      </c>
      <c r="S12" s="27">
        <f t="shared" si="0"/>
        <v>0</v>
      </c>
      <c r="T12" s="27">
        <f t="shared" si="0"/>
        <v>0</v>
      </c>
      <c r="U12" s="27">
        <f t="shared" si="0"/>
        <v>0</v>
      </c>
      <c r="V12" s="27">
        <f t="shared" si="0"/>
        <v>0</v>
      </c>
      <c r="W12" s="27">
        <f t="shared" si="0"/>
        <v>0</v>
      </c>
      <c r="X12" s="27">
        <f t="shared" si="0"/>
        <v>0</v>
      </c>
      <c r="Y12" s="27">
        <f t="shared" si="0"/>
        <v>0</v>
      </c>
      <c r="Z12" s="27">
        <f t="shared" si="0"/>
        <v>0</v>
      </c>
      <c r="AA12" s="27">
        <f t="shared" si="0"/>
        <v>0</v>
      </c>
      <c r="AB12" s="27">
        <f t="shared" si="0"/>
        <v>0</v>
      </c>
      <c r="AC12" s="27">
        <f t="shared" si="0"/>
        <v>0</v>
      </c>
      <c r="AD12" s="27">
        <f t="shared" si="0"/>
        <v>0</v>
      </c>
      <c r="AE12" s="27">
        <f t="shared" si="0"/>
        <v>0</v>
      </c>
      <c r="AF12" s="27">
        <f t="shared" si="0"/>
        <v>0</v>
      </c>
      <c r="AG12" s="27">
        <f t="shared" si="0"/>
        <v>0</v>
      </c>
      <c r="AH12" s="27">
        <f t="shared" si="0"/>
        <v>0</v>
      </c>
      <c r="AI12" s="27">
        <f t="shared" si="0"/>
        <v>0</v>
      </c>
      <c r="AJ12" s="27">
        <f t="shared" si="0"/>
        <v>0</v>
      </c>
      <c r="AK12" s="28">
        <f>SUM(F12:AJ12)</f>
        <v>0</v>
      </c>
    </row>
    <row r="13" spans="1:40" ht="13.2" x14ac:dyDescent="0.25">
      <c r="A13" s="22"/>
      <c r="B13" s="29"/>
      <c r="C13" s="30"/>
      <c r="D13" s="31"/>
      <c r="E13" s="32"/>
      <c r="F13" s="33">
        <f t="shared" ref="F13:AJ13" si="1">SUMIFS(EQ_HInac,Desc_EQ,$C12,Fecha_Inf_EQ,VALUE($AN$1&amp;TEXT(F$11,"00")))</f>
        <v>0</v>
      </c>
      <c r="G13" s="33">
        <f t="shared" si="1"/>
        <v>0</v>
      </c>
      <c r="H13" s="33">
        <f t="shared" si="1"/>
        <v>0</v>
      </c>
      <c r="I13" s="33">
        <f t="shared" si="1"/>
        <v>0</v>
      </c>
      <c r="J13" s="33">
        <f t="shared" si="1"/>
        <v>0</v>
      </c>
      <c r="K13" s="33">
        <f t="shared" si="1"/>
        <v>0</v>
      </c>
      <c r="L13" s="33">
        <f t="shared" si="1"/>
        <v>0</v>
      </c>
      <c r="M13" s="33">
        <f t="shared" si="1"/>
        <v>0</v>
      </c>
      <c r="N13" s="33">
        <f t="shared" si="1"/>
        <v>0</v>
      </c>
      <c r="O13" s="33">
        <f t="shared" si="1"/>
        <v>0</v>
      </c>
      <c r="P13" s="33">
        <f t="shared" si="1"/>
        <v>0</v>
      </c>
      <c r="Q13" s="33">
        <f t="shared" si="1"/>
        <v>0</v>
      </c>
      <c r="R13" s="33">
        <f t="shared" si="1"/>
        <v>0</v>
      </c>
      <c r="S13" s="33">
        <f t="shared" si="1"/>
        <v>0</v>
      </c>
      <c r="T13" s="33">
        <f t="shared" si="1"/>
        <v>0</v>
      </c>
      <c r="U13" s="33">
        <f t="shared" si="1"/>
        <v>0</v>
      </c>
      <c r="V13" s="33">
        <f t="shared" si="1"/>
        <v>0</v>
      </c>
      <c r="W13" s="33">
        <f t="shared" si="1"/>
        <v>0</v>
      </c>
      <c r="X13" s="33">
        <f t="shared" si="1"/>
        <v>0</v>
      </c>
      <c r="Y13" s="33">
        <f t="shared" si="1"/>
        <v>0</v>
      </c>
      <c r="Z13" s="33">
        <f t="shared" si="1"/>
        <v>0</v>
      </c>
      <c r="AA13" s="33">
        <f t="shared" si="1"/>
        <v>0</v>
      </c>
      <c r="AB13" s="33">
        <f t="shared" si="1"/>
        <v>0</v>
      </c>
      <c r="AC13" s="33">
        <f t="shared" si="1"/>
        <v>0</v>
      </c>
      <c r="AD13" s="33">
        <f t="shared" si="1"/>
        <v>0</v>
      </c>
      <c r="AE13" s="33">
        <f t="shared" si="1"/>
        <v>0</v>
      </c>
      <c r="AF13" s="33">
        <f t="shared" si="1"/>
        <v>0</v>
      </c>
      <c r="AG13" s="33">
        <f t="shared" si="1"/>
        <v>0</v>
      </c>
      <c r="AH13" s="33">
        <f t="shared" si="1"/>
        <v>0</v>
      </c>
      <c r="AI13" s="33">
        <f t="shared" si="1"/>
        <v>0</v>
      </c>
      <c r="AJ13" s="33">
        <f t="shared" si="1"/>
        <v>0</v>
      </c>
      <c r="AK13" s="34">
        <f>SUM(F13:AJ13)</f>
        <v>0</v>
      </c>
      <c r="AM13" s="3" t="str">
        <f>IFERROR(VLOOKUP(C13,EQ_Cont,9,FALSE),"")</f>
        <v/>
      </c>
    </row>
    <row r="14" spans="1:40" ht="13.2" x14ac:dyDescent="0.25">
      <c r="A14" s="22"/>
      <c r="B14" s="35">
        <v>2</v>
      </c>
      <c r="C14" s="36" t="str">
        <f>IF(ISBLANK([1]DBPCFA!AP2),"",[1]DBPCFA!AP2)</f>
        <v/>
      </c>
      <c r="D14" s="25"/>
      <c r="E14" s="26"/>
      <c r="F14" s="27">
        <f t="shared" ref="F14:AJ14" si="2">SUMIFS(EQ_HAct,Desc_EQ,$C14,Fecha_Inf_EQ,VALUE($AN$1&amp;TEXT(F$11,"00")))</f>
        <v>0</v>
      </c>
      <c r="G14" s="27">
        <f t="shared" si="2"/>
        <v>0</v>
      </c>
      <c r="H14" s="27">
        <f t="shared" si="2"/>
        <v>0</v>
      </c>
      <c r="I14" s="27">
        <f t="shared" si="2"/>
        <v>0</v>
      </c>
      <c r="J14" s="27">
        <f t="shared" si="2"/>
        <v>0</v>
      </c>
      <c r="K14" s="27">
        <f t="shared" si="2"/>
        <v>0</v>
      </c>
      <c r="L14" s="27">
        <f t="shared" si="2"/>
        <v>0</v>
      </c>
      <c r="M14" s="27">
        <f t="shared" si="2"/>
        <v>0</v>
      </c>
      <c r="N14" s="27">
        <f t="shared" si="2"/>
        <v>0</v>
      </c>
      <c r="O14" s="27">
        <f t="shared" si="2"/>
        <v>0</v>
      </c>
      <c r="P14" s="27">
        <f t="shared" si="2"/>
        <v>0</v>
      </c>
      <c r="Q14" s="27">
        <f t="shared" si="2"/>
        <v>0</v>
      </c>
      <c r="R14" s="27">
        <f t="shared" si="2"/>
        <v>0</v>
      </c>
      <c r="S14" s="27">
        <f t="shared" si="2"/>
        <v>0</v>
      </c>
      <c r="T14" s="27">
        <f t="shared" si="2"/>
        <v>0</v>
      </c>
      <c r="U14" s="27">
        <f t="shared" si="2"/>
        <v>0</v>
      </c>
      <c r="V14" s="27">
        <f t="shared" si="2"/>
        <v>0</v>
      </c>
      <c r="W14" s="27">
        <f t="shared" si="2"/>
        <v>0</v>
      </c>
      <c r="X14" s="27">
        <f t="shared" si="2"/>
        <v>0</v>
      </c>
      <c r="Y14" s="27">
        <f t="shared" si="2"/>
        <v>0</v>
      </c>
      <c r="Z14" s="27">
        <f t="shared" si="2"/>
        <v>0</v>
      </c>
      <c r="AA14" s="27">
        <f t="shared" si="2"/>
        <v>0</v>
      </c>
      <c r="AB14" s="27">
        <f t="shared" si="2"/>
        <v>0</v>
      </c>
      <c r="AC14" s="27">
        <f t="shared" si="2"/>
        <v>0</v>
      </c>
      <c r="AD14" s="27">
        <f t="shared" si="2"/>
        <v>0</v>
      </c>
      <c r="AE14" s="27">
        <f t="shared" si="2"/>
        <v>0</v>
      </c>
      <c r="AF14" s="27">
        <f t="shared" si="2"/>
        <v>0</v>
      </c>
      <c r="AG14" s="27">
        <f t="shared" si="2"/>
        <v>0</v>
      </c>
      <c r="AH14" s="27">
        <f t="shared" si="2"/>
        <v>0</v>
      </c>
      <c r="AI14" s="27">
        <f t="shared" si="2"/>
        <v>0</v>
      </c>
      <c r="AJ14" s="27">
        <f t="shared" si="2"/>
        <v>0</v>
      </c>
      <c r="AK14" s="28">
        <f t="shared" ref="AK14:AK31" si="3">SUM(F14:AJ14)</f>
        <v>0</v>
      </c>
    </row>
    <row r="15" spans="1:40" ht="13.2" x14ac:dyDescent="0.25">
      <c r="A15" s="22"/>
      <c r="B15" s="29"/>
      <c r="C15" s="30"/>
      <c r="D15" s="31"/>
      <c r="E15" s="32"/>
      <c r="F15" s="33">
        <f t="shared" ref="F15:AJ15" si="4">SUMIFS(EQ_HInac,Desc_EQ,$C14,Fecha_Inf_EQ,VALUE($AN$1&amp;TEXT(F$11,"00")))</f>
        <v>0</v>
      </c>
      <c r="G15" s="33">
        <f t="shared" si="4"/>
        <v>0</v>
      </c>
      <c r="H15" s="33">
        <f t="shared" si="4"/>
        <v>0</v>
      </c>
      <c r="I15" s="33">
        <f t="shared" si="4"/>
        <v>0</v>
      </c>
      <c r="J15" s="33">
        <f t="shared" si="4"/>
        <v>0</v>
      </c>
      <c r="K15" s="33">
        <f t="shared" si="4"/>
        <v>0</v>
      </c>
      <c r="L15" s="33">
        <f t="shared" si="4"/>
        <v>0</v>
      </c>
      <c r="M15" s="33">
        <f t="shared" si="4"/>
        <v>0</v>
      </c>
      <c r="N15" s="33">
        <f t="shared" si="4"/>
        <v>0</v>
      </c>
      <c r="O15" s="33">
        <f t="shared" si="4"/>
        <v>0</v>
      </c>
      <c r="P15" s="33">
        <f t="shared" si="4"/>
        <v>0</v>
      </c>
      <c r="Q15" s="33">
        <f t="shared" si="4"/>
        <v>0</v>
      </c>
      <c r="R15" s="33">
        <f t="shared" si="4"/>
        <v>0</v>
      </c>
      <c r="S15" s="33">
        <f t="shared" si="4"/>
        <v>0</v>
      </c>
      <c r="T15" s="33">
        <f t="shared" si="4"/>
        <v>0</v>
      </c>
      <c r="U15" s="33">
        <f t="shared" si="4"/>
        <v>0</v>
      </c>
      <c r="V15" s="33">
        <f t="shared" si="4"/>
        <v>0</v>
      </c>
      <c r="W15" s="33">
        <f t="shared" si="4"/>
        <v>0</v>
      </c>
      <c r="X15" s="33">
        <f t="shared" si="4"/>
        <v>0</v>
      </c>
      <c r="Y15" s="33">
        <f t="shared" si="4"/>
        <v>0</v>
      </c>
      <c r="Z15" s="33">
        <f t="shared" si="4"/>
        <v>0</v>
      </c>
      <c r="AA15" s="33">
        <f t="shared" si="4"/>
        <v>0</v>
      </c>
      <c r="AB15" s="33">
        <f t="shared" si="4"/>
        <v>0</v>
      </c>
      <c r="AC15" s="33">
        <f t="shared" si="4"/>
        <v>0</v>
      </c>
      <c r="AD15" s="33">
        <f t="shared" si="4"/>
        <v>0</v>
      </c>
      <c r="AE15" s="33">
        <f t="shared" si="4"/>
        <v>0</v>
      </c>
      <c r="AF15" s="33">
        <f t="shared" si="4"/>
        <v>0</v>
      </c>
      <c r="AG15" s="33">
        <f t="shared" si="4"/>
        <v>0</v>
      </c>
      <c r="AH15" s="33">
        <f t="shared" si="4"/>
        <v>0</v>
      </c>
      <c r="AI15" s="33">
        <f t="shared" si="4"/>
        <v>0</v>
      </c>
      <c r="AJ15" s="33">
        <f t="shared" si="4"/>
        <v>0</v>
      </c>
      <c r="AK15" s="34">
        <f t="shared" si="3"/>
        <v>0</v>
      </c>
      <c r="AM15" s="3" t="str">
        <f>IFERROR(VLOOKUP(C15,EQ_Cont,9,FALSE),"")</f>
        <v/>
      </c>
    </row>
    <row r="16" spans="1:40" ht="13.2" x14ac:dyDescent="0.25">
      <c r="A16" s="22"/>
      <c r="B16" s="35">
        <v>3</v>
      </c>
      <c r="C16" s="24" t="str">
        <f>IF(ISBLANK([1]DBPCFA!AP3),"",[1]DBPCFA!AP3)</f>
        <v/>
      </c>
      <c r="D16" s="25"/>
      <c r="E16" s="26"/>
      <c r="F16" s="27">
        <f t="shared" ref="F16:AJ16" si="5">SUMIFS(EQ_HAct,Desc_EQ,$C16,Fecha_Inf_EQ,VALUE($AN$1&amp;TEXT(F$11,"00")))</f>
        <v>0</v>
      </c>
      <c r="G16" s="27">
        <f t="shared" si="5"/>
        <v>0</v>
      </c>
      <c r="H16" s="27">
        <f t="shared" si="5"/>
        <v>0</v>
      </c>
      <c r="I16" s="27">
        <f t="shared" si="5"/>
        <v>0</v>
      </c>
      <c r="J16" s="27">
        <f t="shared" si="5"/>
        <v>0</v>
      </c>
      <c r="K16" s="27">
        <f t="shared" si="5"/>
        <v>0</v>
      </c>
      <c r="L16" s="27">
        <f t="shared" si="5"/>
        <v>0</v>
      </c>
      <c r="M16" s="27">
        <f t="shared" si="5"/>
        <v>0</v>
      </c>
      <c r="N16" s="27">
        <f t="shared" si="5"/>
        <v>0</v>
      </c>
      <c r="O16" s="27">
        <f t="shared" si="5"/>
        <v>0</v>
      </c>
      <c r="P16" s="27">
        <f t="shared" si="5"/>
        <v>0</v>
      </c>
      <c r="Q16" s="27">
        <f t="shared" si="5"/>
        <v>0</v>
      </c>
      <c r="R16" s="27">
        <f t="shared" si="5"/>
        <v>0</v>
      </c>
      <c r="S16" s="27">
        <f t="shared" si="5"/>
        <v>0</v>
      </c>
      <c r="T16" s="27">
        <f t="shared" si="5"/>
        <v>0</v>
      </c>
      <c r="U16" s="27">
        <f t="shared" si="5"/>
        <v>0</v>
      </c>
      <c r="V16" s="27">
        <f t="shared" si="5"/>
        <v>0</v>
      </c>
      <c r="W16" s="27">
        <f t="shared" si="5"/>
        <v>0</v>
      </c>
      <c r="X16" s="27">
        <f t="shared" si="5"/>
        <v>0</v>
      </c>
      <c r="Y16" s="27">
        <f t="shared" si="5"/>
        <v>0</v>
      </c>
      <c r="Z16" s="27">
        <f t="shared" si="5"/>
        <v>0</v>
      </c>
      <c r="AA16" s="27">
        <f t="shared" si="5"/>
        <v>0</v>
      </c>
      <c r="AB16" s="27">
        <f t="shared" si="5"/>
        <v>0</v>
      </c>
      <c r="AC16" s="27">
        <f t="shared" si="5"/>
        <v>0</v>
      </c>
      <c r="AD16" s="27">
        <f t="shared" si="5"/>
        <v>0</v>
      </c>
      <c r="AE16" s="27">
        <f t="shared" si="5"/>
        <v>0</v>
      </c>
      <c r="AF16" s="27">
        <f t="shared" si="5"/>
        <v>0</v>
      </c>
      <c r="AG16" s="27">
        <f t="shared" si="5"/>
        <v>0</v>
      </c>
      <c r="AH16" s="27">
        <f t="shared" si="5"/>
        <v>0</v>
      </c>
      <c r="AI16" s="27">
        <f t="shared" si="5"/>
        <v>0</v>
      </c>
      <c r="AJ16" s="27">
        <f t="shared" si="5"/>
        <v>0</v>
      </c>
      <c r="AK16" s="28">
        <f t="shared" si="3"/>
        <v>0</v>
      </c>
    </row>
    <row r="17" spans="1:39" ht="13.2" x14ac:dyDescent="0.25">
      <c r="A17" s="22"/>
      <c r="B17" s="29"/>
      <c r="C17" s="30"/>
      <c r="D17" s="31"/>
      <c r="E17" s="32"/>
      <c r="F17" s="33">
        <f t="shared" ref="F17:AJ17" si="6">SUMIFS(EQ_HInac,Desc_EQ,$C16,Fecha_Inf_EQ,VALUE($AN$1&amp;TEXT(F$11,"00")))</f>
        <v>0</v>
      </c>
      <c r="G17" s="33">
        <f t="shared" si="6"/>
        <v>0</v>
      </c>
      <c r="H17" s="33">
        <f t="shared" si="6"/>
        <v>0</v>
      </c>
      <c r="I17" s="33">
        <f t="shared" si="6"/>
        <v>0</v>
      </c>
      <c r="J17" s="33">
        <f t="shared" si="6"/>
        <v>0</v>
      </c>
      <c r="K17" s="33">
        <f t="shared" si="6"/>
        <v>0</v>
      </c>
      <c r="L17" s="33">
        <f t="shared" si="6"/>
        <v>0</v>
      </c>
      <c r="M17" s="33">
        <f t="shared" si="6"/>
        <v>0</v>
      </c>
      <c r="N17" s="33">
        <f t="shared" si="6"/>
        <v>0</v>
      </c>
      <c r="O17" s="33">
        <f t="shared" si="6"/>
        <v>0</v>
      </c>
      <c r="P17" s="33">
        <f t="shared" si="6"/>
        <v>0</v>
      </c>
      <c r="Q17" s="33">
        <f t="shared" si="6"/>
        <v>0</v>
      </c>
      <c r="R17" s="33">
        <f t="shared" si="6"/>
        <v>0</v>
      </c>
      <c r="S17" s="33">
        <f t="shared" si="6"/>
        <v>0</v>
      </c>
      <c r="T17" s="33">
        <f t="shared" si="6"/>
        <v>0</v>
      </c>
      <c r="U17" s="33">
        <f t="shared" si="6"/>
        <v>0</v>
      </c>
      <c r="V17" s="33">
        <f t="shared" si="6"/>
        <v>0</v>
      </c>
      <c r="W17" s="33">
        <f t="shared" si="6"/>
        <v>0</v>
      </c>
      <c r="X17" s="33">
        <f t="shared" si="6"/>
        <v>0</v>
      </c>
      <c r="Y17" s="33">
        <f t="shared" si="6"/>
        <v>0</v>
      </c>
      <c r="Z17" s="33">
        <f t="shared" si="6"/>
        <v>0</v>
      </c>
      <c r="AA17" s="33">
        <f t="shared" si="6"/>
        <v>0</v>
      </c>
      <c r="AB17" s="33">
        <f t="shared" si="6"/>
        <v>0</v>
      </c>
      <c r="AC17" s="33">
        <f t="shared" si="6"/>
        <v>0</v>
      </c>
      <c r="AD17" s="33">
        <f t="shared" si="6"/>
        <v>0</v>
      </c>
      <c r="AE17" s="33">
        <f t="shared" si="6"/>
        <v>0</v>
      </c>
      <c r="AF17" s="33">
        <f t="shared" si="6"/>
        <v>0</v>
      </c>
      <c r="AG17" s="33">
        <f t="shared" si="6"/>
        <v>0</v>
      </c>
      <c r="AH17" s="33">
        <f t="shared" si="6"/>
        <v>0</v>
      </c>
      <c r="AI17" s="33">
        <f t="shared" si="6"/>
        <v>0</v>
      </c>
      <c r="AJ17" s="33">
        <f t="shared" si="6"/>
        <v>0</v>
      </c>
      <c r="AK17" s="34">
        <f t="shared" si="3"/>
        <v>0</v>
      </c>
      <c r="AM17" s="3" t="str">
        <f>IFERROR(VLOOKUP(C17,EQ_Cont,9,FALSE),"")</f>
        <v/>
      </c>
    </row>
    <row r="18" spans="1:39" ht="13.2" x14ac:dyDescent="0.25">
      <c r="A18" s="22"/>
      <c r="B18" s="35">
        <v>4</v>
      </c>
      <c r="C18" s="24" t="str">
        <f>IF(ISBLANK([1]DBPCFA!AP4),"",[1]DBPCFA!AP4)</f>
        <v/>
      </c>
      <c r="D18" s="25"/>
      <c r="E18" s="26"/>
      <c r="F18" s="27">
        <f t="shared" ref="F18:AJ18" si="7">SUMIFS(EQ_HAct,Desc_EQ,$C18,Fecha_Inf_EQ,VALUE($AN$1&amp;TEXT(F$11,"00")))</f>
        <v>0</v>
      </c>
      <c r="G18" s="27">
        <f t="shared" si="7"/>
        <v>0</v>
      </c>
      <c r="H18" s="27">
        <f t="shared" si="7"/>
        <v>0</v>
      </c>
      <c r="I18" s="27">
        <f t="shared" si="7"/>
        <v>0</v>
      </c>
      <c r="J18" s="27">
        <f t="shared" si="7"/>
        <v>0</v>
      </c>
      <c r="K18" s="27">
        <f t="shared" si="7"/>
        <v>0</v>
      </c>
      <c r="L18" s="27">
        <f t="shared" si="7"/>
        <v>0</v>
      </c>
      <c r="M18" s="27">
        <f t="shared" si="7"/>
        <v>0</v>
      </c>
      <c r="N18" s="27">
        <f t="shared" si="7"/>
        <v>0</v>
      </c>
      <c r="O18" s="27">
        <f t="shared" si="7"/>
        <v>0</v>
      </c>
      <c r="P18" s="27">
        <f t="shared" si="7"/>
        <v>0</v>
      </c>
      <c r="Q18" s="27">
        <f t="shared" si="7"/>
        <v>0</v>
      </c>
      <c r="R18" s="27">
        <f t="shared" si="7"/>
        <v>0</v>
      </c>
      <c r="S18" s="27">
        <f t="shared" si="7"/>
        <v>0</v>
      </c>
      <c r="T18" s="27">
        <f t="shared" si="7"/>
        <v>0</v>
      </c>
      <c r="U18" s="27">
        <f t="shared" si="7"/>
        <v>0</v>
      </c>
      <c r="V18" s="27">
        <f t="shared" si="7"/>
        <v>0</v>
      </c>
      <c r="W18" s="27">
        <f t="shared" si="7"/>
        <v>0</v>
      </c>
      <c r="X18" s="27">
        <f t="shared" si="7"/>
        <v>0</v>
      </c>
      <c r="Y18" s="27">
        <f t="shared" si="7"/>
        <v>0</v>
      </c>
      <c r="Z18" s="27">
        <f t="shared" si="7"/>
        <v>0</v>
      </c>
      <c r="AA18" s="27">
        <f t="shared" si="7"/>
        <v>0</v>
      </c>
      <c r="AB18" s="27">
        <f t="shared" si="7"/>
        <v>0</v>
      </c>
      <c r="AC18" s="27">
        <f t="shared" si="7"/>
        <v>0</v>
      </c>
      <c r="AD18" s="27">
        <f t="shared" si="7"/>
        <v>0</v>
      </c>
      <c r="AE18" s="27">
        <f t="shared" si="7"/>
        <v>0</v>
      </c>
      <c r="AF18" s="27">
        <f t="shared" si="7"/>
        <v>0</v>
      </c>
      <c r="AG18" s="27">
        <f t="shared" si="7"/>
        <v>0</v>
      </c>
      <c r="AH18" s="27">
        <f t="shared" si="7"/>
        <v>0</v>
      </c>
      <c r="AI18" s="27">
        <f t="shared" si="7"/>
        <v>0</v>
      </c>
      <c r="AJ18" s="27">
        <f t="shared" si="7"/>
        <v>0</v>
      </c>
      <c r="AK18" s="28">
        <f t="shared" si="3"/>
        <v>0</v>
      </c>
    </row>
    <row r="19" spans="1:39" ht="13.2" x14ac:dyDescent="0.25">
      <c r="A19" s="22"/>
      <c r="B19" s="29"/>
      <c r="C19" s="30"/>
      <c r="D19" s="31"/>
      <c r="E19" s="32"/>
      <c r="F19" s="33">
        <f t="shared" ref="F19:AJ19" si="8">SUMIFS(EQ_HInac,Desc_EQ,$C18,Fecha_Inf_EQ,VALUE($AN$1&amp;TEXT(F$11,"00")))</f>
        <v>0</v>
      </c>
      <c r="G19" s="33">
        <f t="shared" si="8"/>
        <v>0</v>
      </c>
      <c r="H19" s="33">
        <f t="shared" si="8"/>
        <v>0</v>
      </c>
      <c r="I19" s="33">
        <f t="shared" si="8"/>
        <v>0</v>
      </c>
      <c r="J19" s="33">
        <f t="shared" si="8"/>
        <v>0</v>
      </c>
      <c r="K19" s="33">
        <f t="shared" si="8"/>
        <v>0</v>
      </c>
      <c r="L19" s="33">
        <f t="shared" si="8"/>
        <v>0</v>
      </c>
      <c r="M19" s="33">
        <f t="shared" si="8"/>
        <v>0</v>
      </c>
      <c r="N19" s="33">
        <f t="shared" si="8"/>
        <v>0</v>
      </c>
      <c r="O19" s="33">
        <f t="shared" si="8"/>
        <v>0</v>
      </c>
      <c r="P19" s="33">
        <f t="shared" si="8"/>
        <v>0</v>
      </c>
      <c r="Q19" s="33">
        <f t="shared" si="8"/>
        <v>0</v>
      </c>
      <c r="R19" s="33">
        <f t="shared" si="8"/>
        <v>0</v>
      </c>
      <c r="S19" s="33">
        <f t="shared" si="8"/>
        <v>0</v>
      </c>
      <c r="T19" s="33">
        <f t="shared" si="8"/>
        <v>0</v>
      </c>
      <c r="U19" s="33">
        <f t="shared" si="8"/>
        <v>0</v>
      </c>
      <c r="V19" s="33">
        <f t="shared" si="8"/>
        <v>0</v>
      </c>
      <c r="W19" s="33">
        <f t="shared" si="8"/>
        <v>0</v>
      </c>
      <c r="X19" s="33">
        <f t="shared" si="8"/>
        <v>0</v>
      </c>
      <c r="Y19" s="33">
        <f t="shared" si="8"/>
        <v>0</v>
      </c>
      <c r="Z19" s="33">
        <f t="shared" si="8"/>
        <v>0</v>
      </c>
      <c r="AA19" s="33">
        <f t="shared" si="8"/>
        <v>0</v>
      </c>
      <c r="AB19" s="33">
        <f t="shared" si="8"/>
        <v>0</v>
      </c>
      <c r="AC19" s="33">
        <f t="shared" si="8"/>
        <v>0</v>
      </c>
      <c r="AD19" s="33">
        <f t="shared" si="8"/>
        <v>0</v>
      </c>
      <c r="AE19" s="33">
        <f t="shared" si="8"/>
        <v>0</v>
      </c>
      <c r="AF19" s="33">
        <f t="shared" si="8"/>
        <v>0</v>
      </c>
      <c r="AG19" s="33">
        <f t="shared" si="8"/>
        <v>0</v>
      </c>
      <c r="AH19" s="33">
        <f t="shared" si="8"/>
        <v>0</v>
      </c>
      <c r="AI19" s="33">
        <f t="shared" si="8"/>
        <v>0</v>
      </c>
      <c r="AJ19" s="33">
        <f t="shared" si="8"/>
        <v>0</v>
      </c>
      <c r="AK19" s="34">
        <f t="shared" si="3"/>
        <v>0</v>
      </c>
      <c r="AM19" s="3" t="str">
        <f>IFERROR(VLOOKUP(C19,EQ_Cont,9,FALSE),"")</f>
        <v/>
      </c>
    </row>
    <row r="20" spans="1:39" ht="13.2" x14ac:dyDescent="0.25">
      <c r="A20" s="22"/>
      <c r="B20" s="35">
        <v>5</v>
      </c>
      <c r="C20" s="24" t="str">
        <f>IF(ISBLANK([1]DBPCFA!AP5),"",[1]DBPCFA!AP5)</f>
        <v/>
      </c>
      <c r="D20" s="25"/>
      <c r="E20" s="26"/>
      <c r="F20" s="27">
        <f t="shared" ref="F20:AJ20" si="9">SUMIFS(EQ_HAct,Desc_EQ,$C20,Fecha_Inf_EQ,VALUE($AN$1&amp;TEXT(F$11,"00")))</f>
        <v>0</v>
      </c>
      <c r="G20" s="27">
        <f t="shared" si="9"/>
        <v>0</v>
      </c>
      <c r="H20" s="27">
        <f t="shared" si="9"/>
        <v>0</v>
      </c>
      <c r="I20" s="27">
        <f t="shared" si="9"/>
        <v>0</v>
      </c>
      <c r="J20" s="27">
        <f t="shared" si="9"/>
        <v>0</v>
      </c>
      <c r="K20" s="27">
        <f t="shared" si="9"/>
        <v>0</v>
      </c>
      <c r="L20" s="27">
        <f t="shared" si="9"/>
        <v>0</v>
      </c>
      <c r="M20" s="27">
        <f t="shared" si="9"/>
        <v>0</v>
      </c>
      <c r="N20" s="27">
        <f t="shared" si="9"/>
        <v>0</v>
      </c>
      <c r="O20" s="27">
        <f t="shared" si="9"/>
        <v>0</v>
      </c>
      <c r="P20" s="27">
        <f t="shared" si="9"/>
        <v>0</v>
      </c>
      <c r="Q20" s="27">
        <f t="shared" si="9"/>
        <v>0</v>
      </c>
      <c r="R20" s="27">
        <f t="shared" si="9"/>
        <v>0</v>
      </c>
      <c r="S20" s="27">
        <f t="shared" si="9"/>
        <v>0</v>
      </c>
      <c r="T20" s="27">
        <f t="shared" si="9"/>
        <v>0</v>
      </c>
      <c r="U20" s="27">
        <f t="shared" si="9"/>
        <v>0</v>
      </c>
      <c r="V20" s="27">
        <f t="shared" si="9"/>
        <v>0</v>
      </c>
      <c r="W20" s="27">
        <f t="shared" si="9"/>
        <v>0</v>
      </c>
      <c r="X20" s="27">
        <f t="shared" si="9"/>
        <v>0</v>
      </c>
      <c r="Y20" s="27">
        <f t="shared" si="9"/>
        <v>0</v>
      </c>
      <c r="Z20" s="27">
        <f t="shared" si="9"/>
        <v>0</v>
      </c>
      <c r="AA20" s="27">
        <f t="shared" si="9"/>
        <v>0</v>
      </c>
      <c r="AB20" s="27">
        <f t="shared" si="9"/>
        <v>0</v>
      </c>
      <c r="AC20" s="27">
        <f t="shared" si="9"/>
        <v>0</v>
      </c>
      <c r="AD20" s="27">
        <f t="shared" si="9"/>
        <v>0</v>
      </c>
      <c r="AE20" s="27">
        <f t="shared" si="9"/>
        <v>0</v>
      </c>
      <c r="AF20" s="27">
        <f t="shared" si="9"/>
        <v>0</v>
      </c>
      <c r="AG20" s="27">
        <f t="shared" si="9"/>
        <v>0</v>
      </c>
      <c r="AH20" s="27">
        <f t="shared" si="9"/>
        <v>0</v>
      </c>
      <c r="AI20" s="27">
        <f t="shared" si="9"/>
        <v>0</v>
      </c>
      <c r="AJ20" s="27">
        <f t="shared" si="9"/>
        <v>0</v>
      </c>
      <c r="AK20" s="28">
        <f t="shared" si="3"/>
        <v>0</v>
      </c>
    </row>
    <row r="21" spans="1:39" ht="13.2" x14ac:dyDescent="0.25">
      <c r="A21" s="22"/>
      <c r="B21" s="29"/>
      <c r="C21" s="30"/>
      <c r="D21" s="31"/>
      <c r="E21" s="32"/>
      <c r="F21" s="33">
        <f t="shared" ref="F21:AJ21" si="10">SUMIFS(EQ_HInac,Desc_EQ,$C20,Fecha_Inf_EQ,VALUE($AN$1&amp;TEXT(F$11,"00")))</f>
        <v>0</v>
      </c>
      <c r="G21" s="33">
        <f t="shared" si="10"/>
        <v>0</v>
      </c>
      <c r="H21" s="33">
        <f t="shared" si="10"/>
        <v>0</v>
      </c>
      <c r="I21" s="33">
        <f t="shared" si="10"/>
        <v>0</v>
      </c>
      <c r="J21" s="33">
        <f t="shared" si="10"/>
        <v>0</v>
      </c>
      <c r="K21" s="33">
        <f t="shared" si="10"/>
        <v>0</v>
      </c>
      <c r="L21" s="33">
        <f t="shared" si="10"/>
        <v>0</v>
      </c>
      <c r="M21" s="33">
        <f t="shared" si="10"/>
        <v>0</v>
      </c>
      <c r="N21" s="33">
        <f t="shared" si="10"/>
        <v>0</v>
      </c>
      <c r="O21" s="33">
        <f t="shared" si="10"/>
        <v>0</v>
      </c>
      <c r="P21" s="33">
        <f t="shared" si="10"/>
        <v>0</v>
      </c>
      <c r="Q21" s="33">
        <f t="shared" si="10"/>
        <v>0</v>
      </c>
      <c r="R21" s="33">
        <f t="shared" si="10"/>
        <v>0</v>
      </c>
      <c r="S21" s="33">
        <f t="shared" si="10"/>
        <v>0</v>
      </c>
      <c r="T21" s="33">
        <f t="shared" si="10"/>
        <v>0</v>
      </c>
      <c r="U21" s="33">
        <f t="shared" si="10"/>
        <v>0</v>
      </c>
      <c r="V21" s="33">
        <f t="shared" si="10"/>
        <v>0</v>
      </c>
      <c r="W21" s="33">
        <f t="shared" si="10"/>
        <v>0</v>
      </c>
      <c r="X21" s="33">
        <f t="shared" si="10"/>
        <v>0</v>
      </c>
      <c r="Y21" s="33">
        <f t="shared" si="10"/>
        <v>0</v>
      </c>
      <c r="Z21" s="33">
        <f t="shared" si="10"/>
        <v>0</v>
      </c>
      <c r="AA21" s="33">
        <f t="shared" si="10"/>
        <v>0</v>
      </c>
      <c r="AB21" s="33">
        <f t="shared" si="10"/>
        <v>0</v>
      </c>
      <c r="AC21" s="33">
        <f t="shared" si="10"/>
        <v>0</v>
      </c>
      <c r="AD21" s="33">
        <f t="shared" si="10"/>
        <v>0</v>
      </c>
      <c r="AE21" s="33">
        <f t="shared" si="10"/>
        <v>0</v>
      </c>
      <c r="AF21" s="33">
        <f t="shared" si="10"/>
        <v>0</v>
      </c>
      <c r="AG21" s="33">
        <f t="shared" si="10"/>
        <v>0</v>
      </c>
      <c r="AH21" s="33">
        <f t="shared" si="10"/>
        <v>0</v>
      </c>
      <c r="AI21" s="33">
        <f t="shared" si="10"/>
        <v>0</v>
      </c>
      <c r="AJ21" s="33">
        <f t="shared" si="10"/>
        <v>0</v>
      </c>
      <c r="AK21" s="34">
        <f t="shared" si="3"/>
        <v>0</v>
      </c>
      <c r="AM21" s="3" t="str">
        <f>IFERROR(VLOOKUP(C21,EQ_Cont,9,FALSE),"")</f>
        <v/>
      </c>
    </row>
    <row r="22" spans="1:39" ht="13.2" x14ac:dyDescent="0.25">
      <c r="A22" s="22"/>
      <c r="B22" s="35">
        <v>6</v>
      </c>
      <c r="C22" s="24" t="str">
        <f>IF(ISBLANK([1]DBPCFA!AP6),"",[1]DBPCFA!AP6)</f>
        <v/>
      </c>
      <c r="D22" s="25"/>
      <c r="E22" s="26"/>
      <c r="F22" s="27">
        <f t="shared" ref="F22:AJ22" si="11">SUMIFS(EQ_HAct,Desc_EQ,$C22,Fecha_Inf_EQ,VALUE($AN$1&amp;TEXT(F$11,"00")))</f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si="11"/>
        <v>0</v>
      </c>
      <c r="Y22" s="27">
        <f t="shared" si="11"/>
        <v>0</v>
      </c>
      <c r="Z22" s="27">
        <f t="shared" si="11"/>
        <v>0</v>
      </c>
      <c r="AA22" s="27">
        <f t="shared" si="11"/>
        <v>0</v>
      </c>
      <c r="AB22" s="27">
        <f t="shared" si="11"/>
        <v>0</v>
      </c>
      <c r="AC22" s="27">
        <f t="shared" si="11"/>
        <v>0</v>
      </c>
      <c r="AD22" s="27">
        <f t="shared" si="11"/>
        <v>0</v>
      </c>
      <c r="AE22" s="27">
        <f t="shared" si="11"/>
        <v>0</v>
      </c>
      <c r="AF22" s="27">
        <f t="shared" si="11"/>
        <v>0</v>
      </c>
      <c r="AG22" s="27">
        <f t="shared" si="11"/>
        <v>0</v>
      </c>
      <c r="AH22" s="27">
        <f t="shared" si="11"/>
        <v>0</v>
      </c>
      <c r="AI22" s="27">
        <f t="shared" si="11"/>
        <v>0</v>
      </c>
      <c r="AJ22" s="27">
        <f t="shared" si="11"/>
        <v>0</v>
      </c>
      <c r="AK22" s="28">
        <f t="shared" si="3"/>
        <v>0</v>
      </c>
    </row>
    <row r="23" spans="1:39" ht="13.2" x14ac:dyDescent="0.25">
      <c r="A23" s="22"/>
      <c r="B23" s="29"/>
      <c r="C23" s="30"/>
      <c r="D23" s="31"/>
      <c r="E23" s="32"/>
      <c r="F23" s="33">
        <f t="shared" ref="F23:AJ23" si="12">SUMIFS(EQ_HInac,Desc_EQ,$C22,Fecha_Inf_EQ,VALUE($AN$1&amp;TEXT(F$11,"00")))</f>
        <v>0</v>
      </c>
      <c r="G23" s="33">
        <f t="shared" si="12"/>
        <v>0</v>
      </c>
      <c r="H23" s="33">
        <f t="shared" si="12"/>
        <v>0</v>
      </c>
      <c r="I23" s="33">
        <f t="shared" si="12"/>
        <v>0</v>
      </c>
      <c r="J23" s="33">
        <f t="shared" si="12"/>
        <v>0</v>
      </c>
      <c r="K23" s="33">
        <f t="shared" si="12"/>
        <v>0</v>
      </c>
      <c r="L23" s="33">
        <f t="shared" si="12"/>
        <v>0</v>
      </c>
      <c r="M23" s="33">
        <f t="shared" si="12"/>
        <v>0</v>
      </c>
      <c r="N23" s="33">
        <f t="shared" si="12"/>
        <v>0</v>
      </c>
      <c r="O23" s="33">
        <f t="shared" si="12"/>
        <v>0</v>
      </c>
      <c r="P23" s="33">
        <f t="shared" si="12"/>
        <v>0</v>
      </c>
      <c r="Q23" s="33">
        <f t="shared" si="12"/>
        <v>0</v>
      </c>
      <c r="R23" s="33">
        <f t="shared" si="12"/>
        <v>0</v>
      </c>
      <c r="S23" s="33">
        <f t="shared" si="12"/>
        <v>0</v>
      </c>
      <c r="T23" s="33">
        <f t="shared" si="12"/>
        <v>0</v>
      </c>
      <c r="U23" s="33">
        <f t="shared" si="12"/>
        <v>0</v>
      </c>
      <c r="V23" s="33">
        <f t="shared" si="12"/>
        <v>0</v>
      </c>
      <c r="W23" s="33">
        <f t="shared" si="12"/>
        <v>0</v>
      </c>
      <c r="X23" s="33">
        <f t="shared" si="12"/>
        <v>0</v>
      </c>
      <c r="Y23" s="33">
        <f t="shared" si="12"/>
        <v>0</v>
      </c>
      <c r="Z23" s="33">
        <f t="shared" si="12"/>
        <v>0</v>
      </c>
      <c r="AA23" s="33">
        <f t="shared" si="12"/>
        <v>0</v>
      </c>
      <c r="AB23" s="33">
        <f t="shared" si="12"/>
        <v>0</v>
      </c>
      <c r="AC23" s="33">
        <f t="shared" si="12"/>
        <v>0</v>
      </c>
      <c r="AD23" s="33">
        <f t="shared" si="12"/>
        <v>0</v>
      </c>
      <c r="AE23" s="33">
        <f t="shared" si="12"/>
        <v>0</v>
      </c>
      <c r="AF23" s="33">
        <f t="shared" si="12"/>
        <v>0</v>
      </c>
      <c r="AG23" s="33">
        <f t="shared" si="12"/>
        <v>0</v>
      </c>
      <c r="AH23" s="33">
        <f t="shared" si="12"/>
        <v>0</v>
      </c>
      <c r="AI23" s="33">
        <f t="shared" si="12"/>
        <v>0</v>
      </c>
      <c r="AJ23" s="33">
        <f t="shared" si="12"/>
        <v>0</v>
      </c>
      <c r="AK23" s="34">
        <f t="shared" si="3"/>
        <v>0</v>
      </c>
      <c r="AM23" s="3" t="str">
        <f>IFERROR(VLOOKUP(C23,EQ_Cont,9,FALSE),"")</f>
        <v/>
      </c>
    </row>
    <row r="24" spans="1:39" ht="13.2" x14ac:dyDescent="0.25">
      <c r="A24" s="22"/>
      <c r="B24" s="35">
        <v>7</v>
      </c>
      <c r="C24" s="24" t="str">
        <f>IF(ISBLANK([1]DBPCFA!AP7),"",[1]DBPCFA!AP7)</f>
        <v/>
      </c>
      <c r="D24" s="25"/>
      <c r="E24" s="26"/>
      <c r="F24" s="27">
        <f t="shared" ref="F24:AJ24" si="13">SUMIFS(EQ_HAct,Desc_EQ,$C24,Fecha_Inf_EQ,VALUE($AN$1&amp;TEXT(F$11,"00")))</f>
        <v>0</v>
      </c>
      <c r="G24" s="27">
        <f t="shared" si="13"/>
        <v>0</v>
      </c>
      <c r="H24" s="27">
        <f t="shared" si="13"/>
        <v>0</v>
      </c>
      <c r="I24" s="27">
        <f t="shared" si="13"/>
        <v>0</v>
      </c>
      <c r="J24" s="27">
        <f t="shared" si="13"/>
        <v>0</v>
      </c>
      <c r="K24" s="27">
        <f t="shared" si="13"/>
        <v>0</v>
      </c>
      <c r="L24" s="27">
        <f t="shared" si="13"/>
        <v>0</v>
      </c>
      <c r="M24" s="27">
        <f t="shared" si="13"/>
        <v>0</v>
      </c>
      <c r="N24" s="27">
        <f t="shared" si="13"/>
        <v>0</v>
      </c>
      <c r="O24" s="27">
        <f t="shared" si="13"/>
        <v>0</v>
      </c>
      <c r="P24" s="27">
        <f t="shared" si="13"/>
        <v>0</v>
      </c>
      <c r="Q24" s="27">
        <f t="shared" si="13"/>
        <v>0</v>
      </c>
      <c r="R24" s="27">
        <f t="shared" si="13"/>
        <v>0</v>
      </c>
      <c r="S24" s="27">
        <f t="shared" si="13"/>
        <v>0</v>
      </c>
      <c r="T24" s="27">
        <f t="shared" si="13"/>
        <v>0</v>
      </c>
      <c r="U24" s="27">
        <f t="shared" si="13"/>
        <v>0</v>
      </c>
      <c r="V24" s="27">
        <f t="shared" si="13"/>
        <v>0</v>
      </c>
      <c r="W24" s="27">
        <f t="shared" si="13"/>
        <v>0</v>
      </c>
      <c r="X24" s="27">
        <f t="shared" si="13"/>
        <v>0</v>
      </c>
      <c r="Y24" s="27">
        <f t="shared" si="13"/>
        <v>0</v>
      </c>
      <c r="Z24" s="27">
        <f t="shared" si="13"/>
        <v>0</v>
      </c>
      <c r="AA24" s="27">
        <f t="shared" si="13"/>
        <v>0</v>
      </c>
      <c r="AB24" s="27">
        <f t="shared" si="13"/>
        <v>0</v>
      </c>
      <c r="AC24" s="27">
        <f t="shared" si="13"/>
        <v>0</v>
      </c>
      <c r="AD24" s="27">
        <f t="shared" si="13"/>
        <v>0</v>
      </c>
      <c r="AE24" s="27">
        <f t="shared" si="13"/>
        <v>0</v>
      </c>
      <c r="AF24" s="27">
        <f t="shared" si="13"/>
        <v>0</v>
      </c>
      <c r="AG24" s="27">
        <f t="shared" si="13"/>
        <v>0</v>
      </c>
      <c r="AH24" s="27">
        <f t="shared" si="13"/>
        <v>0</v>
      </c>
      <c r="AI24" s="27">
        <f t="shared" si="13"/>
        <v>0</v>
      </c>
      <c r="AJ24" s="27">
        <f t="shared" si="13"/>
        <v>0</v>
      </c>
      <c r="AK24" s="28">
        <f t="shared" si="3"/>
        <v>0</v>
      </c>
    </row>
    <row r="25" spans="1:39" ht="13.2" x14ac:dyDescent="0.25">
      <c r="A25" s="22"/>
      <c r="B25" s="29"/>
      <c r="C25" s="30"/>
      <c r="D25" s="31"/>
      <c r="E25" s="32"/>
      <c r="F25" s="33">
        <f t="shared" ref="F25:AJ25" si="14">SUMIFS(EQ_HInac,Desc_EQ,$C24,Fecha_Inf_EQ,VALUE($AN$1&amp;TEXT(F$11,"00")))</f>
        <v>0</v>
      </c>
      <c r="G25" s="33">
        <f t="shared" si="14"/>
        <v>0</v>
      </c>
      <c r="H25" s="33">
        <f t="shared" si="14"/>
        <v>0</v>
      </c>
      <c r="I25" s="33">
        <f t="shared" si="14"/>
        <v>0</v>
      </c>
      <c r="J25" s="33">
        <f t="shared" si="14"/>
        <v>0</v>
      </c>
      <c r="K25" s="33">
        <f t="shared" si="14"/>
        <v>0</v>
      </c>
      <c r="L25" s="33">
        <f t="shared" si="14"/>
        <v>0</v>
      </c>
      <c r="M25" s="33">
        <f t="shared" si="14"/>
        <v>0</v>
      </c>
      <c r="N25" s="33">
        <f t="shared" si="14"/>
        <v>0</v>
      </c>
      <c r="O25" s="33">
        <f t="shared" si="14"/>
        <v>0</v>
      </c>
      <c r="P25" s="33">
        <f t="shared" si="14"/>
        <v>0</v>
      </c>
      <c r="Q25" s="33">
        <f t="shared" si="14"/>
        <v>0</v>
      </c>
      <c r="R25" s="33">
        <f t="shared" si="14"/>
        <v>0</v>
      </c>
      <c r="S25" s="33">
        <f t="shared" si="14"/>
        <v>0</v>
      </c>
      <c r="T25" s="33">
        <f t="shared" si="14"/>
        <v>0</v>
      </c>
      <c r="U25" s="33">
        <f t="shared" si="14"/>
        <v>0</v>
      </c>
      <c r="V25" s="33">
        <f t="shared" si="14"/>
        <v>0</v>
      </c>
      <c r="W25" s="33">
        <f t="shared" si="14"/>
        <v>0</v>
      </c>
      <c r="X25" s="33">
        <f t="shared" si="14"/>
        <v>0</v>
      </c>
      <c r="Y25" s="33">
        <f t="shared" si="14"/>
        <v>0</v>
      </c>
      <c r="Z25" s="33">
        <f t="shared" si="14"/>
        <v>0</v>
      </c>
      <c r="AA25" s="33">
        <f t="shared" si="14"/>
        <v>0</v>
      </c>
      <c r="AB25" s="33">
        <f t="shared" si="14"/>
        <v>0</v>
      </c>
      <c r="AC25" s="33">
        <f t="shared" si="14"/>
        <v>0</v>
      </c>
      <c r="AD25" s="33">
        <f t="shared" si="14"/>
        <v>0</v>
      </c>
      <c r="AE25" s="33">
        <f t="shared" si="14"/>
        <v>0</v>
      </c>
      <c r="AF25" s="33">
        <f t="shared" si="14"/>
        <v>0</v>
      </c>
      <c r="AG25" s="33">
        <f t="shared" si="14"/>
        <v>0</v>
      </c>
      <c r="AH25" s="33">
        <f t="shared" si="14"/>
        <v>0</v>
      </c>
      <c r="AI25" s="33">
        <f t="shared" si="14"/>
        <v>0</v>
      </c>
      <c r="AJ25" s="33">
        <f t="shared" si="14"/>
        <v>0</v>
      </c>
      <c r="AK25" s="34">
        <f t="shared" si="3"/>
        <v>0</v>
      </c>
      <c r="AM25" s="3" t="str">
        <f>IFERROR(VLOOKUP(C25,EQ_Cont,9,FALSE),"")</f>
        <v/>
      </c>
    </row>
    <row r="26" spans="1:39" ht="13.2" x14ac:dyDescent="0.25">
      <c r="A26" s="22"/>
      <c r="B26" s="37">
        <v>8</v>
      </c>
      <c r="C26" s="24" t="str">
        <f>IF(ISBLANK([1]DBPCFA!AP8),"",[1]DBPCFA!AP8)</f>
        <v/>
      </c>
      <c r="D26" s="25"/>
      <c r="E26" s="26"/>
      <c r="F26" s="27">
        <f t="shared" ref="F26:AJ26" si="15">SUMIFS(EQ_HAct,Desc_EQ,$C26,Fecha_Inf_EQ,VALUE($AN$1&amp;TEXT(F$11,"00")))</f>
        <v>0</v>
      </c>
      <c r="G26" s="27">
        <f t="shared" si="15"/>
        <v>0</v>
      </c>
      <c r="H26" s="27">
        <f t="shared" si="15"/>
        <v>0</v>
      </c>
      <c r="I26" s="27">
        <f t="shared" si="15"/>
        <v>0</v>
      </c>
      <c r="J26" s="27">
        <f t="shared" si="15"/>
        <v>0</v>
      </c>
      <c r="K26" s="27">
        <f t="shared" si="15"/>
        <v>0</v>
      </c>
      <c r="L26" s="27">
        <f t="shared" si="15"/>
        <v>0</v>
      </c>
      <c r="M26" s="27">
        <f t="shared" si="15"/>
        <v>0</v>
      </c>
      <c r="N26" s="27">
        <f t="shared" si="15"/>
        <v>0</v>
      </c>
      <c r="O26" s="27">
        <f t="shared" si="15"/>
        <v>0</v>
      </c>
      <c r="P26" s="27">
        <f t="shared" si="15"/>
        <v>0</v>
      </c>
      <c r="Q26" s="27">
        <f t="shared" si="15"/>
        <v>0</v>
      </c>
      <c r="R26" s="27">
        <f t="shared" si="15"/>
        <v>0</v>
      </c>
      <c r="S26" s="27">
        <f t="shared" si="15"/>
        <v>0</v>
      </c>
      <c r="T26" s="27">
        <f t="shared" si="15"/>
        <v>0</v>
      </c>
      <c r="U26" s="27">
        <f t="shared" si="15"/>
        <v>0</v>
      </c>
      <c r="V26" s="27">
        <f t="shared" si="15"/>
        <v>0</v>
      </c>
      <c r="W26" s="27">
        <f t="shared" si="15"/>
        <v>0</v>
      </c>
      <c r="X26" s="27">
        <f t="shared" si="15"/>
        <v>0</v>
      </c>
      <c r="Y26" s="27">
        <f t="shared" si="15"/>
        <v>0</v>
      </c>
      <c r="Z26" s="27">
        <f t="shared" si="15"/>
        <v>0</v>
      </c>
      <c r="AA26" s="27">
        <f t="shared" si="15"/>
        <v>0</v>
      </c>
      <c r="AB26" s="27">
        <f t="shared" si="15"/>
        <v>0</v>
      </c>
      <c r="AC26" s="27">
        <f t="shared" si="15"/>
        <v>0</v>
      </c>
      <c r="AD26" s="27">
        <f t="shared" si="15"/>
        <v>0</v>
      </c>
      <c r="AE26" s="27">
        <f t="shared" si="15"/>
        <v>0</v>
      </c>
      <c r="AF26" s="27">
        <f t="shared" si="15"/>
        <v>0</v>
      </c>
      <c r="AG26" s="27">
        <f t="shared" si="15"/>
        <v>0</v>
      </c>
      <c r="AH26" s="27">
        <f t="shared" si="15"/>
        <v>0</v>
      </c>
      <c r="AI26" s="27">
        <f t="shared" si="15"/>
        <v>0</v>
      </c>
      <c r="AJ26" s="27">
        <f t="shared" si="15"/>
        <v>0</v>
      </c>
      <c r="AK26" s="28">
        <f t="shared" si="3"/>
        <v>0</v>
      </c>
    </row>
    <row r="27" spans="1:39" ht="13.2" x14ac:dyDescent="0.25">
      <c r="A27" s="22"/>
      <c r="B27" s="37"/>
      <c r="C27" s="30"/>
      <c r="D27" s="31"/>
      <c r="E27" s="32"/>
      <c r="F27" s="33">
        <f t="shared" ref="F27:AJ27" si="16">SUMIFS(EQ_HInac,Desc_EQ,$C26,Fecha_Inf_EQ,VALUE($AN$1&amp;TEXT(F$11,"00")))</f>
        <v>0</v>
      </c>
      <c r="G27" s="33">
        <f t="shared" si="16"/>
        <v>0</v>
      </c>
      <c r="H27" s="33">
        <f t="shared" si="16"/>
        <v>0</v>
      </c>
      <c r="I27" s="33">
        <f t="shared" si="16"/>
        <v>0</v>
      </c>
      <c r="J27" s="33">
        <f t="shared" si="16"/>
        <v>0</v>
      </c>
      <c r="K27" s="33">
        <f t="shared" si="16"/>
        <v>0</v>
      </c>
      <c r="L27" s="33">
        <f t="shared" si="16"/>
        <v>0</v>
      </c>
      <c r="M27" s="33">
        <f t="shared" si="16"/>
        <v>0</v>
      </c>
      <c r="N27" s="33">
        <f t="shared" si="16"/>
        <v>0</v>
      </c>
      <c r="O27" s="33">
        <f t="shared" si="16"/>
        <v>0</v>
      </c>
      <c r="P27" s="33">
        <f t="shared" si="16"/>
        <v>0</v>
      </c>
      <c r="Q27" s="33">
        <f t="shared" si="16"/>
        <v>0</v>
      </c>
      <c r="R27" s="33">
        <f t="shared" si="16"/>
        <v>0</v>
      </c>
      <c r="S27" s="33">
        <f t="shared" si="16"/>
        <v>0</v>
      </c>
      <c r="T27" s="33">
        <f t="shared" si="16"/>
        <v>0</v>
      </c>
      <c r="U27" s="33">
        <f t="shared" si="16"/>
        <v>0</v>
      </c>
      <c r="V27" s="33">
        <f t="shared" si="16"/>
        <v>0</v>
      </c>
      <c r="W27" s="33">
        <f t="shared" si="16"/>
        <v>0</v>
      </c>
      <c r="X27" s="33">
        <f t="shared" si="16"/>
        <v>0</v>
      </c>
      <c r="Y27" s="33">
        <f t="shared" si="16"/>
        <v>0</v>
      </c>
      <c r="Z27" s="33">
        <f t="shared" si="16"/>
        <v>0</v>
      </c>
      <c r="AA27" s="33">
        <f t="shared" si="16"/>
        <v>0</v>
      </c>
      <c r="AB27" s="33">
        <f t="shared" si="16"/>
        <v>0</v>
      </c>
      <c r="AC27" s="33">
        <f t="shared" si="16"/>
        <v>0</v>
      </c>
      <c r="AD27" s="33">
        <f t="shared" si="16"/>
        <v>0</v>
      </c>
      <c r="AE27" s="33">
        <f t="shared" si="16"/>
        <v>0</v>
      </c>
      <c r="AF27" s="33">
        <f t="shared" si="16"/>
        <v>0</v>
      </c>
      <c r="AG27" s="33">
        <f t="shared" si="16"/>
        <v>0</v>
      </c>
      <c r="AH27" s="33">
        <f t="shared" si="16"/>
        <v>0</v>
      </c>
      <c r="AI27" s="33">
        <f t="shared" si="16"/>
        <v>0</v>
      </c>
      <c r="AJ27" s="33">
        <f t="shared" si="16"/>
        <v>0</v>
      </c>
      <c r="AK27" s="34">
        <f t="shared" si="3"/>
        <v>0</v>
      </c>
      <c r="AM27" s="3" t="str">
        <f>IFERROR(VLOOKUP(C27,EQ_Cont,9,FALSE),"")</f>
        <v/>
      </c>
    </row>
    <row r="28" spans="1:39" ht="13.2" x14ac:dyDescent="0.25">
      <c r="A28" s="22"/>
      <c r="B28" s="37">
        <v>9</v>
      </c>
      <c r="C28" s="24" t="str">
        <f>IF(ISBLANK([1]DBPCFA!AP9),"",[1]DBPCFA!AP9)</f>
        <v/>
      </c>
      <c r="D28" s="25"/>
      <c r="E28" s="26"/>
      <c r="F28" s="27">
        <f t="shared" ref="F28:AJ28" si="17">SUMIFS(EQ_HAct,Desc_EQ,$C28,Fecha_Inf_EQ,VALUE($AN$1&amp;TEXT(F$11,"00")))</f>
        <v>0</v>
      </c>
      <c r="G28" s="27">
        <f t="shared" si="17"/>
        <v>0</v>
      </c>
      <c r="H28" s="27">
        <f t="shared" si="17"/>
        <v>0</v>
      </c>
      <c r="I28" s="27">
        <f t="shared" si="17"/>
        <v>0</v>
      </c>
      <c r="J28" s="27">
        <f t="shared" si="17"/>
        <v>0</v>
      </c>
      <c r="K28" s="27">
        <f t="shared" si="17"/>
        <v>0</v>
      </c>
      <c r="L28" s="27">
        <f t="shared" si="17"/>
        <v>0</v>
      </c>
      <c r="M28" s="27">
        <f t="shared" si="17"/>
        <v>0</v>
      </c>
      <c r="N28" s="27">
        <f t="shared" si="17"/>
        <v>0</v>
      </c>
      <c r="O28" s="27">
        <f t="shared" si="17"/>
        <v>0</v>
      </c>
      <c r="P28" s="27">
        <f t="shared" si="17"/>
        <v>0</v>
      </c>
      <c r="Q28" s="27">
        <f t="shared" si="17"/>
        <v>0</v>
      </c>
      <c r="R28" s="27">
        <f t="shared" si="17"/>
        <v>0</v>
      </c>
      <c r="S28" s="27">
        <f t="shared" si="17"/>
        <v>0</v>
      </c>
      <c r="T28" s="27">
        <f t="shared" si="17"/>
        <v>0</v>
      </c>
      <c r="U28" s="27">
        <f t="shared" si="17"/>
        <v>0</v>
      </c>
      <c r="V28" s="27">
        <f t="shared" si="17"/>
        <v>0</v>
      </c>
      <c r="W28" s="27">
        <f t="shared" si="17"/>
        <v>0</v>
      </c>
      <c r="X28" s="27">
        <f t="shared" si="17"/>
        <v>0</v>
      </c>
      <c r="Y28" s="27">
        <f t="shared" si="17"/>
        <v>0</v>
      </c>
      <c r="Z28" s="27">
        <f t="shared" si="17"/>
        <v>0</v>
      </c>
      <c r="AA28" s="27">
        <f t="shared" si="17"/>
        <v>0</v>
      </c>
      <c r="AB28" s="27">
        <f t="shared" si="17"/>
        <v>0</v>
      </c>
      <c r="AC28" s="27">
        <f t="shared" si="17"/>
        <v>0</v>
      </c>
      <c r="AD28" s="27">
        <f t="shared" si="17"/>
        <v>0</v>
      </c>
      <c r="AE28" s="27">
        <f t="shared" si="17"/>
        <v>0</v>
      </c>
      <c r="AF28" s="27">
        <f t="shared" si="17"/>
        <v>0</v>
      </c>
      <c r="AG28" s="27">
        <f t="shared" si="17"/>
        <v>0</v>
      </c>
      <c r="AH28" s="27">
        <f t="shared" si="17"/>
        <v>0</v>
      </c>
      <c r="AI28" s="27">
        <f t="shared" si="17"/>
        <v>0</v>
      </c>
      <c r="AJ28" s="27">
        <f t="shared" si="17"/>
        <v>0</v>
      </c>
      <c r="AK28" s="28">
        <f t="shared" si="3"/>
        <v>0</v>
      </c>
    </row>
    <row r="29" spans="1:39" ht="13.2" x14ac:dyDescent="0.25">
      <c r="A29" s="22"/>
      <c r="B29" s="37"/>
      <c r="C29" s="30"/>
      <c r="D29" s="31"/>
      <c r="E29" s="32"/>
      <c r="F29" s="33">
        <f t="shared" ref="F29:AJ29" si="18">SUMIFS(EQ_HInac,Desc_EQ,$C28,Fecha_Inf_EQ,VALUE($AN$1&amp;TEXT(F$11,"00")))</f>
        <v>0</v>
      </c>
      <c r="G29" s="33">
        <f t="shared" si="18"/>
        <v>0</v>
      </c>
      <c r="H29" s="33">
        <f t="shared" si="18"/>
        <v>0</v>
      </c>
      <c r="I29" s="33">
        <f t="shared" si="18"/>
        <v>0</v>
      </c>
      <c r="J29" s="33">
        <f t="shared" si="18"/>
        <v>0</v>
      </c>
      <c r="K29" s="33">
        <f t="shared" si="18"/>
        <v>0</v>
      </c>
      <c r="L29" s="33">
        <f t="shared" si="18"/>
        <v>0</v>
      </c>
      <c r="M29" s="33">
        <f t="shared" si="18"/>
        <v>0</v>
      </c>
      <c r="N29" s="33">
        <f t="shared" si="18"/>
        <v>0</v>
      </c>
      <c r="O29" s="33">
        <f t="shared" si="18"/>
        <v>0</v>
      </c>
      <c r="P29" s="33">
        <f t="shared" si="18"/>
        <v>0</v>
      </c>
      <c r="Q29" s="33">
        <f t="shared" si="18"/>
        <v>0</v>
      </c>
      <c r="R29" s="33">
        <f t="shared" si="18"/>
        <v>0</v>
      </c>
      <c r="S29" s="33">
        <f t="shared" si="18"/>
        <v>0</v>
      </c>
      <c r="T29" s="33">
        <f t="shared" si="18"/>
        <v>0</v>
      </c>
      <c r="U29" s="33">
        <f t="shared" si="18"/>
        <v>0</v>
      </c>
      <c r="V29" s="33">
        <f t="shared" si="18"/>
        <v>0</v>
      </c>
      <c r="W29" s="33">
        <f t="shared" si="18"/>
        <v>0</v>
      </c>
      <c r="X29" s="33">
        <f t="shared" si="18"/>
        <v>0</v>
      </c>
      <c r="Y29" s="33">
        <f t="shared" si="18"/>
        <v>0</v>
      </c>
      <c r="Z29" s="33">
        <f t="shared" si="18"/>
        <v>0</v>
      </c>
      <c r="AA29" s="33">
        <f t="shared" si="18"/>
        <v>0</v>
      </c>
      <c r="AB29" s="33">
        <f t="shared" si="18"/>
        <v>0</v>
      </c>
      <c r="AC29" s="33">
        <f t="shared" si="18"/>
        <v>0</v>
      </c>
      <c r="AD29" s="33">
        <f t="shared" si="18"/>
        <v>0</v>
      </c>
      <c r="AE29" s="33">
        <f t="shared" si="18"/>
        <v>0</v>
      </c>
      <c r="AF29" s="33">
        <f t="shared" si="18"/>
        <v>0</v>
      </c>
      <c r="AG29" s="33">
        <f t="shared" si="18"/>
        <v>0</v>
      </c>
      <c r="AH29" s="33">
        <f t="shared" si="18"/>
        <v>0</v>
      </c>
      <c r="AI29" s="33">
        <f t="shared" si="18"/>
        <v>0</v>
      </c>
      <c r="AJ29" s="33">
        <f t="shared" si="18"/>
        <v>0</v>
      </c>
      <c r="AK29" s="34">
        <f t="shared" si="3"/>
        <v>0</v>
      </c>
      <c r="AM29" s="3" t="str">
        <f>IFERROR(VLOOKUP(C29,EQ_Cont,9,FALSE),"")</f>
        <v/>
      </c>
    </row>
    <row r="30" spans="1:39" ht="13.2" x14ac:dyDescent="0.25">
      <c r="A30" s="22"/>
      <c r="B30" s="37">
        <v>10</v>
      </c>
      <c r="C30" s="24" t="str">
        <f>IF(ISBLANK([1]DBPCFA!AP10),"",[1]DBPCFA!AP10)</f>
        <v/>
      </c>
      <c r="D30" s="25"/>
      <c r="E30" s="26"/>
      <c r="F30" s="27">
        <f t="shared" ref="F30:AJ30" si="19">SUMIFS(EQ_HAct,Desc_EQ,$C30,Fecha_Inf_EQ,VALUE($AN$1&amp;TEXT(F$11,"00")))</f>
        <v>0</v>
      </c>
      <c r="G30" s="27">
        <f t="shared" si="19"/>
        <v>0</v>
      </c>
      <c r="H30" s="27">
        <f t="shared" si="19"/>
        <v>0</v>
      </c>
      <c r="I30" s="27">
        <f t="shared" si="19"/>
        <v>0</v>
      </c>
      <c r="J30" s="27">
        <f t="shared" si="19"/>
        <v>0</v>
      </c>
      <c r="K30" s="27">
        <f t="shared" si="19"/>
        <v>0</v>
      </c>
      <c r="L30" s="27">
        <f t="shared" si="19"/>
        <v>0</v>
      </c>
      <c r="M30" s="27">
        <f t="shared" si="19"/>
        <v>0</v>
      </c>
      <c r="N30" s="27">
        <f t="shared" si="19"/>
        <v>0</v>
      </c>
      <c r="O30" s="27">
        <f t="shared" si="19"/>
        <v>0</v>
      </c>
      <c r="P30" s="27">
        <f t="shared" si="19"/>
        <v>0</v>
      </c>
      <c r="Q30" s="27">
        <f t="shared" si="19"/>
        <v>0</v>
      </c>
      <c r="R30" s="27">
        <f t="shared" si="19"/>
        <v>0</v>
      </c>
      <c r="S30" s="27">
        <f t="shared" si="19"/>
        <v>0</v>
      </c>
      <c r="T30" s="27">
        <f t="shared" si="19"/>
        <v>0</v>
      </c>
      <c r="U30" s="27">
        <f t="shared" si="19"/>
        <v>0</v>
      </c>
      <c r="V30" s="27">
        <f t="shared" si="19"/>
        <v>0</v>
      </c>
      <c r="W30" s="27">
        <f t="shared" si="19"/>
        <v>0</v>
      </c>
      <c r="X30" s="27">
        <f t="shared" si="19"/>
        <v>0</v>
      </c>
      <c r="Y30" s="27">
        <f t="shared" si="19"/>
        <v>0</v>
      </c>
      <c r="Z30" s="27">
        <f t="shared" si="19"/>
        <v>0</v>
      </c>
      <c r="AA30" s="27">
        <f t="shared" si="19"/>
        <v>0</v>
      </c>
      <c r="AB30" s="27">
        <f t="shared" si="19"/>
        <v>0</v>
      </c>
      <c r="AC30" s="27">
        <f t="shared" si="19"/>
        <v>0</v>
      </c>
      <c r="AD30" s="27">
        <f t="shared" si="19"/>
        <v>0</v>
      </c>
      <c r="AE30" s="27">
        <f t="shared" si="19"/>
        <v>0</v>
      </c>
      <c r="AF30" s="27">
        <f t="shared" si="19"/>
        <v>0</v>
      </c>
      <c r="AG30" s="27">
        <f t="shared" si="19"/>
        <v>0</v>
      </c>
      <c r="AH30" s="27">
        <f t="shared" si="19"/>
        <v>0</v>
      </c>
      <c r="AI30" s="27">
        <f t="shared" si="19"/>
        <v>0</v>
      </c>
      <c r="AJ30" s="27">
        <f t="shared" si="19"/>
        <v>0</v>
      </c>
      <c r="AK30" s="28">
        <f t="shared" si="3"/>
        <v>0</v>
      </c>
    </row>
    <row r="31" spans="1:39" ht="13.2" x14ac:dyDescent="0.25">
      <c r="A31" s="22"/>
      <c r="B31" s="37"/>
      <c r="C31" s="30"/>
      <c r="D31" s="31"/>
      <c r="E31" s="32"/>
      <c r="F31" s="33">
        <f t="shared" ref="F31:AJ31" si="20">SUMIFS(EQ_HInac,Desc_EQ,$C30,Fecha_Inf_EQ,VALUE($AN$1&amp;TEXT(F$11,"00")))</f>
        <v>0</v>
      </c>
      <c r="G31" s="33">
        <f t="shared" si="20"/>
        <v>0</v>
      </c>
      <c r="H31" s="33">
        <f t="shared" si="20"/>
        <v>0</v>
      </c>
      <c r="I31" s="33">
        <f t="shared" si="20"/>
        <v>0</v>
      </c>
      <c r="J31" s="33">
        <f t="shared" si="20"/>
        <v>0</v>
      </c>
      <c r="K31" s="33">
        <f t="shared" si="20"/>
        <v>0</v>
      </c>
      <c r="L31" s="33">
        <f t="shared" si="20"/>
        <v>0</v>
      </c>
      <c r="M31" s="33">
        <f t="shared" si="20"/>
        <v>0</v>
      </c>
      <c r="N31" s="33">
        <f t="shared" si="20"/>
        <v>0</v>
      </c>
      <c r="O31" s="33">
        <f t="shared" si="20"/>
        <v>0</v>
      </c>
      <c r="P31" s="33">
        <f t="shared" si="20"/>
        <v>0</v>
      </c>
      <c r="Q31" s="33">
        <f t="shared" si="20"/>
        <v>0</v>
      </c>
      <c r="R31" s="33">
        <f t="shared" si="20"/>
        <v>0</v>
      </c>
      <c r="S31" s="33">
        <f t="shared" si="20"/>
        <v>0</v>
      </c>
      <c r="T31" s="33">
        <f t="shared" si="20"/>
        <v>0</v>
      </c>
      <c r="U31" s="33">
        <f t="shared" si="20"/>
        <v>0</v>
      </c>
      <c r="V31" s="33">
        <f t="shared" si="20"/>
        <v>0</v>
      </c>
      <c r="W31" s="33">
        <f t="shared" si="20"/>
        <v>0</v>
      </c>
      <c r="X31" s="33">
        <f t="shared" si="20"/>
        <v>0</v>
      </c>
      <c r="Y31" s="33">
        <f t="shared" si="20"/>
        <v>0</v>
      </c>
      <c r="Z31" s="33">
        <f t="shared" si="20"/>
        <v>0</v>
      </c>
      <c r="AA31" s="33">
        <f t="shared" si="20"/>
        <v>0</v>
      </c>
      <c r="AB31" s="33">
        <f t="shared" si="20"/>
        <v>0</v>
      </c>
      <c r="AC31" s="33">
        <f t="shared" si="20"/>
        <v>0</v>
      </c>
      <c r="AD31" s="33">
        <f t="shared" si="20"/>
        <v>0</v>
      </c>
      <c r="AE31" s="33">
        <f t="shared" si="20"/>
        <v>0</v>
      </c>
      <c r="AF31" s="33">
        <f t="shared" si="20"/>
        <v>0</v>
      </c>
      <c r="AG31" s="33">
        <f t="shared" si="20"/>
        <v>0</v>
      </c>
      <c r="AH31" s="33">
        <f t="shared" si="20"/>
        <v>0</v>
      </c>
      <c r="AI31" s="33">
        <f t="shared" si="20"/>
        <v>0</v>
      </c>
      <c r="AJ31" s="33">
        <f t="shared" si="20"/>
        <v>0</v>
      </c>
      <c r="AK31" s="34">
        <f t="shared" si="3"/>
        <v>0</v>
      </c>
      <c r="AM31" s="3" t="str">
        <f>IFERROR(VLOOKUP(C31,EQ_Cont,9,FALSE),"")</f>
        <v/>
      </c>
    </row>
    <row r="32" spans="1:39" ht="12.75" customHeight="1" x14ac:dyDescent="0.25"/>
    <row r="33" spans="2:37" ht="13.2" x14ac:dyDescent="0.25">
      <c r="B33" s="16" t="s">
        <v>20</v>
      </c>
      <c r="C33" s="38" t="s">
        <v>21</v>
      </c>
      <c r="D33" s="16" t="s">
        <v>22</v>
      </c>
      <c r="E33" s="16" t="s">
        <v>23</v>
      </c>
      <c r="F33" s="17" t="s">
        <v>24</v>
      </c>
      <c r="G33" s="19"/>
      <c r="H33" s="39" t="s">
        <v>25</v>
      </c>
      <c r="I33" s="39"/>
      <c r="J33" s="39"/>
      <c r="K33" s="39" t="s">
        <v>26</v>
      </c>
      <c r="L33" s="39"/>
      <c r="M33" s="39"/>
      <c r="N33" s="39" t="s">
        <v>27</v>
      </c>
      <c r="O33" s="39"/>
      <c r="P33" s="39"/>
      <c r="Q33" s="17" t="s">
        <v>28</v>
      </c>
      <c r="R33" s="18"/>
      <c r="S33" s="19"/>
      <c r="T33" s="39" t="s">
        <v>29</v>
      </c>
      <c r="U33" s="39"/>
      <c r="V33" s="39"/>
      <c r="W33" s="17" t="s">
        <v>30</v>
      </c>
      <c r="X33" s="18"/>
      <c r="Y33" s="19"/>
      <c r="Z33" s="17" t="s">
        <v>31</v>
      </c>
      <c r="AA33" s="18"/>
      <c r="AB33" s="19"/>
      <c r="AC33" s="17" t="s">
        <v>32</v>
      </c>
      <c r="AD33" s="18"/>
      <c r="AE33" s="19"/>
      <c r="AF33" s="17" t="s">
        <v>33</v>
      </c>
      <c r="AG33" s="18"/>
      <c r="AH33" s="19"/>
      <c r="AI33" s="17" t="s">
        <v>34</v>
      </c>
      <c r="AJ33" s="18"/>
      <c r="AK33" s="19"/>
    </row>
    <row r="34" spans="2:37" ht="13.2" x14ac:dyDescent="0.25">
      <c r="B34" s="40"/>
      <c r="C34" s="41" t="s">
        <v>35</v>
      </c>
      <c r="D34" s="41" t="s">
        <v>36</v>
      </c>
      <c r="E34" s="41" t="s">
        <v>37</v>
      </c>
      <c r="F34" s="42" t="s">
        <v>37</v>
      </c>
      <c r="G34" s="43"/>
      <c r="H34" s="44" t="s">
        <v>38</v>
      </c>
      <c r="I34" s="45"/>
      <c r="J34" s="46"/>
      <c r="K34" s="44" t="s">
        <v>39</v>
      </c>
      <c r="L34" s="45"/>
      <c r="M34" s="46"/>
      <c r="N34" s="44" t="s">
        <v>40</v>
      </c>
      <c r="O34" s="45"/>
      <c r="P34" s="46"/>
      <c r="Q34" s="42" t="s">
        <v>39</v>
      </c>
      <c r="R34" s="47"/>
      <c r="S34" s="43"/>
      <c r="T34" s="42" t="s">
        <v>40</v>
      </c>
      <c r="U34" s="47"/>
      <c r="V34" s="43"/>
      <c r="W34" s="42" t="s">
        <v>39</v>
      </c>
      <c r="X34" s="47"/>
      <c r="Y34" s="43"/>
      <c r="Z34" s="42" t="s">
        <v>41</v>
      </c>
      <c r="AA34" s="47"/>
      <c r="AB34" s="43"/>
      <c r="AC34" s="42" t="s">
        <v>42</v>
      </c>
      <c r="AD34" s="47"/>
      <c r="AE34" s="43"/>
      <c r="AF34" s="42" t="s">
        <v>40</v>
      </c>
      <c r="AG34" s="47"/>
      <c r="AH34" s="43"/>
      <c r="AI34" s="42" t="s">
        <v>43</v>
      </c>
      <c r="AJ34" s="47"/>
      <c r="AK34" s="43"/>
    </row>
    <row r="35" spans="2:37" ht="13.2" x14ac:dyDescent="0.25">
      <c r="B35" s="20"/>
      <c r="C35" s="48" t="s">
        <v>44</v>
      </c>
      <c r="D35" s="48" t="s">
        <v>45</v>
      </c>
      <c r="E35" s="48" t="s">
        <v>46</v>
      </c>
      <c r="F35" s="49" t="s">
        <v>47</v>
      </c>
      <c r="G35" s="50"/>
      <c r="H35" s="44" t="s">
        <v>48</v>
      </c>
      <c r="I35" s="45"/>
      <c r="J35" s="46"/>
      <c r="K35" s="44" t="s">
        <v>49</v>
      </c>
      <c r="L35" s="45"/>
      <c r="M35" s="46"/>
      <c r="N35" s="44" t="s">
        <v>50</v>
      </c>
      <c r="O35" s="45"/>
      <c r="P35" s="46"/>
      <c r="Q35" s="49" t="s">
        <v>51</v>
      </c>
      <c r="R35" s="51"/>
      <c r="S35" s="50"/>
      <c r="T35" s="49" t="s">
        <v>51</v>
      </c>
      <c r="U35" s="51"/>
      <c r="V35" s="50"/>
      <c r="W35" s="49" t="s">
        <v>52</v>
      </c>
      <c r="X35" s="51"/>
      <c r="Y35" s="50"/>
      <c r="Z35" s="49" t="s">
        <v>53</v>
      </c>
      <c r="AA35" s="51"/>
      <c r="AB35" s="50"/>
      <c r="AC35" s="49" t="s">
        <v>54</v>
      </c>
      <c r="AD35" s="51"/>
      <c r="AE35" s="50"/>
      <c r="AF35" s="49" t="s">
        <v>55</v>
      </c>
      <c r="AG35" s="51"/>
      <c r="AH35" s="50"/>
      <c r="AI35" s="49" t="s">
        <v>56</v>
      </c>
      <c r="AJ35" s="51"/>
      <c r="AK35" s="50"/>
    </row>
    <row r="36" spans="2:37" ht="13.2" x14ac:dyDescent="0.25">
      <c r="B36" s="16"/>
      <c r="C36" s="16" t="s">
        <v>57</v>
      </c>
      <c r="D36" s="52" t="s">
        <v>58</v>
      </c>
      <c r="E36" s="16" t="s">
        <v>57</v>
      </c>
      <c r="F36" s="17" t="s">
        <v>57</v>
      </c>
      <c r="G36" s="19"/>
      <c r="H36" s="53" t="s">
        <v>59</v>
      </c>
      <c r="I36" s="53"/>
      <c r="J36" s="53"/>
      <c r="K36" s="39" t="s">
        <v>57</v>
      </c>
      <c r="L36" s="39"/>
      <c r="M36" s="39"/>
      <c r="N36" s="53" t="s">
        <v>60</v>
      </c>
      <c r="O36" s="53"/>
      <c r="P36" s="53"/>
      <c r="Q36" s="54" t="s">
        <v>61</v>
      </c>
      <c r="R36" s="54"/>
      <c r="S36" s="55"/>
      <c r="T36" s="56" t="s">
        <v>62</v>
      </c>
      <c r="U36" s="54"/>
      <c r="V36" s="55"/>
      <c r="W36" s="57" t="s">
        <v>57</v>
      </c>
      <c r="X36" s="58"/>
      <c r="Y36" s="59"/>
      <c r="Z36" s="57" t="s">
        <v>57</v>
      </c>
      <c r="AA36" s="58"/>
      <c r="AB36" s="59"/>
      <c r="AC36" s="60" t="s">
        <v>63</v>
      </c>
      <c r="AD36" s="61"/>
      <c r="AE36" s="62"/>
      <c r="AF36" s="60" t="s">
        <v>64</v>
      </c>
      <c r="AG36" s="61"/>
      <c r="AH36" s="62"/>
      <c r="AI36" s="60" t="s">
        <v>65</v>
      </c>
      <c r="AJ36" s="61"/>
      <c r="AK36" s="62"/>
    </row>
    <row r="37" spans="2:37" ht="13.2" x14ac:dyDescent="0.25">
      <c r="B37" s="16">
        <v>1</v>
      </c>
      <c r="C37" s="63">
        <f>IFERROR(VLOOKUP($C12,EQ_Cont,9,FALSE),"")</f>
        <v>0</v>
      </c>
      <c r="D37" s="64">
        <f>C37/176</f>
        <v>0</v>
      </c>
      <c r="E37" s="64">
        <f>IF(C37&lt;&gt;0,1,0)</f>
        <v>0</v>
      </c>
      <c r="F37" s="65">
        <f>IFERROR(VLOOKUP($C12,EQ_Cont,10,FALSE),"")</f>
        <v>0</v>
      </c>
      <c r="G37" s="66"/>
      <c r="H37" s="67">
        <f>D37*E37*F37</f>
        <v>0</v>
      </c>
      <c r="I37" s="67"/>
      <c r="J37" s="67"/>
      <c r="K37" s="68">
        <f>AK13</f>
        <v>0</v>
      </c>
      <c r="L37" s="39"/>
      <c r="M37" s="39"/>
      <c r="N37" s="67">
        <f>IF('[1]Información Force Account'!$I$1,K37*H37,K37*H37/2)</f>
        <v>0</v>
      </c>
      <c r="O37" s="67"/>
      <c r="P37" s="67"/>
      <c r="Q37" s="69">
        <f>K37+W37</f>
        <v>0</v>
      </c>
      <c r="R37" s="68"/>
      <c r="S37" s="68"/>
      <c r="T37" s="67">
        <f>H37*Q37</f>
        <v>0</v>
      </c>
      <c r="U37" s="67"/>
      <c r="V37" s="67"/>
      <c r="W37" s="70">
        <f>AK12</f>
        <v>0</v>
      </c>
      <c r="X37" s="18"/>
      <c r="Y37" s="19"/>
      <c r="Z37" s="71">
        <f>IFERROR(VLOOKUP($C12,EQ_Cont,11,FALSE),"")</f>
        <v>0</v>
      </c>
      <c r="AA37" s="72"/>
      <c r="AB37" s="73"/>
      <c r="AC37" s="74">
        <f>H37+Z37</f>
        <v>0</v>
      </c>
      <c r="AD37" s="75"/>
      <c r="AE37" s="76"/>
      <c r="AF37" s="74">
        <f>W37*AC37</f>
        <v>0</v>
      </c>
      <c r="AG37" s="75"/>
      <c r="AH37" s="76"/>
      <c r="AI37" s="74">
        <f>N37+AF37</f>
        <v>0</v>
      </c>
      <c r="AJ37" s="75"/>
      <c r="AK37" s="76"/>
    </row>
    <row r="38" spans="2:37" ht="13.2" x14ac:dyDescent="0.25">
      <c r="B38" s="16">
        <v>2</v>
      </c>
      <c r="C38" s="63">
        <f>IFERROR(VLOOKUP($C14,EQ_Cont,9,FALSE),"")</f>
        <v>0</v>
      </c>
      <c r="D38" s="64">
        <f t="shared" ref="D38:D46" si="21">C38/176</f>
        <v>0</v>
      </c>
      <c r="E38" s="64">
        <f t="shared" ref="E38:E46" si="22">IF(C38&lt;&gt;0,1,0)</f>
        <v>0</v>
      </c>
      <c r="F38" s="65">
        <f>IFERROR(VLOOKUP($C14,EQ_Cont,10,FALSE),"")</f>
        <v>0</v>
      </c>
      <c r="G38" s="66"/>
      <c r="H38" s="67">
        <f t="shared" ref="H38:H46" si="23">D38*E38*F38</f>
        <v>0</v>
      </c>
      <c r="I38" s="67"/>
      <c r="J38" s="67"/>
      <c r="K38" s="68">
        <f>AK15</f>
        <v>0</v>
      </c>
      <c r="L38" s="39"/>
      <c r="M38" s="39"/>
      <c r="N38" s="67">
        <f>IF('[1]Información Force Account'!$I$1,K38*H38,K38*H38/2)</f>
        <v>0</v>
      </c>
      <c r="O38" s="67"/>
      <c r="P38" s="67"/>
      <c r="Q38" s="69">
        <f t="shared" ref="Q38:Q46" si="24">K38+W38</f>
        <v>0</v>
      </c>
      <c r="R38" s="68"/>
      <c r="S38" s="68"/>
      <c r="T38" s="67">
        <f t="shared" ref="T38:T46" si="25">H38*Q38</f>
        <v>0</v>
      </c>
      <c r="U38" s="67"/>
      <c r="V38" s="67"/>
      <c r="W38" s="70">
        <f>AK14</f>
        <v>0</v>
      </c>
      <c r="X38" s="18"/>
      <c r="Y38" s="19"/>
      <c r="Z38" s="71">
        <f>IFERROR(VLOOKUP($C14,EQ_Cont,11,FALSE),"")</f>
        <v>0</v>
      </c>
      <c r="AA38" s="72">
        <v>0</v>
      </c>
      <c r="AB38" s="73">
        <v>0</v>
      </c>
      <c r="AC38" s="74">
        <f t="shared" ref="AC38:AC46" si="26">H38+Z38</f>
        <v>0</v>
      </c>
      <c r="AD38" s="75"/>
      <c r="AE38" s="76"/>
      <c r="AF38" s="74">
        <f t="shared" ref="AF38:AF46" si="27">W38*AC38</f>
        <v>0</v>
      </c>
      <c r="AG38" s="75"/>
      <c r="AH38" s="76"/>
      <c r="AI38" s="74">
        <f t="shared" ref="AI38:AI46" si="28">N38+AF38</f>
        <v>0</v>
      </c>
      <c r="AJ38" s="75"/>
      <c r="AK38" s="76"/>
    </row>
    <row r="39" spans="2:37" ht="13.2" x14ac:dyDescent="0.25">
      <c r="B39" s="16">
        <v>3</v>
      </c>
      <c r="C39" s="63">
        <f>IFERROR(VLOOKUP($C16,EQ_Cont,9,FALSE),"")</f>
        <v>0</v>
      </c>
      <c r="D39" s="64">
        <f t="shared" si="21"/>
        <v>0</v>
      </c>
      <c r="E39" s="64">
        <f t="shared" si="22"/>
        <v>0</v>
      </c>
      <c r="F39" s="65">
        <f>IFERROR(VLOOKUP($C16,EQ_Cont,10,FALSE),"")</f>
        <v>0</v>
      </c>
      <c r="G39" s="66"/>
      <c r="H39" s="67">
        <f t="shared" si="23"/>
        <v>0</v>
      </c>
      <c r="I39" s="67"/>
      <c r="J39" s="67"/>
      <c r="K39" s="68">
        <f>AK17</f>
        <v>0</v>
      </c>
      <c r="L39" s="39"/>
      <c r="M39" s="39"/>
      <c r="N39" s="67">
        <f>IF('[1]Información Force Account'!$I$1,K39*H39,K39*H39/2)</f>
        <v>0</v>
      </c>
      <c r="O39" s="67"/>
      <c r="P39" s="67"/>
      <c r="Q39" s="69">
        <f t="shared" si="24"/>
        <v>0</v>
      </c>
      <c r="R39" s="68"/>
      <c r="S39" s="68"/>
      <c r="T39" s="67">
        <f t="shared" si="25"/>
        <v>0</v>
      </c>
      <c r="U39" s="67"/>
      <c r="V39" s="67"/>
      <c r="W39" s="70">
        <f>AK16</f>
        <v>0</v>
      </c>
      <c r="X39" s="18"/>
      <c r="Y39" s="19"/>
      <c r="Z39" s="71">
        <f>IFERROR(VLOOKUP($C16,EQ_Cont,11,FALSE),"")</f>
        <v>0</v>
      </c>
      <c r="AA39" s="72">
        <v>0</v>
      </c>
      <c r="AB39" s="73">
        <v>0</v>
      </c>
      <c r="AC39" s="74">
        <f t="shared" si="26"/>
        <v>0</v>
      </c>
      <c r="AD39" s="75"/>
      <c r="AE39" s="76"/>
      <c r="AF39" s="74">
        <f t="shared" si="27"/>
        <v>0</v>
      </c>
      <c r="AG39" s="75"/>
      <c r="AH39" s="76"/>
      <c r="AI39" s="74">
        <f t="shared" si="28"/>
        <v>0</v>
      </c>
      <c r="AJ39" s="75"/>
      <c r="AK39" s="76"/>
    </row>
    <row r="40" spans="2:37" ht="13.2" x14ac:dyDescent="0.25">
      <c r="B40" s="16">
        <v>4</v>
      </c>
      <c r="C40" s="63">
        <f>IFERROR(VLOOKUP($C18,EQ_Cont,9,FALSE),"")</f>
        <v>0</v>
      </c>
      <c r="D40" s="64">
        <f t="shared" si="21"/>
        <v>0</v>
      </c>
      <c r="E40" s="64">
        <f t="shared" si="22"/>
        <v>0</v>
      </c>
      <c r="F40" s="65">
        <f>IFERROR(VLOOKUP($C18,EQ_Cont,10,FALSE),"")</f>
        <v>0</v>
      </c>
      <c r="G40" s="66"/>
      <c r="H40" s="67">
        <f t="shared" si="23"/>
        <v>0</v>
      </c>
      <c r="I40" s="67"/>
      <c r="J40" s="67"/>
      <c r="K40" s="68">
        <f>AK19</f>
        <v>0</v>
      </c>
      <c r="L40" s="39"/>
      <c r="M40" s="39"/>
      <c r="N40" s="67">
        <f>IF('[1]Información Force Account'!$I$1,K40*H40,K40*H40/2)</f>
        <v>0</v>
      </c>
      <c r="O40" s="67"/>
      <c r="P40" s="67"/>
      <c r="Q40" s="69">
        <f t="shared" si="24"/>
        <v>0</v>
      </c>
      <c r="R40" s="68"/>
      <c r="S40" s="68"/>
      <c r="T40" s="67">
        <f t="shared" si="25"/>
        <v>0</v>
      </c>
      <c r="U40" s="67"/>
      <c r="V40" s="67"/>
      <c r="W40" s="70">
        <f>AK18</f>
        <v>0</v>
      </c>
      <c r="X40" s="18"/>
      <c r="Y40" s="19"/>
      <c r="Z40" s="71">
        <f>IFERROR(VLOOKUP($C18,EQ_Cont,11,FALSE),"")</f>
        <v>0</v>
      </c>
      <c r="AA40" s="72">
        <v>0</v>
      </c>
      <c r="AB40" s="73">
        <v>0</v>
      </c>
      <c r="AC40" s="74">
        <f t="shared" si="26"/>
        <v>0</v>
      </c>
      <c r="AD40" s="75"/>
      <c r="AE40" s="76"/>
      <c r="AF40" s="74">
        <f t="shared" si="27"/>
        <v>0</v>
      </c>
      <c r="AG40" s="75"/>
      <c r="AH40" s="76"/>
      <c r="AI40" s="74">
        <f t="shared" si="28"/>
        <v>0</v>
      </c>
      <c r="AJ40" s="75"/>
      <c r="AK40" s="76"/>
    </row>
    <row r="41" spans="2:37" ht="13.2" x14ac:dyDescent="0.25">
      <c r="B41" s="16">
        <v>5</v>
      </c>
      <c r="C41" s="63">
        <f>IFERROR(VLOOKUP($C20,EQ_Cont,9,FALSE),"")</f>
        <v>0</v>
      </c>
      <c r="D41" s="64">
        <f t="shared" si="21"/>
        <v>0</v>
      </c>
      <c r="E41" s="64">
        <f t="shared" si="22"/>
        <v>0</v>
      </c>
      <c r="F41" s="65">
        <f>IFERROR(VLOOKUP($C20,EQ_Cont,10,FALSE),"")</f>
        <v>0</v>
      </c>
      <c r="G41" s="66"/>
      <c r="H41" s="67">
        <f t="shared" si="23"/>
        <v>0</v>
      </c>
      <c r="I41" s="67"/>
      <c r="J41" s="67"/>
      <c r="K41" s="68">
        <f>AK21</f>
        <v>0</v>
      </c>
      <c r="L41" s="39"/>
      <c r="M41" s="39"/>
      <c r="N41" s="67">
        <f>IF('[1]Información Force Account'!$I$1,K41*H41,K41*H41/2)</f>
        <v>0</v>
      </c>
      <c r="O41" s="67"/>
      <c r="P41" s="67"/>
      <c r="Q41" s="69">
        <f t="shared" si="24"/>
        <v>0</v>
      </c>
      <c r="R41" s="68"/>
      <c r="S41" s="68"/>
      <c r="T41" s="67">
        <f t="shared" si="25"/>
        <v>0</v>
      </c>
      <c r="U41" s="67"/>
      <c r="V41" s="67"/>
      <c r="W41" s="70">
        <f>AK20</f>
        <v>0</v>
      </c>
      <c r="X41" s="18"/>
      <c r="Y41" s="19"/>
      <c r="Z41" s="71">
        <f>IFERROR(VLOOKUP($C20,EQ_Cont,11,FALSE),"")</f>
        <v>0</v>
      </c>
      <c r="AA41" s="72">
        <v>0</v>
      </c>
      <c r="AB41" s="73">
        <v>0</v>
      </c>
      <c r="AC41" s="74">
        <f t="shared" si="26"/>
        <v>0</v>
      </c>
      <c r="AD41" s="75"/>
      <c r="AE41" s="76"/>
      <c r="AF41" s="74">
        <f t="shared" si="27"/>
        <v>0</v>
      </c>
      <c r="AG41" s="75"/>
      <c r="AH41" s="76"/>
      <c r="AI41" s="74">
        <f t="shared" si="28"/>
        <v>0</v>
      </c>
      <c r="AJ41" s="75"/>
      <c r="AK41" s="76"/>
    </row>
    <row r="42" spans="2:37" ht="13.2" x14ac:dyDescent="0.25">
      <c r="B42" s="16">
        <v>6</v>
      </c>
      <c r="C42" s="63">
        <f>IFERROR(VLOOKUP($C22,EQ_Cont,9,FALSE),"")</f>
        <v>0</v>
      </c>
      <c r="D42" s="64">
        <f t="shared" si="21"/>
        <v>0</v>
      </c>
      <c r="E42" s="64">
        <f t="shared" si="22"/>
        <v>0</v>
      </c>
      <c r="F42" s="65">
        <f>IFERROR(VLOOKUP($C22,EQ_Cont,10,FALSE),"")</f>
        <v>0</v>
      </c>
      <c r="G42" s="66"/>
      <c r="H42" s="67">
        <f t="shared" si="23"/>
        <v>0</v>
      </c>
      <c r="I42" s="67"/>
      <c r="J42" s="67"/>
      <c r="K42" s="68">
        <f>AK23</f>
        <v>0</v>
      </c>
      <c r="L42" s="39"/>
      <c r="M42" s="39"/>
      <c r="N42" s="67">
        <f>IF('[1]Información Force Account'!$I$1,K42*H42,K42*H42/2)</f>
        <v>0</v>
      </c>
      <c r="O42" s="67"/>
      <c r="P42" s="67"/>
      <c r="Q42" s="69">
        <f t="shared" si="24"/>
        <v>0</v>
      </c>
      <c r="R42" s="68"/>
      <c r="S42" s="68"/>
      <c r="T42" s="67">
        <f t="shared" si="25"/>
        <v>0</v>
      </c>
      <c r="U42" s="67"/>
      <c r="V42" s="67"/>
      <c r="W42" s="70">
        <f>AK22</f>
        <v>0</v>
      </c>
      <c r="X42" s="18"/>
      <c r="Y42" s="19"/>
      <c r="Z42" s="71">
        <f>IFERROR(VLOOKUP($C22,EQ_Cont,11,FALSE),"")</f>
        <v>0</v>
      </c>
      <c r="AA42" s="72">
        <v>0</v>
      </c>
      <c r="AB42" s="73">
        <v>0</v>
      </c>
      <c r="AC42" s="74">
        <f t="shared" si="26"/>
        <v>0</v>
      </c>
      <c r="AD42" s="75"/>
      <c r="AE42" s="76"/>
      <c r="AF42" s="74">
        <f t="shared" si="27"/>
        <v>0</v>
      </c>
      <c r="AG42" s="75"/>
      <c r="AH42" s="76"/>
      <c r="AI42" s="74">
        <f t="shared" si="28"/>
        <v>0</v>
      </c>
      <c r="AJ42" s="75"/>
      <c r="AK42" s="76"/>
    </row>
    <row r="43" spans="2:37" ht="13.2" x14ac:dyDescent="0.25">
      <c r="B43" s="16">
        <v>7</v>
      </c>
      <c r="C43" s="63">
        <f>IFERROR(VLOOKUP($C24,EQ_Cont,9,FALSE),"")</f>
        <v>0</v>
      </c>
      <c r="D43" s="64">
        <f t="shared" si="21"/>
        <v>0</v>
      </c>
      <c r="E43" s="64">
        <f t="shared" si="22"/>
        <v>0</v>
      </c>
      <c r="F43" s="65">
        <f>IFERROR(VLOOKUP($C24,EQ_Cont,10,FALSE),"")</f>
        <v>0</v>
      </c>
      <c r="G43" s="66"/>
      <c r="H43" s="67">
        <f t="shared" si="23"/>
        <v>0</v>
      </c>
      <c r="I43" s="67"/>
      <c r="J43" s="67"/>
      <c r="K43" s="68">
        <f>AK25</f>
        <v>0</v>
      </c>
      <c r="L43" s="39"/>
      <c r="M43" s="39"/>
      <c r="N43" s="67">
        <f>IF('[1]Información Force Account'!$I$1,K43*H43,K43*H43/2)</f>
        <v>0</v>
      </c>
      <c r="O43" s="67"/>
      <c r="P43" s="67"/>
      <c r="Q43" s="69">
        <f t="shared" si="24"/>
        <v>0</v>
      </c>
      <c r="R43" s="68"/>
      <c r="S43" s="68"/>
      <c r="T43" s="67">
        <f t="shared" si="25"/>
        <v>0</v>
      </c>
      <c r="U43" s="67"/>
      <c r="V43" s="67"/>
      <c r="W43" s="70">
        <f>AK24</f>
        <v>0</v>
      </c>
      <c r="X43" s="18"/>
      <c r="Y43" s="19"/>
      <c r="Z43" s="71">
        <f>IFERROR(VLOOKUP($C24,EQ_Cont,11,FALSE),"")</f>
        <v>0</v>
      </c>
      <c r="AA43" s="72">
        <v>0</v>
      </c>
      <c r="AB43" s="73">
        <v>0</v>
      </c>
      <c r="AC43" s="74">
        <f t="shared" si="26"/>
        <v>0</v>
      </c>
      <c r="AD43" s="75"/>
      <c r="AE43" s="76"/>
      <c r="AF43" s="74">
        <f t="shared" si="27"/>
        <v>0</v>
      </c>
      <c r="AG43" s="75"/>
      <c r="AH43" s="76"/>
      <c r="AI43" s="74">
        <f t="shared" si="28"/>
        <v>0</v>
      </c>
      <c r="AJ43" s="75"/>
      <c r="AK43" s="76"/>
    </row>
    <row r="44" spans="2:37" ht="13.2" x14ac:dyDescent="0.25">
      <c r="B44" s="16">
        <v>8</v>
      </c>
      <c r="C44" s="63">
        <f>IFERROR(VLOOKUP($C26,EQ_Cont,9,FALSE),"")</f>
        <v>0</v>
      </c>
      <c r="D44" s="64">
        <f t="shared" si="21"/>
        <v>0</v>
      </c>
      <c r="E44" s="64">
        <f t="shared" si="22"/>
        <v>0</v>
      </c>
      <c r="F44" s="65">
        <f>IFERROR(VLOOKUP($C26,EQ_Cont,10,FALSE),"")</f>
        <v>0</v>
      </c>
      <c r="G44" s="66"/>
      <c r="H44" s="67">
        <f t="shared" si="23"/>
        <v>0</v>
      </c>
      <c r="I44" s="67"/>
      <c r="J44" s="67"/>
      <c r="K44" s="68">
        <f>AK27</f>
        <v>0</v>
      </c>
      <c r="L44" s="39"/>
      <c r="M44" s="39"/>
      <c r="N44" s="67">
        <f>IF('[1]Información Force Account'!$I$1,K44*H44,K44*H44/2)</f>
        <v>0</v>
      </c>
      <c r="O44" s="67"/>
      <c r="P44" s="67"/>
      <c r="Q44" s="69">
        <f t="shared" si="24"/>
        <v>0</v>
      </c>
      <c r="R44" s="68"/>
      <c r="S44" s="68"/>
      <c r="T44" s="67">
        <f t="shared" si="25"/>
        <v>0</v>
      </c>
      <c r="U44" s="67"/>
      <c r="V44" s="67"/>
      <c r="W44" s="70">
        <f>AK26</f>
        <v>0</v>
      </c>
      <c r="X44" s="18"/>
      <c r="Y44" s="19"/>
      <c r="Z44" s="71">
        <f>IFERROR(VLOOKUP($C26,EQ_Cont,11,FALSE),"")</f>
        <v>0</v>
      </c>
      <c r="AA44" s="72">
        <v>0</v>
      </c>
      <c r="AB44" s="73">
        <v>0</v>
      </c>
      <c r="AC44" s="74">
        <f t="shared" si="26"/>
        <v>0</v>
      </c>
      <c r="AD44" s="75"/>
      <c r="AE44" s="76"/>
      <c r="AF44" s="74">
        <f t="shared" si="27"/>
        <v>0</v>
      </c>
      <c r="AG44" s="75"/>
      <c r="AH44" s="76"/>
      <c r="AI44" s="74">
        <f t="shared" si="28"/>
        <v>0</v>
      </c>
      <c r="AJ44" s="75"/>
      <c r="AK44" s="76"/>
    </row>
    <row r="45" spans="2:37" ht="13.2" x14ac:dyDescent="0.25">
      <c r="B45" s="16">
        <v>9</v>
      </c>
      <c r="C45" s="63">
        <f>IFERROR(VLOOKUP($C28,EQ_Cont,9,FALSE),"")</f>
        <v>0</v>
      </c>
      <c r="D45" s="64">
        <f t="shared" si="21"/>
        <v>0</v>
      </c>
      <c r="E45" s="64">
        <f t="shared" si="22"/>
        <v>0</v>
      </c>
      <c r="F45" s="65">
        <f>IFERROR(VLOOKUP($C28,EQ_Cont,10,FALSE),"")</f>
        <v>0</v>
      </c>
      <c r="G45" s="66"/>
      <c r="H45" s="67">
        <f t="shared" si="23"/>
        <v>0</v>
      </c>
      <c r="I45" s="67"/>
      <c r="J45" s="67"/>
      <c r="K45" s="68">
        <f>AK29</f>
        <v>0</v>
      </c>
      <c r="L45" s="39"/>
      <c r="M45" s="39"/>
      <c r="N45" s="67">
        <f>IF('[1]Información Force Account'!$I$1,K45*H45,K45*H45/2)</f>
        <v>0</v>
      </c>
      <c r="O45" s="67"/>
      <c r="P45" s="67"/>
      <c r="Q45" s="69">
        <f t="shared" si="24"/>
        <v>0</v>
      </c>
      <c r="R45" s="68"/>
      <c r="S45" s="68"/>
      <c r="T45" s="67">
        <f t="shared" si="25"/>
        <v>0</v>
      </c>
      <c r="U45" s="67"/>
      <c r="V45" s="67"/>
      <c r="W45" s="70">
        <f>AK28</f>
        <v>0</v>
      </c>
      <c r="X45" s="18"/>
      <c r="Y45" s="19"/>
      <c r="Z45" s="71">
        <f>IFERROR(VLOOKUP($C28,EQ_Cont,11,FALSE),"")</f>
        <v>0</v>
      </c>
      <c r="AA45" s="72">
        <v>0</v>
      </c>
      <c r="AB45" s="73">
        <v>0</v>
      </c>
      <c r="AC45" s="74">
        <f t="shared" si="26"/>
        <v>0</v>
      </c>
      <c r="AD45" s="75"/>
      <c r="AE45" s="76"/>
      <c r="AF45" s="74">
        <f t="shared" si="27"/>
        <v>0</v>
      </c>
      <c r="AG45" s="75"/>
      <c r="AH45" s="76"/>
      <c r="AI45" s="74">
        <f t="shared" si="28"/>
        <v>0</v>
      </c>
      <c r="AJ45" s="75"/>
      <c r="AK45" s="76"/>
    </row>
    <row r="46" spans="2:37" ht="13.2" x14ac:dyDescent="0.25">
      <c r="B46" s="16">
        <v>10</v>
      </c>
      <c r="C46" s="63">
        <f>IFERROR(VLOOKUP($C30,EQ_Cont,9,FALSE),"")</f>
        <v>0</v>
      </c>
      <c r="D46" s="64">
        <f t="shared" si="21"/>
        <v>0</v>
      </c>
      <c r="E46" s="64">
        <f t="shared" si="22"/>
        <v>0</v>
      </c>
      <c r="F46" s="65">
        <f>IFERROR(VLOOKUP($C30,EQ_Cont,10,FALSE),"")</f>
        <v>0</v>
      </c>
      <c r="G46" s="66"/>
      <c r="H46" s="67">
        <f t="shared" si="23"/>
        <v>0</v>
      </c>
      <c r="I46" s="67"/>
      <c r="J46" s="67"/>
      <c r="K46" s="68">
        <f>AK31</f>
        <v>0</v>
      </c>
      <c r="L46" s="39"/>
      <c r="M46" s="39"/>
      <c r="N46" s="67">
        <f>IF('[1]Información Force Account'!$I$1,K46*H46,K46*H46/2)</f>
        <v>0</v>
      </c>
      <c r="O46" s="67"/>
      <c r="P46" s="67"/>
      <c r="Q46" s="69">
        <f t="shared" si="24"/>
        <v>0</v>
      </c>
      <c r="R46" s="68"/>
      <c r="S46" s="68"/>
      <c r="T46" s="67">
        <f t="shared" si="25"/>
        <v>0</v>
      </c>
      <c r="U46" s="67"/>
      <c r="V46" s="67"/>
      <c r="W46" s="70">
        <f>AK30</f>
        <v>0</v>
      </c>
      <c r="X46" s="18"/>
      <c r="Y46" s="19"/>
      <c r="Z46" s="71">
        <f>IFERROR(VLOOKUP($C30,EQ_Cont,9,FALSE),"")</f>
        <v>0</v>
      </c>
      <c r="AA46" s="72">
        <v>0</v>
      </c>
      <c r="AB46" s="73">
        <v>0</v>
      </c>
      <c r="AC46" s="74">
        <f t="shared" si="26"/>
        <v>0</v>
      </c>
      <c r="AD46" s="75"/>
      <c r="AE46" s="76"/>
      <c r="AF46" s="74">
        <f t="shared" si="27"/>
        <v>0</v>
      </c>
      <c r="AG46" s="75"/>
      <c r="AH46" s="76"/>
      <c r="AI46" s="74">
        <f t="shared" si="28"/>
        <v>0</v>
      </c>
      <c r="AJ46" s="75"/>
      <c r="AK46" s="76"/>
    </row>
    <row r="47" spans="2:37" ht="13.2" x14ac:dyDescent="0.25">
      <c r="F47" s="77"/>
      <c r="I47" s="78"/>
      <c r="M47" s="79"/>
      <c r="N47" s="67">
        <f>SUM(N37:P46)</f>
        <v>0</v>
      </c>
      <c r="O47" s="67"/>
      <c r="P47" s="67"/>
      <c r="R47" s="78"/>
      <c r="T47" s="74">
        <f>SUM(T37:V46)</f>
        <v>0</v>
      </c>
      <c r="U47" s="75"/>
      <c r="V47" s="76"/>
      <c r="W47" s="1"/>
      <c r="X47" s="1"/>
      <c r="Y47" s="1"/>
      <c r="Z47" s="1"/>
      <c r="AA47" s="1"/>
      <c r="AB47" s="1"/>
      <c r="AC47" s="1"/>
      <c r="AD47" s="1"/>
      <c r="AE47" s="1"/>
      <c r="AF47" s="67">
        <f>SUM(AF37:AH46)</f>
        <v>0</v>
      </c>
      <c r="AG47" s="67"/>
      <c r="AH47" s="67"/>
      <c r="AI47" s="1"/>
      <c r="AJ47" s="1"/>
      <c r="AK47" s="1"/>
    </row>
    <row r="48" spans="2:37" ht="13.2" x14ac:dyDescent="0.25">
      <c r="F48" s="77"/>
      <c r="I48" s="77"/>
      <c r="N48" s="2" t="s">
        <v>66</v>
      </c>
      <c r="O48" s="2"/>
      <c r="P48" s="2"/>
      <c r="R48" s="77"/>
      <c r="T48" s="2" t="s">
        <v>67</v>
      </c>
      <c r="U48" s="2"/>
      <c r="V48" s="2"/>
      <c r="AF48" s="2" t="s">
        <v>68</v>
      </c>
      <c r="AG48" s="2"/>
      <c r="AH48" s="2"/>
    </row>
    <row r="49" spans="1:40" ht="13.2" x14ac:dyDescent="0.25"/>
    <row r="50" spans="1:40" ht="12.75" customHeight="1" x14ac:dyDescent="0.25"/>
    <row r="51" spans="1:40" ht="13.2" x14ac:dyDescent="0.25">
      <c r="B51" s="2" t="s">
        <v>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M51" s="1"/>
      <c r="AN51" s="1"/>
    </row>
    <row r="52" spans="1:40" ht="13.2" x14ac:dyDescent="0.25">
      <c r="B52" s="2" t="s">
        <v>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M52" s="1"/>
      <c r="AN52" s="1"/>
    </row>
    <row r="53" spans="1:40" ht="13.2" x14ac:dyDescent="0.25">
      <c r="B53" s="2" t="s">
        <v>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/>
      <c r="AI53" s="4" t="s">
        <v>4</v>
      </c>
      <c r="AJ53" s="5"/>
      <c r="AK53" s="1"/>
      <c r="AM53" s="1"/>
      <c r="AN53" s="1"/>
    </row>
    <row r="54" spans="1:40" ht="13.2" x14ac:dyDescent="0.25">
      <c r="B54" s="6"/>
      <c r="C54" s="6"/>
      <c r="D54" s="6"/>
      <c r="E54" s="6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 t="s">
        <v>5</v>
      </c>
      <c r="AJ54" s="5"/>
    </row>
    <row r="55" spans="1:40" ht="15" x14ac:dyDescent="0.25">
      <c r="B55" s="7" t="s">
        <v>6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40" ht="13.2" x14ac:dyDescent="0.25">
      <c r="B56" s="1"/>
      <c r="C56" s="1"/>
      <c r="D56" s="1"/>
      <c r="E56" s="1"/>
      <c r="K56" s="8" t="s">
        <v>7</v>
      </c>
      <c r="L56" s="8"/>
      <c r="M56" s="8"/>
      <c r="N56" s="8"/>
      <c r="O56" s="9">
        <f>'[1]Información Force Account'!$B$7</f>
        <v>0</v>
      </c>
      <c r="P56" s="9"/>
      <c r="Q56" s="8" t="s">
        <v>8</v>
      </c>
      <c r="R56" s="8"/>
      <c r="S56" s="8"/>
      <c r="T56" s="9">
        <f>'[1]Información Force Account'!$B$8</f>
        <v>0</v>
      </c>
      <c r="U56" s="9"/>
      <c r="V56" s="8" t="s">
        <v>9</v>
      </c>
      <c r="W56" s="8"/>
      <c r="X56" s="8"/>
      <c r="Y56" s="9">
        <f>'[1]Información Force Account'!$B$9</f>
        <v>0</v>
      </c>
      <c r="Z56" s="9"/>
      <c r="AF56" s="1"/>
      <c r="AG56" s="1"/>
      <c r="AH56" s="1"/>
      <c r="AI56" s="1"/>
      <c r="AJ56" s="1"/>
      <c r="AK56" s="1"/>
    </row>
    <row r="57" spans="1:40" ht="13.2" x14ac:dyDescent="0.25">
      <c r="B57" s="3" t="s">
        <v>10</v>
      </c>
      <c r="E57" s="10" t="s">
        <v>69</v>
      </c>
      <c r="F57" s="10"/>
      <c r="G57" s="10"/>
      <c r="H57" s="10"/>
      <c r="I57" s="10"/>
      <c r="J57" s="10"/>
      <c r="K57" s="11"/>
      <c r="L57" s="11"/>
      <c r="M57" s="11"/>
      <c r="N57" s="11"/>
      <c r="O57" s="11"/>
      <c r="P57" s="11"/>
      <c r="Q57" s="12"/>
      <c r="R57" s="12"/>
      <c r="S57" s="12"/>
      <c r="T57" s="12"/>
      <c r="U57" s="12"/>
      <c r="V57" s="12"/>
      <c r="W57" s="12"/>
      <c r="X57" s="12"/>
      <c r="Y57" s="6"/>
      <c r="Z57" s="6"/>
      <c r="AA57" s="6"/>
      <c r="AB57" s="6"/>
      <c r="AC57" s="6"/>
      <c r="AD57" s="4" t="s">
        <v>11</v>
      </c>
      <c r="AE57" s="9">
        <f>'[1]Información Force Account'!$B$4</f>
        <v>0</v>
      </c>
      <c r="AF57" s="9"/>
      <c r="AG57" s="9"/>
      <c r="AH57" s="9"/>
      <c r="AI57" s="9"/>
      <c r="AJ57" s="9"/>
      <c r="AK57" s="6"/>
    </row>
    <row r="58" spans="1:40" ht="13.2" x14ac:dyDescent="0.25">
      <c r="B58" s="3" t="s">
        <v>12</v>
      </c>
      <c r="D58" s="13"/>
      <c r="E58" s="14" t="e">
        <f>E8</f>
        <v>#VALUE!</v>
      </c>
      <c r="F58" s="14"/>
      <c r="G58" s="14"/>
      <c r="H58" s="14"/>
      <c r="I58" s="14"/>
      <c r="J58" s="14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4" t="s">
        <v>13</v>
      </c>
      <c r="AE58" s="9">
        <f>'[1]Información Force Account'!$B$3</f>
        <v>0</v>
      </c>
      <c r="AF58" s="9"/>
      <c r="AG58" s="9"/>
      <c r="AH58" s="9"/>
      <c r="AI58" s="9"/>
      <c r="AJ58" s="9"/>
      <c r="AK58" s="6"/>
    </row>
    <row r="59" spans="1:40" ht="13.8" x14ac:dyDescent="0.25">
      <c r="B59" s="15" t="s">
        <v>14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spans="1:40" ht="13.2" x14ac:dyDescent="0.25">
      <c r="B60" s="16" t="s">
        <v>15</v>
      </c>
      <c r="C60" s="17" t="s">
        <v>16</v>
      </c>
      <c r="D60" s="18"/>
      <c r="E60" s="19"/>
      <c r="F60" s="16" t="str">
        <f>'[1]Resumen FA (Mensual) 51'!$A$17</f>
        <v/>
      </c>
      <c r="G60" s="16" t="str">
        <f>'[1]Resumen FA (Mensual) 51'!$A$18</f>
        <v/>
      </c>
      <c r="H60" s="16" t="str">
        <f>'[1]Resumen FA (Mensual) 51'!$A$19</f>
        <v/>
      </c>
      <c r="I60" s="16" t="str">
        <f>'[1]Resumen FA (Mensual) 51'!$A$20</f>
        <v/>
      </c>
      <c r="J60" s="16" t="str">
        <f>'[1]Resumen FA (Mensual) 51'!$A$21</f>
        <v/>
      </c>
      <c r="K60" s="16" t="str">
        <f>'[1]Resumen FA (Mensual) 51'!$A$22</f>
        <v/>
      </c>
      <c r="L60" s="16" t="str">
        <f>'[1]Resumen FA (Mensual) 51'!$A$23</f>
        <v/>
      </c>
      <c r="M60" s="16" t="str">
        <f>'[1]Resumen FA (Mensual) 51'!$A$24</f>
        <v/>
      </c>
      <c r="N60" s="16" t="str">
        <f>'[1]Resumen FA (Mensual) 51'!$A$25</f>
        <v/>
      </c>
      <c r="O60" s="16" t="str">
        <f>'[1]Resumen FA (Mensual) 51'!$A$26</f>
        <v/>
      </c>
      <c r="P60" s="16" t="str">
        <f>'[1]Resumen FA (Mensual) 51'!$G$17</f>
        <v/>
      </c>
      <c r="Q60" s="16" t="str">
        <f>'[1]Resumen FA (Mensual) 51'!$G$18</f>
        <v/>
      </c>
      <c r="R60" s="16" t="str">
        <f>'[1]Resumen FA (Mensual) 51'!$G$19</f>
        <v/>
      </c>
      <c r="S60" s="16" t="str">
        <f>'[1]Resumen FA (Mensual) 51'!$G$20</f>
        <v/>
      </c>
      <c r="T60" s="16" t="str">
        <f>'[1]Resumen FA (Mensual) 51'!$G$21</f>
        <v/>
      </c>
      <c r="U60" s="16" t="str">
        <f>'[1]Resumen FA (Mensual) 51'!$G$22</f>
        <v/>
      </c>
      <c r="V60" s="16" t="str">
        <f>'[1]Resumen FA (Mensual) 51'!$G$23</f>
        <v/>
      </c>
      <c r="W60" s="16" t="str">
        <f>'[1]Resumen FA (Mensual) 51'!$G$24</f>
        <v/>
      </c>
      <c r="X60" s="16" t="str">
        <f>'[1]Resumen FA (Mensual) 51'!$G$25</f>
        <v/>
      </c>
      <c r="Y60" s="16" t="str">
        <f>'[1]Resumen FA (Mensual) 51'!$G$26</f>
        <v/>
      </c>
      <c r="Z60" s="16" t="str">
        <f>'[1]Resumen FA (Mensual) 51'!$M$17</f>
        <v/>
      </c>
      <c r="AA60" s="16" t="str">
        <f>'[1]Resumen FA (Mensual) 51'!$M$18</f>
        <v/>
      </c>
      <c r="AB60" s="16" t="str">
        <f>'[1]Resumen FA (Mensual) 51'!$M$19</f>
        <v/>
      </c>
      <c r="AC60" s="16" t="str">
        <f>'[1]Resumen FA (Mensual) 51'!$M$20</f>
        <v/>
      </c>
      <c r="AD60" s="16" t="str">
        <f>'[1]Resumen FA (Mensual) 51'!$M$21</f>
        <v/>
      </c>
      <c r="AE60" s="16" t="str">
        <f>'[1]Resumen FA (Mensual) 51'!$M$22</f>
        <v/>
      </c>
      <c r="AF60" s="16" t="str">
        <f>'[1]Resumen FA (Mensual) 51'!$M$23</f>
        <v/>
      </c>
      <c r="AG60" s="16" t="str">
        <f>'[1]Resumen FA (Mensual) 51'!$M$24</f>
        <v/>
      </c>
      <c r="AH60" s="16" t="str">
        <f>'[1]Resumen FA (Mensual) 51'!$M$25</f>
        <v/>
      </c>
      <c r="AI60" s="16" t="str">
        <f>'[1]Resumen FA (Mensual) 51'!$M$26</f>
        <v/>
      </c>
      <c r="AJ60" s="16" t="str">
        <f>'[1]Resumen FA (Mensual) 51'!$M$26</f>
        <v/>
      </c>
      <c r="AK60" s="16" t="s">
        <v>17</v>
      </c>
    </row>
    <row r="61" spans="1:40" ht="13.2" x14ac:dyDescent="0.25">
      <c r="B61" s="20"/>
      <c r="C61" s="17" t="s">
        <v>18</v>
      </c>
      <c r="D61" s="18"/>
      <c r="E61" s="19"/>
      <c r="F61" s="20">
        <v>1</v>
      </c>
      <c r="G61" s="20">
        <v>2</v>
      </c>
      <c r="H61" s="20">
        <v>3</v>
      </c>
      <c r="I61" s="20">
        <v>4</v>
      </c>
      <c r="J61" s="20">
        <v>5</v>
      </c>
      <c r="K61" s="20">
        <v>6</v>
      </c>
      <c r="L61" s="21">
        <v>7</v>
      </c>
      <c r="M61" s="20">
        <v>8</v>
      </c>
      <c r="N61" s="20">
        <v>9</v>
      </c>
      <c r="O61" s="20">
        <v>10</v>
      </c>
      <c r="P61" s="20">
        <v>11</v>
      </c>
      <c r="Q61" s="20">
        <v>12</v>
      </c>
      <c r="R61" s="20">
        <v>13</v>
      </c>
      <c r="S61" s="20">
        <v>14</v>
      </c>
      <c r="T61" s="20">
        <v>15</v>
      </c>
      <c r="U61" s="20">
        <v>16</v>
      </c>
      <c r="V61" s="20">
        <v>17</v>
      </c>
      <c r="W61" s="20">
        <v>18</v>
      </c>
      <c r="X61" s="20">
        <v>19</v>
      </c>
      <c r="Y61" s="20">
        <v>20</v>
      </c>
      <c r="Z61" s="20">
        <v>21</v>
      </c>
      <c r="AA61" s="20">
        <v>22</v>
      </c>
      <c r="AB61" s="20">
        <v>23</v>
      </c>
      <c r="AC61" s="20">
        <v>24</v>
      </c>
      <c r="AD61" s="20">
        <v>25</v>
      </c>
      <c r="AE61" s="20">
        <v>26</v>
      </c>
      <c r="AF61" s="20">
        <v>27</v>
      </c>
      <c r="AG61" s="20">
        <v>28</v>
      </c>
      <c r="AH61" s="20" t="str">
        <f>IF(AH60&lt;&gt;"",29,"")</f>
        <v/>
      </c>
      <c r="AI61" s="20" t="str">
        <f>IF(AI60&lt;&gt;"",30,"")</f>
        <v/>
      </c>
      <c r="AJ61" s="20" t="str">
        <f>IF(AJ60&lt;&gt;"",31,"")</f>
        <v/>
      </c>
      <c r="AK61" s="20" t="s">
        <v>19</v>
      </c>
    </row>
    <row r="62" spans="1:40" ht="13.2" x14ac:dyDescent="0.25">
      <c r="A62" s="22"/>
      <c r="B62" s="23">
        <v>1</v>
      </c>
      <c r="C62" s="24" t="str">
        <f>IF(ISBLANK([1]DBPCFA!AP11),"",[1]DBPCFA!AP11)</f>
        <v/>
      </c>
      <c r="D62" s="25"/>
      <c r="E62" s="26"/>
      <c r="F62" s="27">
        <f t="shared" ref="F62:AJ62" si="29">SUMIFS(EQ_HAct,Desc_EQ,$C62,Fecha_Inf_EQ,VALUE($AN$1&amp;TEXT(F$11,"00")))</f>
        <v>0</v>
      </c>
      <c r="G62" s="27">
        <f t="shared" si="29"/>
        <v>0</v>
      </c>
      <c r="H62" s="27">
        <f t="shared" si="29"/>
        <v>0</v>
      </c>
      <c r="I62" s="27">
        <f t="shared" si="29"/>
        <v>0</v>
      </c>
      <c r="J62" s="27">
        <f t="shared" si="29"/>
        <v>0</v>
      </c>
      <c r="K62" s="27">
        <f t="shared" si="29"/>
        <v>0</v>
      </c>
      <c r="L62" s="27">
        <f t="shared" si="29"/>
        <v>0</v>
      </c>
      <c r="M62" s="27">
        <f t="shared" si="29"/>
        <v>0</v>
      </c>
      <c r="N62" s="27">
        <f t="shared" si="29"/>
        <v>0</v>
      </c>
      <c r="O62" s="27">
        <f t="shared" si="29"/>
        <v>0</v>
      </c>
      <c r="P62" s="27">
        <f t="shared" si="29"/>
        <v>0</v>
      </c>
      <c r="Q62" s="27">
        <f t="shared" si="29"/>
        <v>0</v>
      </c>
      <c r="R62" s="27">
        <f t="shared" si="29"/>
        <v>0</v>
      </c>
      <c r="S62" s="27">
        <f t="shared" si="29"/>
        <v>0</v>
      </c>
      <c r="T62" s="27">
        <f t="shared" si="29"/>
        <v>0</v>
      </c>
      <c r="U62" s="27">
        <f t="shared" si="29"/>
        <v>0</v>
      </c>
      <c r="V62" s="27">
        <f t="shared" si="29"/>
        <v>0</v>
      </c>
      <c r="W62" s="27">
        <f t="shared" si="29"/>
        <v>0</v>
      </c>
      <c r="X62" s="27">
        <f t="shared" si="29"/>
        <v>0</v>
      </c>
      <c r="Y62" s="27">
        <f t="shared" si="29"/>
        <v>0</v>
      </c>
      <c r="Z62" s="27">
        <f t="shared" si="29"/>
        <v>0</v>
      </c>
      <c r="AA62" s="27">
        <f t="shared" si="29"/>
        <v>0</v>
      </c>
      <c r="AB62" s="27">
        <f t="shared" si="29"/>
        <v>0</v>
      </c>
      <c r="AC62" s="27">
        <f t="shared" si="29"/>
        <v>0</v>
      </c>
      <c r="AD62" s="27">
        <f t="shared" si="29"/>
        <v>0</v>
      </c>
      <c r="AE62" s="27">
        <f t="shared" si="29"/>
        <v>0</v>
      </c>
      <c r="AF62" s="27">
        <f t="shared" si="29"/>
        <v>0</v>
      </c>
      <c r="AG62" s="27">
        <f t="shared" si="29"/>
        <v>0</v>
      </c>
      <c r="AH62" s="27">
        <f t="shared" si="29"/>
        <v>0</v>
      </c>
      <c r="AI62" s="27">
        <f t="shared" si="29"/>
        <v>0</v>
      </c>
      <c r="AJ62" s="27">
        <f t="shared" si="29"/>
        <v>0</v>
      </c>
      <c r="AK62" s="28">
        <f>SUM(F62:AJ62)</f>
        <v>0</v>
      </c>
    </row>
    <row r="63" spans="1:40" ht="13.2" x14ac:dyDescent="0.25">
      <c r="A63" s="22"/>
      <c r="B63" s="29"/>
      <c r="C63" s="30"/>
      <c r="D63" s="31"/>
      <c r="E63" s="32"/>
      <c r="F63" s="33">
        <f t="shared" ref="F63:AJ63" si="30">SUMIFS(EQ_HInac,Desc_EQ,$C62,Fecha_Inf_EQ,VALUE($AN$1&amp;TEXT(F$11,"00")))</f>
        <v>0</v>
      </c>
      <c r="G63" s="33">
        <f t="shared" si="30"/>
        <v>0</v>
      </c>
      <c r="H63" s="33">
        <f t="shared" si="30"/>
        <v>0</v>
      </c>
      <c r="I63" s="33">
        <f t="shared" si="30"/>
        <v>0</v>
      </c>
      <c r="J63" s="33">
        <f t="shared" si="30"/>
        <v>0</v>
      </c>
      <c r="K63" s="33">
        <f t="shared" si="30"/>
        <v>0</v>
      </c>
      <c r="L63" s="33">
        <f t="shared" si="30"/>
        <v>0</v>
      </c>
      <c r="M63" s="33">
        <f t="shared" si="30"/>
        <v>0</v>
      </c>
      <c r="N63" s="33">
        <f t="shared" si="30"/>
        <v>0</v>
      </c>
      <c r="O63" s="33">
        <f t="shared" si="30"/>
        <v>0</v>
      </c>
      <c r="P63" s="33">
        <f t="shared" si="30"/>
        <v>0</v>
      </c>
      <c r="Q63" s="33">
        <f t="shared" si="30"/>
        <v>0</v>
      </c>
      <c r="R63" s="33">
        <f t="shared" si="30"/>
        <v>0</v>
      </c>
      <c r="S63" s="33">
        <f t="shared" si="30"/>
        <v>0</v>
      </c>
      <c r="T63" s="33">
        <f t="shared" si="30"/>
        <v>0</v>
      </c>
      <c r="U63" s="33">
        <f t="shared" si="30"/>
        <v>0</v>
      </c>
      <c r="V63" s="33">
        <f t="shared" si="30"/>
        <v>0</v>
      </c>
      <c r="W63" s="33">
        <f t="shared" si="30"/>
        <v>0</v>
      </c>
      <c r="X63" s="33">
        <f t="shared" si="30"/>
        <v>0</v>
      </c>
      <c r="Y63" s="33">
        <f t="shared" si="30"/>
        <v>0</v>
      </c>
      <c r="Z63" s="33">
        <f t="shared" si="30"/>
        <v>0</v>
      </c>
      <c r="AA63" s="33">
        <f t="shared" si="30"/>
        <v>0</v>
      </c>
      <c r="AB63" s="33">
        <f t="shared" si="30"/>
        <v>0</v>
      </c>
      <c r="AC63" s="33">
        <f t="shared" si="30"/>
        <v>0</v>
      </c>
      <c r="AD63" s="33">
        <f t="shared" si="30"/>
        <v>0</v>
      </c>
      <c r="AE63" s="33">
        <f t="shared" si="30"/>
        <v>0</v>
      </c>
      <c r="AF63" s="33">
        <f t="shared" si="30"/>
        <v>0</v>
      </c>
      <c r="AG63" s="33">
        <f t="shared" si="30"/>
        <v>0</v>
      </c>
      <c r="AH63" s="33">
        <f t="shared" si="30"/>
        <v>0</v>
      </c>
      <c r="AI63" s="33">
        <f t="shared" si="30"/>
        <v>0</v>
      </c>
      <c r="AJ63" s="33">
        <f t="shared" si="30"/>
        <v>0</v>
      </c>
      <c r="AK63" s="34">
        <f>SUM(F63:AJ63)</f>
        <v>0</v>
      </c>
      <c r="AM63" s="3" t="str">
        <f>IFERROR(VLOOKUP(C63,EQ_Cont,9,FALSE),"")</f>
        <v/>
      </c>
    </row>
    <row r="64" spans="1:40" ht="13.2" x14ac:dyDescent="0.25">
      <c r="A64" s="22"/>
      <c r="B64" s="35">
        <v>2</v>
      </c>
      <c r="C64" s="24" t="str">
        <f>IF(ISBLANK([1]DBPCFA!AP12),"",[1]DBPCFA!AP12)</f>
        <v/>
      </c>
      <c r="D64" s="25"/>
      <c r="E64" s="26"/>
      <c r="F64" s="27">
        <f t="shared" ref="F64:AJ64" si="31">SUMIFS(EQ_HAct,Desc_EQ,$C64,Fecha_Inf_EQ,VALUE($AN$1&amp;TEXT(F$11,"00")))</f>
        <v>0</v>
      </c>
      <c r="G64" s="27">
        <f t="shared" si="31"/>
        <v>0</v>
      </c>
      <c r="H64" s="27">
        <f t="shared" si="31"/>
        <v>0</v>
      </c>
      <c r="I64" s="27">
        <f t="shared" si="31"/>
        <v>0</v>
      </c>
      <c r="J64" s="27">
        <f t="shared" si="31"/>
        <v>0</v>
      </c>
      <c r="K64" s="27">
        <f t="shared" si="31"/>
        <v>0</v>
      </c>
      <c r="L64" s="27">
        <f t="shared" si="31"/>
        <v>0</v>
      </c>
      <c r="M64" s="27">
        <f t="shared" si="31"/>
        <v>0</v>
      </c>
      <c r="N64" s="27">
        <f t="shared" si="31"/>
        <v>0</v>
      </c>
      <c r="O64" s="27">
        <f t="shared" si="31"/>
        <v>0</v>
      </c>
      <c r="P64" s="27">
        <f t="shared" si="31"/>
        <v>0</v>
      </c>
      <c r="Q64" s="27">
        <f t="shared" si="31"/>
        <v>0</v>
      </c>
      <c r="R64" s="27">
        <f t="shared" si="31"/>
        <v>0</v>
      </c>
      <c r="S64" s="27">
        <f t="shared" si="31"/>
        <v>0</v>
      </c>
      <c r="T64" s="27">
        <f t="shared" si="31"/>
        <v>0</v>
      </c>
      <c r="U64" s="27">
        <f t="shared" si="31"/>
        <v>0</v>
      </c>
      <c r="V64" s="27">
        <f t="shared" si="31"/>
        <v>0</v>
      </c>
      <c r="W64" s="27">
        <f t="shared" si="31"/>
        <v>0</v>
      </c>
      <c r="X64" s="27">
        <f t="shared" si="31"/>
        <v>0</v>
      </c>
      <c r="Y64" s="27">
        <f t="shared" si="31"/>
        <v>0</v>
      </c>
      <c r="Z64" s="27">
        <f t="shared" si="31"/>
        <v>0</v>
      </c>
      <c r="AA64" s="27">
        <f t="shared" si="31"/>
        <v>0</v>
      </c>
      <c r="AB64" s="27">
        <f t="shared" si="31"/>
        <v>0</v>
      </c>
      <c r="AC64" s="27">
        <f t="shared" si="31"/>
        <v>0</v>
      </c>
      <c r="AD64" s="27">
        <f t="shared" si="31"/>
        <v>0</v>
      </c>
      <c r="AE64" s="27">
        <f t="shared" si="31"/>
        <v>0</v>
      </c>
      <c r="AF64" s="27">
        <f t="shared" si="31"/>
        <v>0</v>
      </c>
      <c r="AG64" s="27">
        <f t="shared" si="31"/>
        <v>0</v>
      </c>
      <c r="AH64" s="27">
        <f t="shared" si="31"/>
        <v>0</v>
      </c>
      <c r="AI64" s="27">
        <f t="shared" si="31"/>
        <v>0</v>
      </c>
      <c r="AJ64" s="27">
        <f t="shared" si="31"/>
        <v>0</v>
      </c>
      <c r="AK64" s="28">
        <f t="shared" ref="AK64:AK81" si="32">SUM(F64:AJ64)</f>
        <v>0</v>
      </c>
    </row>
    <row r="65" spans="1:39" ht="13.2" x14ac:dyDescent="0.25">
      <c r="A65" s="22"/>
      <c r="B65" s="29"/>
      <c r="C65" s="30"/>
      <c r="D65" s="31"/>
      <c r="E65" s="32"/>
      <c r="F65" s="33">
        <f t="shared" ref="F65:AJ65" si="33">SUMIFS(EQ_HInac,Desc_EQ,$C64,Fecha_Inf_EQ,VALUE($AN$1&amp;TEXT(F$11,"00")))</f>
        <v>0</v>
      </c>
      <c r="G65" s="33">
        <f t="shared" si="33"/>
        <v>0</v>
      </c>
      <c r="H65" s="33">
        <f t="shared" si="33"/>
        <v>0</v>
      </c>
      <c r="I65" s="33">
        <f t="shared" si="33"/>
        <v>0</v>
      </c>
      <c r="J65" s="33">
        <f t="shared" si="33"/>
        <v>0</v>
      </c>
      <c r="K65" s="33">
        <f t="shared" si="33"/>
        <v>0</v>
      </c>
      <c r="L65" s="33">
        <f t="shared" si="33"/>
        <v>0</v>
      </c>
      <c r="M65" s="33">
        <f t="shared" si="33"/>
        <v>0</v>
      </c>
      <c r="N65" s="33">
        <f t="shared" si="33"/>
        <v>0</v>
      </c>
      <c r="O65" s="33">
        <f t="shared" si="33"/>
        <v>0</v>
      </c>
      <c r="P65" s="33">
        <f t="shared" si="33"/>
        <v>0</v>
      </c>
      <c r="Q65" s="33">
        <f t="shared" si="33"/>
        <v>0</v>
      </c>
      <c r="R65" s="33">
        <f t="shared" si="33"/>
        <v>0</v>
      </c>
      <c r="S65" s="33">
        <f t="shared" si="33"/>
        <v>0</v>
      </c>
      <c r="T65" s="33">
        <f t="shared" si="33"/>
        <v>0</v>
      </c>
      <c r="U65" s="33">
        <f t="shared" si="33"/>
        <v>0</v>
      </c>
      <c r="V65" s="33">
        <f t="shared" si="33"/>
        <v>0</v>
      </c>
      <c r="W65" s="33">
        <f t="shared" si="33"/>
        <v>0</v>
      </c>
      <c r="X65" s="33">
        <f t="shared" si="33"/>
        <v>0</v>
      </c>
      <c r="Y65" s="33">
        <f t="shared" si="33"/>
        <v>0</v>
      </c>
      <c r="Z65" s="33">
        <f t="shared" si="33"/>
        <v>0</v>
      </c>
      <c r="AA65" s="33">
        <f t="shared" si="33"/>
        <v>0</v>
      </c>
      <c r="AB65" s="33">
        <f t="shared" si="33"/>
        <v>0</v>
      </c>
      <c r="AC65" s="33">
        <f t="shared" si="33"/>
        <v>0</v>
      </c>
      <c r="AD65" s="33">
        <f t="shared" si="33"/>
        <v>0</v>
      </c>
      <c r="AE65" s="33">
        <f t="shared" si="33"/>
        <v>0</v>
      </c>
      <c r="AF65" s="33">
        <f t="shared" si="33"/>
        <v>0</v>
      </c>
      <c r="AG65" s="33">
        <f t="shared" si="33"/>
        <v>0</v>
      </c>
      <c r="AH65" s="33">
        <f t="shared" si="33"/>
        <v>0</v>
      </c>
      <c r="AI65" s="33">
        <f t="shared" si="33"/>
        <v>0</v>
      </c>
      <c r="AJ65" s="33">
        <f t="shared" si="33"/>
        <v>0</v>
      </c>
      <c r="AK65" s="34">
        <f t="shared" si="32"/>
        <v>0</v>
      </c>
      <c r="AM65" s="3" t="str">
        <f>IFERROR(VLOOKUP(C65,EQ_Cont,9,FALSE),"")</f>
        <v/>
      </c>
    </row>
    <row r="66" spans="1:39" ht="13.2" x14ac:dyDescent="0.25">
      <c r="A66" s="22"/>
      <c r="B66" s="35">
        <v>3</v>
      </c>
      <c r="C66" s="24" t="str">
        <f>IF(ISBLANK([1]DBPCFA!AP13),"",[1]DBPCFA!AP13)</f>
        <v/>
      </c>
      <c r="D66" s="25"/>
      <c r="E66" s="26"/>
      <c r="F66" s="27">
        <f t="shared" ref="F66:AJ66" si="34">SUMIFS(EQ_HAct,Desc_EQ,$C66,Fecha_Inf_EQ,VALUE($AN$1&amp;TEXT(F$11,"00")))</f>
        <v>0</v>
      </c>
      <c r="G66" s="27">
        <f t="shared" si="34"/>
        <v>0</v>
      </c>
      <c r="H66" s="27">
        <f t="shared" si="34"/>
        <v>0</v>
      </c>
      <c r="I66" s="27">
        <f t="shared" si="34"/>
        <v>0</v>
      </c>
      <c r="J66" s="27">
        <f t="shared" si="34"/>
        <v>0</v>
      </c>
      <c r="K66" s="27">
        <f t="shared" si="34"/>
        <v>0</v>
      </c>
      <c r="L66" s="27">
        <f t="shared" si="34"/>
        <v>0</v>
      </c>
      <c r="M66" s="27">
        <f t="shared" si="34"/>
        <v>0</v>
      </c>
      <c r="N66" s="27">
        <f t="shared" si="34"/>
        <v>0</v>
      </c>
      <c r="O66" s="27">
        <f t="shared" si="34"/>
        <v>0</v>
      </c>
      <c r="P66" s="27">
        <f t="shared" si="34"/>
        <v>0</v>
      </c>
      <c r="Q66" s="27">
        <f t="shared" si="34"/>
        <v>0</v>
      </c>
      <c r="R66" s="27">
        <f t="shared" si="34"/>
        <v>0</v>
      </c>
      <c r="S66" s="27">
        <f t="shared" si="34"/>
        <v>0</v>
      </c>
      <c r="T66" s="27">
        <f t="shared" si="34"/>
        <v>0</v>
      </c>
      <c r="U66" s="27">
        <f t="shared" si="34"/>
        <v>0</v>
      </c>
      <c r="V66" s="27">
        <f t="shared" si="34"/>
        <v>0</v>
      </c>
      <c r="W66" s="27">
        <f t="shared" si="34"/>
        <v>0</v>
      </c>
      <c r="X66" s="27">
        <f t="shared" si="34"/>
        <v>0</v>
      </c>
      <c r="Y66" s="27">
        <f t="shared" si="34"/>
        <v>0</v>
      </c>
      <c r="Z66" s="27">
        <f t="shared" si="34"/>
        <v>0</v>
      </c>
      <c r="AA66" s="27">
        <f t="shared" si="34"/>
        <v>0</v>
      </c>
      <c r="AB66" s="27">
        <f t="shared" si="34"/>
        <v>0</v>
      </c>
      <c r="AC66" s="27">
        <f t="shared" si="34"/>
        <v>0</v>
      </c>
      <c r="AD66" s="27">
        <f t="shared" si="34"/>
        <v>0</v>
      </c>
      <c r="AE66" s="27">
        <f t="shared" si="34"/>
        <v>0</v>
      </c>
      <c r="AF66" s="27">
        <f t="shared" si="34"/>
        <v>0</v>
      </c>
      <c r="AG66" s="27">
        <f t="shared" si="34"/>
        <v>0</v>
      </c>
      <c r="AH66" s="27">
        <f t="shared" si="34"/>
        <v>0</v>
      </c>
      <c r="AI66" s="27">
        <f t="shared" si="34"/>
        <v>0</v>
      </c>
      <c r="AJ66" s="27">
        <f t="shared" si="34"/>
        <v>0</v>
      </c>
      <c r="AK66" s="28">
        <f t="shared" si="32"/>
        <v>0</v>
      </c>
    </row>
    <row r="67" spans="1:39" ht="13.2" x14ac:dyDescent="0.25">
      <c r="A67" s="22"/>
      <c r="B67" s="29"/>
      <c r="C67" s="30"/>
      <c r="D67" s="31"/>
      <c r="E67" s="32"/>
      <c r="F67" s="33">
        <f t="shared" ref="F67:AJ67" si="35">SUMIFS(EQ_HInac,Desc_EQ,$C66,Fecha_Inf_EQ,VALUE($AN$1&amp;TEXT(F$11,"00")))</f>
        <v>0</v>
      </c>
      <c r="G67" s="33">
        <f t="shared" si="35"/>
        <v>0</v>
      </c>
      <c r="H67" s="33">
        <f t="shared" si="35"/>
        <v>0</v>
      </c>
      <c r="I67" s="33">
        <f t="shared" si="35"/>
        <v>0</v>
      </c>
      <c r="J67" s="33">
        <f t="shared" si="35"/>
        <v>0</v>
      </c>
      <c r="K67" s="33">
        <f t="shared" si="35"/>
        <v>0</v>
      </c>
      <c r="L67" s="33">
        <f t="shared" si="35"/>
        <v>0</v>
      </c>
      <c r="M67" s="33">
        <f t="shared" si="35"/>
        <v>0</v>
      </c>
      <c r="N67" s="33">
        <f t="shared" si="35"/>
        <v>0</v>
      </c>
      <c r="O67" s="33">
        <f t="shared" si="35"/>
        <v>0</v>
      </c>
      <c r="P67" s="33">
        <f t="shared" si="35"/>
        <v>0</v>
      </c>
      <c r="Q67" s="33">
        <f t="shared" si="35"/>
        <v>0</v>
      </c>
      <c r="R67" s="33">
        <f t="shared" si="35"/>
        <v>0</v>
      </c>
      <c r="S67" s="33">
        <f t="shared" si="35"/>
        <v>0</v>
      </c>
      <c r="T67" s="33">
        <f t="shared" si="35"/>
        <v>0</v>
      </c>
      <c r="U67" s="33">
        <f t="shared" si="35"/>
        <v>0</v>
      </c>
      <c r="V67" s="33">
        <f t="shared" si="35"/>
        <v>0</v>
      </c>
      <c r="W67" s="33">
        <f t="shared" si="35"/>
        <v>0</v>
      </c>
      <c r="X67" s="33">
        <f t="shared" si="35"/>
        <v>0</v>
      </c>
      <c r="Y67" s="33">
        <f t="shared" si="35"/>
        <v>0</v>
      </c>
      <c r="Z67" s="33">
        <f t="shared" si="35"/>
        <v>0</v>
      </c>
      <c r="AA67" s="33">
        <f t="shared" si="35"/>
        <v>0</v>
      </c>
      <c r="AB67" s="33">
        <f t="shared" si="35"/>
        <v>0</v>
      </c>
      <c r="AC67" s="33">
        <f t="shared" si="35"/>
        <v>0</v>
      </c>
      <c r="AD67" s="33">
        <f t="shared" si="35"/>
        <v>0</v>
      </c>
      <c r="AE67" s="33">
        <f t="shared" si="35"/>
        <v>0</v>
      </c>
      <c r="AF67" s="33">
        <f t="shared" si="35"/>
        <v>0</v>
      </c>
      <c r="AG67" s="33">
        <f t="shared" si="35"/>
        <v>0</v>
      </c>
      <c r="AH67" s="33">
        <f t="shared" si="35"/>
        <v>0</v>
      </c>
      <c r="AI67" s="33">
        <f t="shared" si="35"/>
        <v>0</v>
      </c>
      <c r="AJ67" s="33">
        <f t="shared" si="35"/>
        <v>0</v>
      </c>
      <c r="AK67" s="34">
        <f t="shared" si="32"/>
        <v>0</v>
      </c>
      <c r="AM67" s="3" t="str">
        <f>IFERROR(VLOOKUP(C67,EQ_Cont,9,FALSE),"")</f>
        <v/>
      </c>
    </row>
    <row r="68" spans="1:39" ht="13.2" x14ac:dyDescent="0.25">
      <c r="A68" s="22"/>
      <c r="B68" s="35">
        <v>4</v>
      </c>
      <c r="C68" s="24" t="str">
        <f>IF(ISBLANK([1]DBPCFA!AP14),"",[1]DBPCFA!AP14)</f>
        <v/>
      </c>
      <c r="D68" s="25"/>
      <c r="E68" s="26"/>
      <c r="F68" s="27">
        <f t="shared" ref="F68:AJ68" si="36">SUMIFS(EQ_HAct,Desc_EQ,$C68,Fecha_Inf_EQ,VALUE($AN$1&amp;TEXT(F$11,"00")))</f>
        <v>0</v>
      </c>
      <c r="G68" s="27">
        <f t="shared" si="36"/>
        <v>0</v>
      </c>
      <c r="H68" s="27">
        <f t="shared" si="36"/>
        <v>0</v>
      </c>
      <c r="I68" s="27">
        <f t="shared" si="36"/>
        <v>0</v>
      </c>
      <c r="J68" s="27">
        <f t="shared" si="36"/>
        <v>0</v>
      </c>
      <c r="K68" s="27">
        <f t="shared" si="36"/>
        <v>0</v>
      </c>
      <c r="L68" s="27">
        <f t="shared" si="36"/>
        <v>0</v>
      </c>
      <c r="M68" s="27">
        <f t="shared" si="36"/>
        <v>0</v>
      </c>
      <c r="N68" s="27">
        <f t="shared" si="36"/>
        <v>0</v>
      </c>
      <c r="O68" s="27">
        <f t="shared" si="36"/>
        <v>0</v>
      </c>
      <c r="P68" s="27">
        <f t="shared" si="36"/>
        <v>0</v>
      </c>
      <c r="Q68" s="27">
        <f t="shared" si="36"/>
        <v>0</v>
      </c>
      <c r="R68" s="27">
        <f t="shared" si="36"/>
        <v>0</v>
      </c>
      <c r="S68" s="27">
        <f t="shared" si="36"/>
        <v>0</v>
      </c>
      <c r="T68" s="27">
        <f t="shared" si="36"/>
        <v>0</v>
      </c>
      <c r="U68" s="27">
        <f t="shared" si="36"/>
        <v>0</v>
      </c>
      <c r="V68" s="27">
        <f t="shared" si="36"/>
        <v>0</v>
      </c>
      <c r="W68" s="27">
        <f t="shared" si="36"/>
        <v>0</v>
      </c>
      <c r="X68" s="27">
        <f t="shared" si="36"/>
        <v>0</v>
      </c>
      <c r="Y68" s="27">
        <f t="shared" si="36"/>
        <v>0</v>
      </c>
      <c r="Z68" s="27">
        <f t="shared" si="36"/>
        <v>0</v>
      </c>
      <c r="AA68" s="27">
        <f t="shared" si="36"/>
        <v>0</v>
      </c>
      <c r="AB68" s="27">
        <f t="shared" si="36"/>
        <v>0</v>
      </c>
      <c r="AC68" s="27">
        <f t="shared" si="36"/>
        <v>0</v>
      </c>
      <c r="AD68" s="27">
        <f t="shared" si="36"/>
        <v>0</v>
      </c>
      <c r="AE68" s="27">
        <f t="shared" si="36"/>
        <v>0</v>
      </c>
      <c r="AF68" s="27">
        <f t="shared" si="36"/>
        <v>0</v>
      </c>
      <c r="AG68" s="27">
        <f t="shared" si="36"/>
        <v>0</v>
      </c>
      <c r="AH68" s="27">
        <f t="shared" si="36"/>
        <v>0</v>
      </c>
      <c r="AI68" s="27">
        <f t="shared" si="36"/>
        <v>0</v>
      </c>
      <c r="AJ68" s="27">
        <f t="shared" si="36"/>
        <v>0</v>
      </c>
      <c r="AK68" s="28">
        <f t="shared" si="32"/>
        <v>0</v>
      </c>
    </row>
    <row r="69" spans="1:39" ht="13.2" x14ac:dyDescent="0.25">
      <c r="A69" s="22"/>
      <c r="B69" s="29"/>
      <c r="C69" s="30"/>
      <c r="D69" s="31"/>
      <c r="E69" s="32"/>
      <c r="F69" s="33">
        <f t="shared" ref="F69:AJ69" si="37">SUMIFS(EQ_HInac,Desc_EQ,$C68,Fecha_Inf_EQ,VALUE($AN$1&amp;TEXT(F$11,"00")))</f>
        <v>0</v>
      </c>
      <c r="G69" s="33">
        <f t="shared" si="37"/>
        <v>0</v>
      </c>
      <c r="H69" s="33">
        <f t="shared" si="37"/>
        <v>0</v>
      </c>
      <c r="I69" s="33">
        <f t="shared" si="37"/>
        <v>0</v>
      </c>
      <c r="J69" s="33">
        <f t="shared" si="37"/>
        <v>0</v>
      </c>
      <c r="K69" s="33">
        <f t="shared" si="37"/>
        <v>0</v>
      </c>
      <c r="L69" s="33">
        <f t="shared" si="37"/>
        <v>0</v>
      </c>
      <c r="M69" s="33">
        <f t="shared" si="37"/>
        <v>0</v>
      </c>
      <c r="N69" s="33">
        <f t="shared" si="37"/>
        <v>0</v>
      </c>
      <c r="O69" s="33">
        <f t="shared" si="37"/>
        <v>0</v>
      </c>
      <c r="P69" s="33">
        <f t="shared" si="37"/>
        <v>0</v>
      </c>
      <c r="Q69" s="33">
        <f t="shared" si="37"/>
        <v>0</v>
      </c>
      <c r="R69" s="33">
        <f t="shared" si="37"/>
        <v>0</v>
      </c>
      <c r="S69" s="33">
        <f t="shared" si="37"/>
        <v>0</v>
      </c>
      <c r="T69" s="33">
        <f t="shared" si="37"/>
        <v>0</v>
      </c>
      <c r="U69" s="33">
        <f t="shared" si="37"/>
        <v>0</v>
      </c>
      <c r="V69" s="33">
        <f t="shared" si="37"/>
        <v>0</v>
      </c>
      <c r="W69" s="33">
        <f t="shared" si="37"/>
        <v>0</v>
      </c>
      <c r="X69" s="33">
        <f t="shared" si="37"/>
        <v>0</v>
      </c>
      <c r="Y69" s="33">
        <f t="shared" si="37"/>
        <v>0</v>
      </c>
      <c r="Z69" s="33">
        <f t="shared" si="37"/>
        <v>0</v>
      </c>
      <c r="AA69" s="33">
        <f t="shared" si="37"/>
        <v>0</v>
      </c>
      <c r="AB69" s="33">
        <f t="shared" si="37"/>
        <v>0</v>
      </c>
      <c r="AC69" s="33">
        <f t="shared" si="37"/>
        <v>0</v>
      </c>
      <c r="AD69" s="33">
        <f t="shared" si="37"/>
        <v>0</v>
      </c>
      <c r="AE69" s="33">
        <f t="shared" si="37"/>
        <v>0</v>
      </c>
      <c r="AF69" s="33">
        <f t="shared" si="37"/>
        <v>0</v>
      </c>
      <c r="AG69" s="33">
        <f t="shared" si="37"/>
        <v>0</v>
      </c>
      <c r="AH69" s="33">
        <f t="shared" si="37"/>
        <v>0</v>
      </c>
      <c r="AI69" s="33">
        <f t="shared" si="37"/>
        <v>0</v>
      </c>
      <c r="AJ69" s="33">
        <f t="shared" si="37"/>
        <v>0</v>
      </c>
      <c r="AK69" s="34">
        <f t="shared" si="32"/>
        <v>0</v>
      </c>
      <c r="AM69" s="3" t="str">
        <f>IFERROR(VLOOKUP(C69,EQ_Cont,9,FALSE),"")</f>
        <v/>
      </c>
    </row>
    <row r="70" spans="1:39" ht="13.2" x14ac:dyDescent="0.25">
      <c r="A70" s="22"/>
      <c r="B70" s="35">
        <v>5</v>
      </c>
      <c r="C70" s="24" t="str">
        <f>IF(ISBLANK([1]DBPCFA!AP15),"",[1]DBPCFA!AP15)</f>
        <v/>
      </c>
      <c r="D70" s="25"/>
      <c r="E70" s="26"/>
      <c r="F70" s="27">
        <f t="shared" ref="F70:AJ70" si="38">SUMIFS(EQ_HAct,Desc_EQ,$C70,Fecha_Inf_EQ,VALUE($AN$1&amp;TEXT(F$11,"00")))</f>
        <v>0</v>
      </c>
      <c r="G70" s="27">
        <f t="shared" si="38"/>
        <v>0</v>
      </c>
      <c r="H70" s="27">
        <f t="shared" si="38"/>
        <v>0</v>
      </c>
      <c r="I70" s="27">
        <f t="shared" si="38"/>
        <v>0</v>
      </c>
      <c r="J70" s="27">
        <f t="shared" si="38"/>
        <v>0</v>
      </c>
      <c r="K70" s="27">
        <f t="shared" si="38"/>
        <v>0</v>
      </c>
      <c r="L70" s="27">
        <f t="shared" si="38"/>
        <v>0</v>
      </c>
      <c r="M70" s="27">
        <f t="shared" si="38"/>
        <v>0</v>
      </c>
      <c r="N70" s="27">
        <f t="shared" si="38"/>
        <v>0</v>
      </c>
      <c r="O70" s="27">
        <f t="shared" si="38"/>
        <v>0</v>
      </c>
      <c r="P70" s="27">
        <f t="shared" si="38"/>
        <v>0</v>
      </c>
      <c r="Q70" s="27">
        <f t="shared" si="38"/>
        <v>0</v>
      </c>
      <c r="R70" s="27">
        <f t="shared" si="38"/>
        <v>0</v>
      </c>
      <c r="S70" s="27">
        <f t="shared" si="38"/>
        <v>0</v>
      </c>
      <c r="T70" s="27">
        <f t="shared" si="38"/>
        <v>0</v>
      </c>
      <c r="U70" s="27">
        <f t="shared" si="38"/>
        <v>0</v>
      </c>
      <c r="V70" s="27">
        <f t="shared" si="38"/>
        <v>0</v>
      </c>
      <c r="W70" s="27">
        <f t="shared" si="38"/>
        <v>0</v>
      </c>
      <c r="X70" s="27">
        <f t="shared" si="38"/>
        <v>0</v>
      </c>
      <c r="Y70" s="27">
        <f t="shared" si="38"/>
        <v>0</v>
      </c>
      <c r="Z70" s="27">
        <f t="shared" si="38"/>
        <v>0</v>
      </c>
      <c r="AA70" s="27">
        <f t="shared" si="38"/>
        <v>0</v>
      </c>
      <c r="AB70" s="27">
        <f t="shared" si="38"/>
        <v>0</v>
      </c>
      <c r="AC70" s="27">
        <f t="shared" si="38"/>
        <v>0</v>
      </c>
      <c r="AD70" s="27">
        <f t="shared" si="38"/>
        <v>0</v>
      </c>
      <c r="AE70" s="27">
        <f t="shared" si="38"/>
        <v>0</v>
      </c>
      <c r="AF70" s="27">
        <f t="shared" si="38"/>
        <v>0</v>
      </c>
      <c r="AG70" s="27">
        <f t="shared" si="38"/>
        <v>0</v>
      </c>
      <c r="AH70" s="27">
        <f t="shared" si="38"/>
        <v>0</v>
      </c>
      <c r="AI70" s="27">
        <f t="shared" si="38"/>
        <v>0</v>
      </c>
      <c r="AJ70" s="27">
        <f t="shared" si="38"/>
        <v>0</v>
      </c>
      <c r="AK70" s="28">
        <f t="shared" si="32"/>
        <v>0</v>
      </c>
    </row>
    <row r="71" spans="1:39" ht="13.2" x14ac:dyDescent="0.25">
      <c r="A71" s="22"/>
      <c r="B71" s="29"/>
      <c r="C71" s="30"/>
      <c r="D71" s="31"/>
      <c r="E71" s="32"/>
      <c r="F71" s="33">
        <f t="shared" ref="F71:AJ71" si="39">SUMIFS(EQ_HInac,Desc_EQ,$C70,Fecha_Inf_EQ,VALUE($AN$1&amp;TEXT(F$11,"00")))</f>
        <v>0</v>
      </c>
      <c r="G71" s="33">
        <f t="shared" si="39"/>
        <v>0</v>
      </c>
      <c r="H71" s="33">
        <f t="shared" si="39"/>
        <v>0</v>
      </c>
      <c r="I71" s="33">
        <f t="shared" si="39"/>
        <v>0</v>
      </c>
      <c r="J71" s="33">
        <f t="shared" si="39"/>
        <v>0</v>
      </c>
      <c r="K71" s="33">
        <f t="shared" si="39"/>
        <v>0</v>
      </c>
      <c r="L71" s="33">
        <f t="shared" si="39"/>
        <v>0</v>
      </c>
      <c r="M71" s="33">
        <f t="shared" si="39"/>
        <v>0</v>
      </c>
      <c r="N71" s="33">
        <f t="shared" si="39"/>
        <v>0</v>
      </c>
      <c r="O71" s="33">
        <f t="shared" si="39"/>
        <v>0</v>
      </c>
      <c r="P71" s="33">
        <f t="shared" si="39"/>
        <v>0</v>
      </c>
      <c r="Q71" s="33">
        <f t="shared" si="39"/>
        <v>0</v>
      </c>
      <c r="R71" s="33">
        <f t="shared" si="39"/>
        <v>0</v>
      </c>
      <c r="S71" s="33">
        <f t="shared" si="39"/>
        <v>0</v>
      </c>
      <c r="T71" s="33">
        <f t="shared" si="39"/>
        <v>0</v>
      </c>
      <c r="U71" s="33">
        <f t="shared" si="39"/>
        <v>0</v>
      </c>
      <c r="V71" s="33">
        <f t="shared" si="39"/>
        <v>0</v>
      </c>
      <c r="W71" s="33">
        <f t="shared" si="39"/>
        <v>0</v>
      </c>
      <c r="X71" s="33">
        <f t="shared" si="39"/>
        <v>0</v>
      </c>
      <c r="Y71" s="33">
        <f t="shared" si="39"/>
        <v>0</v>
      </c>
      <c r="Z71" s="33">
        <f t="shared" si="39"/>
        <v>0</v>
      </c>
      <c r="AA71" s="33">
        <f t="shared" si="39"/>
        <v>0</v>
      </c>
      <c r="AB71" s="33">
        <f t="shared" si="39"/>
        <v>0</v>
      </c>
      <c r="AC71" s="33">
        <f t="shared" si="39"/>
        <v>0</v>
      </c>
      <c r="AD71" s="33">
        <f t="shared" si="39"/>
        <v>0</v>
      </c>
      <c r="AE71" s="33">
        <f t="shared" si="39"/>
        <v>0</v>
      </c>
      <c r="AF71" s="33">
        <f t="shared" si="39"/>
        <v>0</v>
      </c>
      <c r="AG71" s="33">
        <f t="shared" si="39"/>
        <v>0</v>
      </c>
      <c r="AH71" s="33">
        <f t="shared" si="39"/>
        <v>0</v>
      </c>
      <c r="AI71" s="33">
        <f t="shared" si="39"/>
        <v>0</v>
      </c>
      <c r="AJ71" s="33">
        <f t="shared" si="39"/>
        <v>0</v>
      </c>
      <c r="AK71" s="34">
        <f t="shared" si="32"/>
        <v>0</v>
      </c>
      <c r="AM71" s="3" t="str">
        <f>IFERROR(VLOOKUP(C71,EQ_Cont,9,FALSE),"")</f>
        <v/>
      </c>
    </row>
    <row r="72" spans="1:39" ht="13.2" x14ac:dyDescent="0.25">
      <c r="A72" s="22"/>
      <c r="B72" s="35">
        <v>6</v>
      </c>
      <c r="C72" s="24" t="str">
        <f>IF(ISBLANK([1]DBPCFA!AP16),"",[1]DBPCFA!AP16)</f>
        <v/>
      </c>
      <c r="D72" s="25"/>
      <c r="E72" s="26"/>
      <c r="F72" s="27">
        <f t="shared" ref="F72:AJ72" si="40">SUMIFS(EQ_HAct,Desc_EQ,$C72,Fecha_Inf_EQ,VALUE($AN$1&amp;TEXT(F$11,"00")))</f>
        <v>0</v>
      </c>
      <c r="G72" s="27">
        <f t="shared" si="40"/>
        <v>0</v>
      </c>
      <c r="H72" s="27">
        <f t="shared" si="40"/>
        <v>0</v>
      </c>
      <c r="I72" s="27">
        <f t="shared" si="40"/>
        <v>0</v>
      </c>
      <c r="J72" s="27">
        <f t="shared" si="40"/>
        <v>0</v>
      </c>
      <c r="K72" s="27">
        <f t="shared" si="40"/>
        <v>0</v>
      </c>
      <c r="L72" s="27">
        <f t="shared" si="40"/>
        <v>0</v>
      </c>
      <c r="M72" s="27">
        <f t="shared" si="40"/>
        <v>0</v>
      </c>
      <c r="N72" s="27">
        <f t="shared" si="40"/>
        <v>0</v>
      </c>
      <c r="O72" s="27">
        <f t="shared" si="40"/>
        <v>0</v>
      </c>
      <c r="P72" s="27">
        <f t="shared" si="40"/>
        <v>0</v>
      </c>
      <c r="Q72" s="27">
        <f t="shared" si="40"/>
        <v>0</v>
      </c>
      <c r="R72" s="27">
        <f t="shared" si="40"/>
        <v>0</v>
      </c>
      <c r="S72" s="27">
        <f t="shared" si="40"/>
        <v>0</v>
      </c>
      <c r="T72" s="27">
        <f t="shared" si="40"/>
        <v>0</v>
      </c>
      <c r="U72" s="27">
        <f t="shared" si="40"/>
        <v>0</v>
      </c>
      <c r="V72" s="27">
        <f t="shared" si="40"/>
        <v>0</v>
      </c>
      <c r="W72" s="27">
        <f t="shared" si="40"/>
        <v>0</v>
      </c>
      <c r="X72" s="27">
        <f t="shared" si="40"/>
        <v>0</v>
      </c>
      <c r="Y72" s="27">
        <f t="shared" si="40"/>
        <v>0</v>
      </c>
      <c r="Z72" s="27">
        <f t="shared" si="40"/>
        <v>0</v>
      </c>
      <c r="AA72" s="27">
        <f t="shared" si="40"/>
        <v>0</v>
      </c>
      <c r="AB72" s="27">
        <f t="shared" si="40"/>
        <v>0</v>
      </c>
      <c r="AC72" s="27">
        <f t="shared" si="40"/>
        <v>0</v>
      </c>
      <c r="AD72" s="27">
        <f t="shared" si="40"/>
        <v>0</v>
      </c>
      <c r="AE72" s="27">
        <f t="shared" si="40"/>
        <v>0</v>
      </c>
      <c r="AF72" s="27">
        <f t="shared" si="40"/>
        <v>0</v>
      </c>
      <c r="AG72" s="27">
        <f t="shared" si="40"/>
        <v>0</v>
      </c>
      <c r="AH72" s="27">
        <f t="shared" si="40"/>
        <v>0</v>
      </c>
      <c r="AI72" s="27">
        <f t="shared" si="40"/>
        <v>0</v>
      </c>
      <c r="AJ72" s="27">
        <f t="shared" si="40"/>
        <v>0</v>
      </c>
      <c r="AK72" s="28">
        <f t="shared" si="32"/>
        <v>0</v>
      </c>
    </row>
    <row r="73" spans="1:39" ht="13.2" x14ac:dyDescent="0.25">
      <c r="A73" s="22"/>
      <c r="B73" s="29"/>
      <c r="C73" s="30"/>
      <c r="D73" s="31"/>
      <c r="E73" s="32"/>
      <c r="F73" s="33">
        <f t="shared" ref="F73:AJ73" si="41">SUMIFS(EQ_HInac,Desc_EQ,$C72,Fecha_Inf_EQ,VALUE($AN$1&amp;TEXT(F$11,"00")))</f>
        <v>0</v>
      </c>
      <c r="G73" s="33">
        <f t="shared" si="41"/>
        <v>0</v>
      </c>
      <c r="H73" s="33">
        <f t="shared" si="41"/>
        <v>0</v>
      </c>
      <c r="I73" s="33">
        <f t="shared" si="41"/>
        <v>0</v>
      </c>
      <c r="J73" s="33">
        <f t="shared" si="41"/>
        <v>0</v>
      </c>
      <c r="K73" s="33">
        <f t="shared" si="41"/>
        <v>0</v>
      </c>
      <c r="L73" s="33">
        <f t="shared" si="41"/>
        <v>0</v>
      </c>
      <c r="M73" s="33">
        <f t="shared" si="41"/>
        <v>0</v>
      </c>
      <c r="N73" s="33">
        <f t="shared" si="41"/>
        <v>0</v>
      </c>
      <c r="O73" s="33">
        <f t="shared" si="41"/>
        <v>0</v>
      </c>
      <c r="P73" s="33">
        <f t="shared" si="41"/>
        <v>0</v>
      </c>
      <c r="Q73" s="33">
        <f t="shared" si="41"/>
        <v>0</v>
      </c>
      <c r="R73" s="33">
        <f t="shared" si="41"/>
        <v>0</v>
      </c>
      <c r="S73" s="33">
        <f t="shared" si="41"/>
        <v>0</v>
      </c>
      <c r="T73" s="33">
        <f t="shared" si="41"/>
        <v>0</v>
      </c>
      <c r="U73" s="33">
        <f t="shared" si="41"/>
        <v>0</v>
      </c>
      <c r="V73" s="33">
        <f t="shared" si="41"/>
        <v>0</v>
      </c>
      <c r="W73" s="33">
        <f t="shared" si="41"/>
        <v>0</v>
      </c>
      <c r="X73" s="33">
        <f t="shared" si="41"/>
        <v>0</v>
      </c>
      <c r="Y73" s="33">
        <f t="shared" si="41"/>
        <v>0</v>
      </c>
      <c r="Z73" s="33">
        <f t="shared" si="41"/>
        <v>0</v>
      </c>
      <c r="AA73" s="33">
        <f t="shared" si="41"/>
        <v>0</v>
      </c>
      <c r="AB73" s="33">
        <f t="shared" si="41"/>
        <v>0</v>
      </c>
      <c r="AC73" s="33">
        <f t="shared" si="41"/>
        <v>0</v>
      </c>
      <c r="AD73" s="33">
        <f t="shared" si="41"/>
        <v>0</v>
      </c>
      <c r="AE73" s="33">
        <f t="shared" si="41"/>
        <v>0</v>
      </c>
      <c r="AF73" s="33">
        <f t="shared" si="41"/>
        <v>0</v>
      </c>
      <c r="AG73" s="33">
        <f t="shared" si="41"/>
        <v>0</v>
      </c>
      <c r="AH73" s="33">
        <f t="shared" si="41"/>
        <v>0</v>
      </c>
      <c r="AI73" s="33">
        <f t="shared" si="41"/>
        <v>0</v>
      </c>
      <c r="AJ73" s="33">
        <f t="shared" si="41"/>
        <v>0</v>
      </c>
      <c r="AK73" s="34">
        <f t="shared" si="32"/>
        <v>0</v>
      </c>
      <c r="AM73" s="3" t="str">
        <f>IFERROR(VLOOKUP(C73,EQ_Cont,9,FALSE),"")</f>
        <v/>
      </c>
    </row>
    <row r="74" spans="1:39" ht="13.2" x14ac:dyDescent="0.25">
      <c r="A74" s="22"/>
      <c r="B74" s="35">
        <v>7</v>
      </c>
      <c r="C74" s="24" t="str">
        <f>IF(ISBLANK([1]DBPCFA!AP17),"",[1]DBPCFA!AP17)</f>
        <v/>
      </c>
      <c r="D74" s="25"/>
      <c r="E74" s="26"/>
      <c r="F74" s="27">
        <f t="shared" ref="F74:AJ74" si="42">SUMIFS(EQ_HAct,Desc_EQ,$C74,Fecha_Inf_EQ,VALUE($AN$1&amp;TEXT(F$11,"00")))</f>
        <v>0</v>
      </c>
      <c r="G74" s="27">
        <f t="shared" si="42"/>
        <v>0</v>
      </c>
      <c r="H74" s="27">
        <f t="shared" si="42"/>
        <v>0</v>
      </c>
      <c r="I74" s="27">
        <f t="shared" si="42"/>
        <v>0</v>
      </c>
      <c r="J74" s="27">
        <f t="shared" si="42"/>
        <v>0</v>
      </c>
      <c r="K74" s="27">
        <f t="shared" si="42"/>
        <v>0</v>
      </c>
      <c r="L74" s="27">
        <f t="shared" si="42"/>
        <v>0</v>
      </c>
      <c r="M74" s="27">
        <f t="shared" si="42"/>
        <v>0</v>
      </c>
      <c r="N74" s="27">
        <f t="shared" si="42"/>
        <v>0</v>
      </c>
      <c r="O74" s="27">
        <f t="shared" si="42"/>
        <v>0</v>
      </c>
      <c r="P74" s="27">
        <f t="shared" si="42"/>
        <v>0</v>
      </c>
      <c r="Q74" s="27">
        <f t="shared" si="42"/>
        <v>0</v>
      </c>
      <c r="R74" s="27">
        <f t="shared" si="42"/>
        <v>0</v>
      </c>
      <c r="S74" s="27">
        <f t="shared" si="42"/>
        <v>0</v>
      </c>
      <c r="T74" s="27">
        <f t="shared" si="42"/>
        <v>0</v>
      </c>
      <c r="U74" s="27">
        <f t="shared" si="42"/>
        <v>0</v>
      </c>
      <c r="V74" s="27">
        <f t="shared" si="42"/>
        <v>0</v>
      </c>
      <c r="W74" s="27">
        <f t="shared" si="42"/>
        <v>0</v>
      </c>
      <c r="X74" s="27">
        <f t="shared" si="42"/>
        <v>0</v>
      </c>
      <c r="Y74" s="27">
        <f t="shared" si="42"/>
        <v>0</v>
      </c>
      <c r="Z74" s="27">
        <f t="shared" si="42"/>
        <v>0</v>
      </c>
      <c r="AA74" s="27">
        <f t="shared" si="42"/>
        <v>0</v>
      </c>
      <c r="AB74" s="27">
        <f t="shared" si="42"/>
        <v>0</v>
      </c>
      <c r="AC74" s="27">
        <f t="shared" si="42"/>
        <v>0</v>
      </c>
      <c r="AD74" s="27">
        <f t="shared" si="42"/>
        <v>0</v>
      </c>
      <c r="AE74" s="27">
        <f t="shared" si="42"/>
        <v>0</v>
      </c>
      <c r="AF74" s="27">
        <f t="shared" si="42"/>
        <v>0</v>
      </c>
      <c r="AG74" s="27">
        <f t="shared" si="42"/>
        <v>0</v>
      </c>
      <c r="AH74" s="27">
        <f t="shared" si="42"/>
        <v>0</v>
      </c>
      <c r="AI74" s="27">
        <f t="shared" si="42"/>
        <v>0</v>
      </c>
      <c r="AJ74" s="27">
        <f t="shared" si="42"/>
        <v>0</v>
      </c>
      <c r="AK74" s="28">
        <f t="shared" si="32"/>
        <v>0</v>
      </c>
    </row>
    <row r="75" spans="1:39" ht="13.2" x14ac:dyDescent="0.25">
      <c r="A75" s="22"/>
      <c r="B75" s="29"/>
      <c r="C75" s="30"/>
      <c r="D75" s="31"/>
      <c r="E75" s="32"/>
      <c r="F75" s="33">
        <f t="shared" ref="F75:AJ75" si="43">SUMIFS(EQ_HInac,Desc_EQ,$C74,Fecha_Inf_EQ,VALUE($AN$1&amp;TEXT(F$11,"00")))</f>
        <v>0</v>
      </c>
      <c r="G75" s="33">
        <f t="shared" si="43"/>
        <v>0</v>
      </c>
      <c r="H75" s="33">
        <f t="shared" si="43"/>
        <v>0</v>
      </c>
      <c r="I75" s="33">
        <f t="shared" si="43"/>
        <v>0</v>
      </c>
      <c r="J75" s="33">
        <f t="shared" si="43"/>
        <v>0</v>
      </c>
      <c r="K75" s="33">
        <f t="shared" si="43"/>
        <v>0</v>
      </c>
      <c r="L75" s="33">
        <f t="shared" si="43"/>
        <v>0</v>
      </c>
      <c r="M75" s="33">
        <f t="shared" si="43"/>
        <v>0</v>
      </c>
      <c r="N75" s="33">
        <f t="shared" si="43"/>
        <v>0</v>
      </c>
      <c r="O75" s="33">
        <f t="shared" si="43"/>
        <v>0</v>
      </c>
      <c r="P75" s="33">
        <f t="shared" si="43"/>
        <v>0</v>
      </c>
      <c r="Q75" s="33">
        <f t="shared" si="43"/>
        <v>0</v>
      </c>
      <c r="R75" s="33">
        <f t="shared" si="43"/>
        <v>0</v>
      </c>
      <c r="S75" s="33">
        <f t="shared" si="43"/>
        <v>0</v>
      </c>
      <c r="T75" s="33">
        <f t="shared" si="43"/>
        <v>0</v>
      </c>
      <c r="U75" s="33">
        <f t="shared" si="43"/>
        <v>0</v>
      </c>
      <c r="V75" s="33">
        <f t="shared" si="43"/>
        <v>0</v>
      </c>
      <c r="W75" s="33">
        <f t="shared" si="43"/>
        <v>0</v>
      </c>
      <c r="X75" s="33">
        <f t="shared" si="43"/>
        <v>0</v>
      </c>
      <c r="Y75" s="33">
        <f t="shared" si="43"/>
        <v>0</v>
      </c>
      <c r="Z75" s="33">
        <f t="shared" si="43"/>
        <v>0</v>
      </c>
      <c r="AA75" s="33">
        <f t="shared" si="43"/>
        <v>0</v>
      </c>
      <c r="AB75" s="33">
        <f t="shared" si="43"/>
        <v>0</v>
      </c>
      <c r="AC75" s="33">
        <f t="shared" si="43"/>
        <v>0</v>
      </c>
      <c r="AD75" s="33">
        <f t="shared" si="43"/>
        <v>0</v>
      </c>
      <c r="AE75" s="33">
        <f t="shared" si="43"/>
        <v>0</v>
      </c>
      <c r="AF75" s="33">
        <f t="shared" si="43"/>
        <v>0</v>
      </c>
      <c r="AG75" s="33">
        <f t="shared" si="43"/>
        <v>0</v>
      </c>
      <c r="AH75" s="33">
        <f t="shared" si="43"/>
        <v>0</v>
      </c>
      <c r="AI75" s="33">
        <f t="shared" si="43"/>
        <v>0</v>
      </c>
      <c r="AJ75" s="33">
        <f t="shared" si="43"/>
        <v>0</v>
      </c>
      <c r="AK75" s="34">
        <f t="shared" si="32"/>
        <v>0</v>
      </c>
      <c r="AM75" s="3" t="str">
        <f>IFERROR(VLOOKUP(C75,EQ_Cont,9,FALSE),"")</f>
        <v/>
      </c>
    </row>
    <row r="76" spans="1:39" ht="13.2" x14ac:dyDescent="0.25">
      <c r="A76" s="22"/>
      <c r="B76" s="37">
        <v>8</v>
      </c>
      <c r="C76" s="24" t="str">
        <f>IF(ISBLANK([1]DBPCFA!AP18),"",[1]DBPCFA!AP18)</f>
        <v/>
      </c>
      <c r="D76" s="25"/>
      <c r="E76" s="26"/>
      <c r="F76" s="27">
        <f t="shared" ref="F76:AJ76" si="44">SUMIFS(EQ_HAct,Desc_EQ,$C76,Fecha_Inf_EQ,VALUE($AN$1&amp;TEXT(F$11,"00")))</f>
        <v>0</v>
      </c>
      <c r="G76" s="27">
        <f t="shared" si="44"/>
        <v>0</v>
      </c>
      <c r="H76" s="27">
        <f t="shared" si="44"/>
        <v>0</v>
      </c>
      <c r="I76" s="27">
        <f t="shared" si="44"/>
        <v>0</v>
      </c>
      <c r="J76" s="27">
        <f t="shared" si="44"/>
        <v>0</v>
      </c>
      <c r="K76" s="27">
        <f t="shared" si="44"/>
        <v>0</v>
      </c>
      <c r="L76" s="27">
        <f t="shared" si="44"/>
        <v>0</v>
      </c>
      <c r="M76" s="27">
        <f t="shared" si="44"/>
        <v>0</v>
      </c>
      <c r="N76" s="27">
        <f t="shared" si="44"/>
        <v>0</v>
      </c>
      <c r="O76" s="27">
        <f t="shared" si="44"/>
        <v>0</v>
      </c>
      <c r="P76" s="27">
        <f t="shared" si="44"/>
        <v>0</v>
      </c>
      <c r="Q76" s="27">
        <f t="shared" si="44"/>
        <v>0</v>
      </c>
      <c r="R76" s="27">
        <f t="shared" si="44"/>
        <v>0</v>
      </c>
      <c r="S76" s="27">
        <f t="shared" si="44"/>
        <v>0</v>
      </c>
      <c r="T76" s="27">
        <f t="shared" si="44"/>
        <v>0</v>
      </c>
      <c r="U76" s="27">
        <f t="shared" si="44"/>
        <v>0</v>
      </c>
      <c r="V76" s="27">
        <f t="shared" si="44"/>
        <v>0</v>
      </c>
      <c r="W76" s="27">
        <f t="shared" si="44"/>
        <v>0</v>
      </c>
      <c r="X76" s="27">
        <f t="shared" si="44"/>
        <v>0</v>
      </c>
      <c r="Y76" s="27">
        <f t="shared" si="44"/>
        <v>0</v>
      </c>
      <c r="Z76" s="27">
        <f t="shared" si="44"/>
        <v>0</v>
      </c>
      <c r="AA76" s="27">
        <f t="shared" si="44"/>
        <v>0</v>
      </c>
      <c r="AB76" s="27">
        <f t="shared" si="44"/>
        <v>0</v>
      </c>
      <c r="AC76" s="27">
        <f t="shared" si="44"/>
        <v>0</v>
      </c>
      <c r="AD76" s="27">
        <f t="shared" si="44"/>
        <v>0</v>
      </c>
      <c r="AE76" s="27">
        <f t="shared" si="44"/>
        <v>0</v>
      </c>
      <c r="AF76" s="27">
        <f t="shared" si="44"/>
        <v>0</v>
      </c>
      <c r="AG76" s="27">
        <f t="shared" si="44"/>
        <v>0</v>
      </c>
      <c r="AH76" s="27">
        <f t="shared" si="44"/>
        <v>0</v>
      </c>
      <c r="AI76" s="27">
        <f t="shared" si="44"/>
        <v>0</v>
      </c>
      <c r="AJ76" s="27">
        <f t="shared" si="44"/>
        <v>0</v>
      </c>
      <c r="AK76" s="28">
        <f t="shared" si="32"/>
        <v>0</v>
      </c>
    </row>
    <row r="77" spans="1:39" ht="13.2" x14ac:dyDescent="0.25">
      <c r="A77" s="22"/>
      <c r="B77" s="37"/>
      <c r="C77" s="30"/>
      <c r="D77" s="31"/>
      <c r="E77" s="32"/>
      <c r="F77" s="33">
        <f t="shared" ref="F77:AJ77" si="45">SUMIFS(EQ_HInac,Desc_EQ,$C76,Fecha_Inf_EQ,VALUE($AN$1&amp;TEXT(F$11,"00")))</f>
        <v>0</v>
      </c>
      <c r="G77" s="33">
        <f t="shared" si="45"/>
        <v>0</v>
      </c>
      <c r="H77" s="33">
        <f t="shared" si="45"/>
        <v>0</v>
      </c>
      <c r="I77" s="33">
        <f t="shared" si="45"/>
        <v>0</v>
      </c>
      <c r="J77" s="33">
        <f t="shared" si="45"/>
        <v>0</v>
      </c>
      <c r="K77" s="33">
        <f t="shared" si="45"/>
        <v>0</v>
      </c>
      <c r="L77" s="33">
        <f t="shared" si="45"/>
        <v>0</v>
      </c>
      <c r="M77" s="33">
        <f t="shared" si="45"/>
        <v>0</v>
      </c>
      <c r="N77" s="33">
        <f t="shared" si="45"/>
        <v>0</v>
      </c>
      <c r="O77" s="33">
        <f t="shared" si="45"/>
        <v>0</v>
      </c>
      <c r="P77" s="33">
        <f t="shared" si="45"/>
        <v>0</v>
      </c>
      <c r="Q77" s="33">
        <f t="shared" si="45"/>
        <v>0</v>
      </c>
      <c r="R77" s="33">
        <f t="shared" si="45"/>
        <v>0</v>
      </c>
      <c r="S77" s="33">
        <f t="shared" si="45"/>
        <v>0</v>
      </c>
      <c r="T77" s="33">
        <f t="shared" si="45"/>
        <v>0</v>
      </c>
      <c r="U77" s="33">
        <f t="shared" si="45"/>
        <v>0</v>
      </c>
      <c r="V77" s="33">
        <f t="shared" si="45"/>
        <v>0</v>
      </c>
      <c r="W77" s="33">
        <f t="shared" si="45"/>
        <v>0</v>
      </c>
      <c r="X77" s="33">
        <f t="shared" si="45"/>
        <v>0</v>
      </c>
      <c r="Y77" s="33">
        <f t="shared" si="45"/>
        <v>0</v>
      </c>
      <c r="Z77" s="33">
        <f t="shared" si="45"/>
        <v>0</v>
      </c>
      <c r="AA77" s="33">
        <f t="shared" si="45"/>
        <v>0</v>
      </c>
      <c r="AB77" s="33">
        <f t="shared" si="45"/>
        <v>0</v>
      </c>
      <c r="AC77" s="33">
        <f t="shared" si="45"/>
        <v>0</v>
      </c>
      <c r="AD77" s="33">
        <f t="shared" si="45"/>
        <v>0</v>
      </c>
      <c r="AE77" s="33">
        <f t="shared" si="45"/>
        <v>0</v>
      </c>
      <c r="AF77" s="33">
        <f t="shared" si="45"/>
        <v>0</v>
      </c>
      <c r="AG77" s="33">
        <f t="shared" si="45"/>
        <v>0</v>
      </c>
      <c r="AH77" s="33">
        <f t="shared" si="45"/>
        <v>0</v>
      </c>
      <c r="AI77" s="33">
        <f t="shared" si="45"/>
        <v>0</v>
      </c>
      <c r="AJ77" s="33">
        <f t="shared" si="45"/>
        <v>0</v>
      </c>
      <c r="AK77" s="34">
        <f t="shared" si="32"/>
        <v>0</v>
      </c>
      <c r="AM77" s="3" t="str">
        <f>IFERROR(VLOOKUP(C77,EQ_Cont,9,FALSE),"")</f>
        <v/>
      </c>
    </row>
    <row r="78" spans="1:39" ht="13.2" x14ac:dyDescent="0.25">
      <c r="A78" s="22"/>
      <c r="B78" s="37">
        <v>9</v>
      </c>
      <c r="C78" s="24" t="str">
        <f>IF(ISBLANK([1]DBPCFA!AP19),"",[1]DBPCFA!AP19)</f>
        <v/>
      </c>
      <c r="D78" s="25"/>
      <c r="E78" s="26"/>
      <c r="F78" s="27">
        <f t="shared" ref="F78:AJ78" si="46">SUMIFS(EQ_HAct,Desc_EQ,$C78,Fecha_Inf_EQ,VALUE($AN$1&amp;TEXT(F$11,"00")))</f>
        <v>0</v>
      </c>
      <c r="G78" s="27">
        <f t="shared" si="46"/>
        <v>0</v>
      </c>
      <c r="H78" s="27">
        <f t="shared" si="46"/>
        <v>0</v>
      </c>
      <c r="I78" s="27">
        <f t="shared" si="46"/>
        <v>0</v>
      </c>
      <c r="J78" s="27">
        <f t="shared" si="46"/>
        <v>0</v>
      </c>
      <c r="K78" s="27">
        <f t="shared" si="46"/>
        <v>0</v>
      </c>
      <c r="L78" s="27">
        <f t="shared" si="46"/>
        <v>0</v>
      </c>
      <c r="M78" s="27">
        <f t="shared" si="46"/>
        <v>0</v>
      </c>
      <c r="N78" s="27">
        <f t="shared" si="46"/>
        <v>0</v>
      </c>
      <c r="O78" s="27">
        <f t="shared" si="46"/>
        <v>0</v>
      </c>
      <c r="P78" s="27">
        <f t="shared" si="46"/>
        <v>0</v>
      </c>
      <c r="Q78" s="27">
        <f t="shared" si="46"/>
        <v>0</v>
      </c>
      <c r="R78" s="27">
        <f t="shared" si="46"/>
        <v>0</v>
      </c>
      <c r="S78" s="27">
        <f t="shared" si="46"/>
        <v>0</v>
      </c>
      <c r="T78" s="27">
        <f t="shared" si="46"/>
        <v>0</v>
      </c>
      <c r="U78" s="27">
        <f t="shared" si="46"/>
        <v>0</v>
      </c>
      <c r="V78" s="27">
        <f t="shared" si="46"/>
        <v>0</v>
      </c>
      <c r="W78" s="27">
        <f t="shared" si="46"/>
        <v>0</v>
      </c>
      <c r="X78" s="27">
        <f t="shared" si="46"/>
        <v>0</v>
      </c>
      <c r="Y78" s="27">
        <f t="shared" si="46"/>
        <v>0</v>
      </c>
      <c r="Z78" s="27">
        <f t="shared" si="46"/>
        <v>0</v>
      </c>
      <c r="AA78" s="27">
        <f t="shared" si="46"/>
        <v>0</v>
      </c>
      <c r="AB78" s="27">
        <f t="shared" si="46"/>
        <v>0</v>
      </c>
      <c r="AC78" s="27">
        <f t="shared" si="46"/>
        <v>0</v>
      </c>
      <c r="AD78" s="27">
        <f t="shared" si="46"/>
        <v>0</v>
      </c>
      <c r="AE78" s="27">
        <f t="shared" si="46"/>
        <v>0</v>
      </c>
      <c r="AF78" s="27">
        <f t="shared" si="46"/>
        <v>0</v>
      </c>
      <c r="AG78" s="27">
        <f t="shared" si="46"/>
        <v>0</v>
      </c>
      <c r="AH78" s="27">
        <f t="shared" si="46"/>
        <v>0</v>
      </c>
      <c r="AI78" s="27">
        <f t="shared" si="46"/>
        <v>0</v>
      </c>
      <c r="AJ78" s="27">
        <f t="shared" si="46"/>
        <v>0</v>
      </c>
      <c r="AK78" s="28">
        <f t="shared" si="32"/>
        <v>0</v>
      </c>
    </row>
    <row r="79" spans="1:39" ht="13.2" x14ac:dyDescent="0.25">
      <c r="A79" s="22"/>
      <c r="B79" s="37"/>
      <c r="C79" s="30"/>
      <c r="D79" s="31"/>
      <c r="E79" s="32"/>
      <c r="F79" s="33">
        <f t="shared" ref="F79:AJ79" si="47">SUMIFS(EQ_HInac,Desc_EQ,$C78,Fecha_Inf_EQ,VALUE($AN$1&amp;TEXT(F$11,"00")))</f>
        <v>0</v>
      </c>
      <c r="G79" s="33">
        <f t="shared" si="47"/>
        <v>0</v>
      </c>
      <c r="H79" s="33">
        <f t="shared" si="47"/>
        <v>0</v>
      </c>
      <c r="I79" s="33">
        <f t="shared" si="47"/>
        <v>0</v>
      </c>
      <c r="J79" s="33">
        <f t="shared" si="47"/>
        <v>0</v>
      </c>
      <c r="K79" s="33">
        <f t="shared" si="47"/>
        <v>0</v>
      </c>
      <c r="L79" s="33">
        <f t="shared" si="47"/>
        <v>0</v>
      </c>
      <c r="M79" s="33">
        <f t="shared" si="47"/>
        <v>0</v>
      </c>
      <c r="N79" s="33">
        <f t="shared" si="47"/>
        <v>0</v>
      </c>
      <c r="O79" s="33">
        <f t="shared" si="47"/>
        <v>0</v>
      </c>
      <c r="P79" s="33">
        <f t="shared" si="47"/>
        <v>0</v>
      </c>
      <c r="Q79" s="33">
        <f t="shared" si="47"/>
        <v>0</v>
      </c>
      <c r="R79" s="33">
        <f t="shared" si="47"/>
        <v>0</v>
      </c>
      <c r="S79" s="33">
        <f t="shared" si="47"/>
        <v>0</v>
      </c>
      <c r="T79" s="33">
        <f t="shared" si="47"/>
        <v>0</v>
      </c>
      <c r="U79" s="33">
        <f t="shared" si="47"/>
        <v>0</v>
      </c>
      <c r="V79" s="33">
        <f t="shared" si="47"/>
        <v>0</v>
      </c>
      <c r="W79" s="33">
        <f t="shared" si="47"/>
        <v>0</v>
      </c>
      <c r="X79" s="33">
        <f t="shared" si="47"/>
        <v>0</v>
      </c>
      <c r="Y79" s="33">
        <f t="shared" si="47"/>
        <v>0</v>
      </c>
      <c r="Z79" s="33">
        <f t="shared" si="47"/>
        <v>0</v>
      </c>
      <c r="AA79" s="33">
        <f t="shared" si="47"/>
        <v>0</v>
      </c>
      <c r="AB79" s="33">
        <f t="shared" si="47"/>
        <v>0</v>
      </c>
      <c r="AC79" s="33">
        <f t="shared" si="47"/>
        <v>0</v>
      </c>
      <c r="AD79" s="33">
        <f t="shared" si="47"/>
        <v>0</v>
      </c>
      <c r="AE79" s="33">
        <f t="shared" si="47"/>
        <v>0</v>
      </c>
      <c r="AF79" s="33">
        <f t="shared" si="47"/>
        <v>0</v>
      </c>
      <c r="AG79" s="33">
        <f t="shared" si="47"/>
        <v>0</v>
      </c>
      <c r="AH79" s="33">
        <f t="shared" si="47"/>
        <v>0</v>
      </c>
      <c r="AI79" s="33">
        <f t="shared" si="47"/>
        <v>0</v>
      </c>
      <c r="AJ79" s="33">
        <f t="shared" si="47"/>
        <v>0</v>
      </c>
      <c r="AK79" s="34">
        <f t="shared" si="32"/>
        <v>0</v>
      </c>
      <c r="AM79" s="3" t="str">
        <f>IFERROR(VLOOKUP(C79,EQ_Cont,9,FALSE),"")</f>
        <v/>
      </c>
    </row>
    <row r="80" spans="1:39" ht="13.2" x14ac:dyDescent="0.25">
      <c r="A80" s="22"/>
      <c r="B80" s="37">
        <v>10</v>
      </c>
      <c r="C80" s="24" t="str">
        <f>IF(ISBLANK([1]DBPCFA!AP20),"",[1]DBPCFA!AP20)</f>
        <v/>
      </c>
      <c r="D80" s="25"/>
      <c r="E80" s="26"/>
      <c r="F80" s="27">
        <f t="shared" ref="F80:AJ80" si="48">SUMIFS(EQ_HAct,Desc_EQ,$C80,Fecha_Inf_EQ,VALUE($AN$1&amp;TEXT(F$11,"00")))</f>
        <v>0</v>
      </c>
      <c r="G80" s="27">
        <f t="shared" si="48"/>
        <v>0</v>
      </c>
      <c r="H80" s="27">
        <f t="shared" si="48"/>
        <v>0</v>
      </c>
      <c r="I80" s="27">
        <f t="shared" si="48"/>
        <v>0</v>
      </c>
      <c r="J80" s="27">
        <f t="shared" si="48"/>
        <v>0</v>
      </c>
      <c r="K80" s="27">
        <f t="shared" si="48"/>
        <v>0</v>
      </c>
      <c r="L80" s="27">
        <f t="shared" si="48"/>
        <v>0</v>
      </c>
      <c r="M80" s="27">
        <f t="shared" si="48"/>
        <v>0</v>
      </c>
      <c r="N80" s="27">
        <f t="shared" si="48"/>
        <v>0</v>
      </c>
      <c r="O80" s="27">
        <f t="shared" si="48"/>
        <v>0</v>
      </c>
      <c r="P80" s="27">
        <f t="shared" si="48"/>
        <v>0</v>
      </c>
      <c r="Q80" s="27">
        <f t="shared" si="48"/>
        <v>0</v>
      </c>
      <c r="R80" s="27">
        <f t="shared" si="48"/>
        <v>0</v>
      </c>
      <c r="S80" s="27">
        <f t="shared" si="48"/>
        <v>0</v>
      </c>
      <c r="T80" s="27">
        <f t="shared" si="48"/>
        <v>0</v>
      </c>
      <c r="U80" s="27">
        <f t="shared" si="48"/>
        <v>0</v>
      </c>
      <c r="V80" s="27">
        <f t="shared" si="48"/>
        <v>0</v>
      </c>
      <c r="W80" s="27">
        <f t="shared" si="48"/>
        <v>0</v>
      </c>
      <c r="X80" s="27">
        <f t="shared" si="48"/>
        <v>0</v>
      </c>
      <c r="Y80" s="27">
        <f t="shared" si="48"/>
        <v>0</v>
      </c>
      <c r="Z80" s="27">
        <f t="shared" si="48"/>
        <v>0</v>
      </c>
      <c r="AA80" s="27">
        <f t="shared" si="48"/>
        <v>0</v>
      </c>
      <c r="AB80" s="27">
        <f t="shared" si="48"/>
        <v>0</v>
      </c>
      <c r="AC80" s="27">
        <f t="shared" si="48"/>
        <v>0</v>
      </c>
      <c r="AD80" s="27">
        <f t="shared" si="48"/>
        <v>0</v>
      </c>
      <c r="AE80" s="27">
        <f t="shared" si="48"/>
        <v>0</v>
      </c>
      <c r="AF80" s="27">
        <f t="shared" si="48"/>
        <v>0</v>
      </c>
      <c r="AG80" s="27">
        <f t="shared" si="48"/>
        <v>0</v>
      </c>
      <c r="AH80" s="27">
        <f t="shared" si="48"/>
        <v>0</v>
      </c>
      <c r="AI80" s="27">
        <f t="shared" si="48"/>
        <v>0</v>
      </c>
      <c r="AJ80" s="27">
        <f t="shared" si="48"/>
        <v>0</v>
      </c>
      <c r="AK80" s="28">
        <f t="shared" si="32"/>
        <v>0</v>
      </c>
    </row>
    <row r="81" spans="1:39" ht="13.2" x14ac:dyDescent="0.25">
      <c r="A81" s="22"/>
      <c r="B81" s="37"/>
      <c r="C81" s="30"/>
      <c r="D81" s="31"/>
      <c r="E81" s="32"/>
      <c r="F81" s="33">
        <f t="shared" ref="F81:AJ81" si="49">SUMIFS(EQ_HInac,Desc_EQ,$C80,Fecha_Inf_EQ,VALUE($AN$1&amp;TEXT(F$11,"00")))</f>
        <v>0</v>
      </c>
      <c r="G81" s="33">
        <f t="shared" si="49"/>
        <v>0</v>
      </c>
      <c r="H81" s="33">
        <f t="shared" si="49"/>
        <v>0</v>
      </c>
      <c r="I81" s="33">
        <f t="shared" si="49"/>
        <v>0</v>
      </c>
      <c r="J81" s="33">
        <f t="shared" si="49"/>
        <v>0</v>
      </c>
      <c r="K81" s="33">
        <f t="shared" si="49"/>
        <v>0</v>
      </c>
      <c r="L81" s="33">
        <f t="shared" si="49"/>
        <v>0</v>
      </c>
      <c r="M81" s="33">
        <f t="shared" si="49"/>
        <v>0</v>
      </c>
      <c r="N81" s="33">
        <f t="shared" si="49"/>
        <v>0</v>
      </c>
      <c r="O81" s="33">
        <f t="shared" si="49"/>
        <v>0</v>
      </c>
      <c r="P81" s="33">
        <f t="shared" si="49"/>
        <v>0</v>
      </c>
      <c r="Q81" s="33">
        <f t="shared" si="49"/>
        <v>0</v>
      </c>
      <c r="R81" s="33">
        <f t="shared" si="49"/>
        <v>0</v>
      </c>
      <c r="S81" s="33">
        <f t="shared" si="49"/>
        <v>0</v>
      </c>
      <c r="T81" s="33">
        <f t="shared" si="49"/>
        <v>0</v>
      </c>
      <c r="U81" s="33">
        <f t="shared" si="49"/>
        <v>0</v>
      </c>
      <c r="V81" s="33">
        <f t="shared" si="49"/>
        <v>0</v>
      </c>
      <c r="W81" s="33">
        <f t="shared" si="49"/>
        <v>0</v>
      </c>
      <c r="X81" s="33">
        <f t="shared" si="49"/>
        <v>0</v>
      </c>
      <c r="Y81" s="33">
        <f t="shared" si="49"/>
        <v>0</v>
      </c>
      <c r="Z81" s="33">
        <f t="shared" si="49"/>
        <v>0</v>
      </c>
      <c r="AA81" s="33">
        <f t="shared" si="49"/>
        <v>0</v>
      </c>
      <c r="AB81" s="33">
        <f t="shared" si="49"/>
        <v>0</v>
      </c>
      <c r="AC81" s="33">
        <f t="shared" si="49"/>
        <v>0</v>
      </c>
      <c r="AD81" s="33">
        <f t="shared" si="49"/>
        <v>0</v>
      </c>
      <c r="AE81" s="33">
        <f t="shared" si="49"/>
        <v>0</v>
      </c>
      <c r="AF81" s="33">
        <f t="shared" si="49"/>
        <v>0</v>
      </c>
      <c r="AG81" s="33">
        <f t="shared" si="49"/>
        <v>0</v>
      </c>
      <c r="AH81" s="33">
        <f t="shared" si="49"/>
        <v>0</v>
      </c>
      <c r="AI81" s="33">
        <f t="shared" si="49"/>
        <v>0</v>
      </c>
      <c r="AJ81" s="33">
        <f t="shared" si="49"/>
        <v>0</v>
      </c>
      <c r="AK81" s="34">
        <f t="shared" si="32"/>
        <v>0</v>
      </c>
      <c r="AM81" s="3" t="str">
        <f>IFERROR(VLOOKUP(C81,EQ_Cont,9,FALSE),"")</f>
        <v/>
      </c>
    </row>
    <row r="82" spans="1:39" ht="12.75" customHeight="1" x14ac:dyDescent="0.25"/>
    <row r="83" spans="1:39" ht="13.2" x14ac:dyDescent="0.25">
      <c r="B83" s="16" t="s">
        <v>20</v>
      </c>
      <c r="C83" s="38" t="s">
        <v>21</v>
      </c>
      <c r="D83" s="16" t="s">
        <v>22</v>
      </c>
      <c r="E83" s="16" t="s">
        <v>23</v>
      </c>
      <c r="F83" s="17" t="s">
        <v>24</v>
      </c>
      <c r="G83" s="19"/>
      <c r="H83" s="39" t="s">
        <v>25</v>
      </c>
      <c r="I83" s="39"/>
      <c r="J83" s="39"/>
      <c r="K83" s="39" t="s">
        <v>26</v>
      </c>
      <c r="L83" s="39"/>
      <c r="M83" s="39"/>
      <c r="N83" s="39" t="s">
        <v>27</v>
      </c>
      <c r="O83" s="39"/>
      <c r="P83" s="39"/>
      <c r="Q83" s="17" t="s">
        <v>28</v>
      </c>
      <c r="R83" s="18"/>
      <c r="S83" s="19"/>
      <c r="T83" s="39" t="s">
        <v>29</v>
      </c>
      <c r="U83" s="39"/>
      <c r="V83" s="39"/>
      <c r="W83" s="17" t="s">
        <v>30</v>
      </c>
      <c r="X83" s="18"/>
      <c r="Y83" s="19"/>
      <c r="Z83" s="17" t="s">
        <v>31</v>
      </c>
      <c r="AA83" s="18"/>
      <c r="AB83" s="19"/>
      <c r="AC83" s="17" t="s">
        <v>32</v>
      </c>
      <c r="AD83" s="18"/>
      <c r="AE83" s="19"/>
      <c r="AF83" s="17" t="s">
        <v>33</v>
      </c>
      <c r="AG83" s="18"/>
      <c r="AH83" s="19"/>
      <c r="AI83" s="17" t="s">
        <v>34</v>
      </c>
      <c r="AJ83" s="18"/>
      <c r="AK83" s="19"/>
    </row>
    <row r="84" spans="1:39" ht="13.2" x14ac:dyDescent="0.25">
      <c r="B84" s="40"/>
      <c r="C84" s="41" t="s">
        <v>35</v>
      </c>
      <c r="D84" s="41" t="s">
        <v>36</v>
      </c>
      <c r="E84" s="41" t="s">
        <v>37</v>
      </c>
      <c r="F84" s="42" t="s">
        <v>37</v>
      </c>
      <c r="G84" s="43"/>
      <c r="H84" s="44" t="s">
        <v>38</v>
      </c>
      <c r="I84" s="45"/>
      <c r="J84" s="46"/>
      <c r="K84" s="44" t="s">
        <v>39</v>
      </c>
      <c r="L84" s="45"/>
      <c r="M84" s="46"/>
      <c r="N84" s="44" t="s">
        <v>40</v>
      </c>
      <c r="O84" s="45"/>
      <c r="P84" s="46"/>
      <c r="Q84" s="42" t="s">
        <v>39</v>
      </c>
      <c r="R84" s="47"/>
      <c r="S84" s="43"/>
      <c r="T84" s="42" t="s">
        <v>40</v>
      </c>
      <c r="U84" s="47"/>
      <c r="V84" s="43"/>
      <c r="W84" s="42" t="s">
        <v>39</v>
      </c>
      <c r="X84" s="47"/>
      <c r="Y84" s="43"/>
      <c r="Z84" s="42" t="s">
        <v>41</v>
      </c>
      <c r="AA84" s="47"/>
      <c r="AB84" s="43"/>
      <c r="AC84" s="42" t="s">
        <v>42</v>
      </c>
      <c r="AD84" s="47"/>
      <c r="AE84" s="43"/>
      <c r="AF84" s="42" t="s">
        <v>40</v>
      </c>
      <c r="AG84" s="47"/>
      <c r="AH84" s="43"/>
      <c r="AI84" s="42" t="s">
        <v>43</v>
      </c>
      <c r="AJ84" s="47"/>
      <c r="AK84" s="43"/>
    </row>
    <row r="85" spans="1:39" ht="13.2" x14ac:dyDescent="0.25">
      <c r="B85" s="20"/>
      <c r="C85" s="48" t="s">
        <v>44</v>
      </c>
      <c r="D85" s="48" t="s">
        <v>45</v>
      </c>
      <c r="E85" s="48" t="s">
        <v>46</v>
      </c>
      <c r="F85" s="49" t="s">
        <v>47</v>
      </c>
      <c r="G85" s="50"/>
      <c r="H85" s="44" t="s">
        <v>48</v>
      </c>
      <c r="I85" s="45"/>
      <c r="J85" s="46"/>
      <c r="K85" s="44" t="s">
        <v>49</v>
      </c>
      <c r="L85" s="45"/>
      <c r="M85" s="46"/>
      <c r="N85" s="44" t="s">
        <v>50</v>
      </c>
      <c r="O85" s="45"/>
      <c r="P85" s="46"/>
      <c r="Q85" s="49" t="s">
        <v>51</v>
      </c>
      <c r="R85" s="51"/>
      <c r="S85" s="50"/>
      <c r="T85" s="49" t="s">
        <v>51</v>
      </c>
      <c r="U85" s="51"/>
      <c r="V85" s="50"/>
      <c r="W85" s="49" t="s">
        <v>52</v>
      </c>
      <c r="X85" s="51"/>
      <c r="Y85" s="50"/>
      <c r="Z85" s="49" t="s">
        <v>53</v>
      </c>
      <c r="AA85" s="51"/>
      <c r="AB85" s="50"/>
      <c r="AC85" s="49" t="s">
        <v>54</v>
      </c>
      <c r="AD85" s="51"/>
      <c r="AE85" s="50"/>
      <c r="AF85" s="49" t="s">
        <v>55</v>
      </c>
      <c r="AG85" s="51"/>
      <c r="AH85" s="50"/>
      <c r="AI85" s="49" t="s">
        <v>56</v>
      </c>
      <c r="AJ85" s="51"/>
      <c r="AK85" s="50"/>
    </row>
    <row r="86" spans="1:39" ht="13.2" x14ac:dyDescent="0.25">
      <c r="B86" s="16"/>
      <c r="C86" s="16" t="s">
        <v>57</v>
      </c>
      <c r="D86" s="52" t="s">
        <v>58</v>
      </c>
      <c r="E86" s="16" t="s">
        <v>57</v>
      </c>
      <c r="F86" s="17" t="s">
        <v>57</v>
      </c>
      <c r="G86" s="19"/>
      <c r="H86" s="53" t="s">
        <v>59</v>
      </c>
      <c r="I86" s="53"/>
      <c r="J86" s="53"/>
      <c r="K86" s="39" t="s">
        <v>57</v>
      </c>
      <c r="L86" s="39"/>
      <c r="M86" s="39"/>
      <c r="N86" s="53" t="s">
        <v>60</v>
      </c>
      <c r="O86" s="53"/>
      <c r="P86" s="53"/>
      <c r="Q86" s="54" t="s">
        <v>61</v>
      </c>
      <c r="R86" s="54"/>
      <c r="S86" s="55"/>
      <c r="T86" s="56" t="s">
        <v>62</v>
      </c>
      <c r="U86" s="54"/>
      <c r="V86" s="55"/>
      <c r="W86" s="57" t="s">
        <v>57</v>
      </c>
      <c r="X86" s="58"/>
      <c r="Y86" s="59"/>
      <c r="Z86" s="57" t="s">
        <v>57</v>
      </c>
      <c r="AA86" s="58"/>
      <c r="AB86" s="59"/>
      <c r="AC86" s="60" t="s">
        <v>63</v>
      </c>
      <c r="AD86" s="61"/>
      <c r="AE86" s="62"/>
      <c r="AF86" s="60" t="s">
        <v>64</v>
      </c>
      <c r="AG86" s="61"/>
      <c r="AH86" s="62"/>
      <c r="AI86" s="60" t="s">
        <v>65</v>
      </c>
      <c r="AJ86" s="61"/>
      <c r="AK86" s="62"/>
    </row>
    <row r="87" spans="1:39" ht="13.2" x14ac:dyDescent="0.25">
      <c r="B87" s="16">
        <v>1</v>
      </c>
      <c r="C87" s="63">
        <f>IFERROR(VLOOKUP($C62,EQ_Cont,9,FALSE),"")</f>
        <v>0</v>
      </c>
      <c r="D87" s="64">
        <f>C87/176</f>
        <v>0</v>
      </c>
      <c r="E87" s="64">
        <f>IF(C87&lt;&gt;0,1,0)</f>
        <v>0</v>
      </c>
      <c r="F87" s="65">
        <f>IFERROR(VLOOKUP($C62,EQ_Cont,10,FALSE),"")</f>
        <v>0</v>
      </c>
      <c r="G87" s="66"/>
      <c r="H87" s="67">
        <f>D87*E87*F87</f>
        <v>0</v>
      </c>
      <c r="I87" s="67"/>
      <c r="J87" s="67"/>
      <c r="K87" s="68">
        <f>AK63</f>
        <v>0</v>
      </c>
      <c r="L87" s="39"/>
      <c r="M87" s="39"/>
      <c r="N87" s="67">
        <f>IF('[1]Información Force Account'!$I$1,K87*H87,K87*H87/2)</f>
        <v>0</v>
      </c>
      <c r="O87" s="67"/>
      <c r="P87" s="67"/>
      <c r="Q87" s="69">
        <f>K87+W87</f>
        <v>0</v>
      </c>
      <c r="R87" s="68"/>
      <c r="S87" s="68"/>
      <c r="T87" s="67">
        <f>H87*Q87</f>
        <v>0</v>
      </c>
      <c r="U87" s="67"/>
      <c r="V87" s="67"/>
      <c r="W87" s="70">
        <f>AK62</f>
        <v>0</v>
      </c>
      <c r="X87" s="18"/>
      <c r="Y87" s="19"/>
      <c r="Z87" s="71">
        <f>IFERROR(VLOOKUP($C62,EQ_Cont,11,FALSE),"")</f>
        <v>0</v>
      </c>
      <c r="AA87" s="72"/>
      <c r="AB87" s="73"/>
      <c r="AC87" s="74">
        <f>H87+Z87</f>
        <v>0</v>
      </c>
      <c r="AD87" s="75"/>
      <c r="AE87" s="76"/>
      <c r="AF87" s="74">
        <f>W87*AC87</f>
        <v>0</v>
      </c>
      <c r="AG87" s="75"/>
      <c r="AH87" s="76"/>
      <c r="AI87" s="74">
        <f>N87+AF87</f>
        <v>0</v>
      </c>
      <c r="AJ87" s="75"/>
      <c r="AK87" s="76"/>
    </row>
    <row r="88" spans="1:39" ht="13.2" x14ac:dyDescent="0.25">
      <c r="B88" s="16">
        <v>2</v>
      </c>
      <c r="C88" s="63">
        <f>IFERROR(VLOOKUP($C64,EQ_Cont,9,FALSE),"")</f>
        <v>0</v>
      </c>
      <c r="D88" s="64">
        <f t="shared" ref="D88:D96" si="50">C88/176</f>
        <v>0</v>
      </c>
      <c r="E88" s="64">
        <f t="shared" ref="E88:E96" si="51">IF(C88&lt;&gt;0,1,0)</f>
        <v>0</v>
      </c>
      <c r="F88" s="65">
        <f>IFERROR(VLOOKUP($C64,EQ_Cont,10,FALSE),"")</f>
        <v>0</v>
      </c>
      <c r="G88" s="66"/>
      <c r="H88" s="67">
        <f t="shared" ref="H88:H96" si="52">D88*E88*F88</f>
        <v>0</v>
      </c>
      <c r="I88" s="67"/>
      <c r="J88" s="67"/>
      <c r="K88" s="68">
        <f>AK65</f>
        <v>0</v>
      </c>
      <c r="L88" s="39"/>
      <c r="M88" s="39"/>
      <c r="N88" s="67">
        <f>IF('[1]Información Force Account'!$I$1,K88*H88,K88*H88/2)</f>
        <v>0</v>
      </c>
      <c r="O88" s="67"/>
      <c r="P88" s="67"/>
      <c r="Q88" s="69">
        <f t="shared" ref="Q88:Q96" si="53">K88+W88</f>
        <v>0</v>
      </c>
      <c r="R88" s="68"/>
      <c r="S88" s="68"/>
      <c r="T88" s="67">
        <f t="shared" ref="T88:T96" si="54">H88*Q88</f>
        <v>0</v>
      </c>
      <c r="U88" s="67"/>
      <c r="V88" s="67"/>
      <c r="W88" s="70">
        <f>AK64</f>
        <v>0</v>
      </c>
      <c r="X88" s="18"/>
      <c r="Y88" s="19"/>
      <c r="Z88" s="71">
        <f>IFERROR(VLOOKUP($C64,EQ_Cont,11,FALSE),"")</f>
        <v>0</v>
      </c>
      <c r="AA88" s="72">
        <v>0</v>
      </c>
      <c r="AB88" s="73">
        <v>0</v>
      </c>
      <c r="AC88" s="74">
        <f t="shared" ref="AC88:AC96" si="55">H88+Z88</f>
        <v>0</v>
      </c>
      <c r="AD88" s="75"/>
      <c r="AE88" s="76"/>
      <c r="AF88" s="74">
        <f t="shared" ref="AF88:AF96" si="56">W88*AC88</f>
        <v>0</v>
      </c>
      <c r="AG88" s="75"/>
      <c r="AH88" s="76"/>
      <c r="AI88" s="74">
        <f t="shared" ref="AI88:AI96" si="57">N88+AF88</f>
        <v>0</v>
      </c>
      <c r="AJ88" s="75"/>
      <c r="AK88" s="76"/>
    </row>
    <row r="89" spans="1:39" ht="13.2" x14ac:dyDescent="0.25">
      <c r="B89" s="16">
        <v>3</v>
      </c>
      <c r="C89" s="63">
        <f>IFERROR(VLOOKUP($C66,EQ_Cont,9,FALSE),"")</f>
        <v>0</v>
      </c>
      <c r="D89" s="64">
        <f t="shared" si="50"/>
        <v>0</v>
      </c>
      <c r="E89" s="64">
        <f t="shared" si="51"/>
        <v>0</v>
      </c>
      <c r="F89" s="65">
        <f>IFERROR(VLOOKUP($C66,EQ_Cont,10,FALSE),"")</f>
        <v>0</v>
      </c>
      <c r="G89" s="66"/>
      <c r="H89" s="67">
        <f t="shared" si="52"/>
        <v>0</v>
      </c>
      <c r="I89" s="67"/>
      <c r="J89" s="67"/>
      <c r="K89" s="68">
        <f>AK67</f>
        <v>0</v>
      </c>
      <c r="L89" s="39"/>
      <c r="M89" s="39"/>
      <c r="N89" s="67">
        <f>IF('[1]Información Force Account'!$I$1,K89*H89,K89*H89/2)</f>
        <v>0</v>
      </c>
      <c r="O89" s="67"/>
      <c r="P89" s="67"/>
      <c r="Q89" s="69">
        <f t="shared" si="53"/>
        <v>0</v>
      </c>
      <c r="R89" s="68"/>
      <c r="S89" s="68"/>
      <c r="T89" s="67">
        <f t="shared" si="54"/>
        <v>0</v>
      </c>
      <c r="U89" s="67"/>
      <c r="V89" s="67"/>
      <c r="W89" s="70">
        <f>AK66</f>
        <v>0</v>
      </c>
      <c r="X89" s="18"/>
      <c r="Y89" s="19"/>
      <c r="Z89" s="71">
        <f>IFERROR(VLOOKUP($C66,EQ_Cont,11,FALSE),"")</f>
        <v>0</v>
      </c>
      <c r="AA89" s="72">
        <v>0</v>
      </c>
      <c r="AB89" s="73">
        <v>0</v>
      </c>
      <c r="AC89" s="74">
        <f t="shared" si="55"/>
        <v>0</v>
      </c>
      <c r="AD89" s="75"/>
      <c r="AE89" s="76"/>
      <c r="AF89" s="74">
        <f t="shared" si="56"/>
        <v>0</v>
      </c>
      <c r="AG89" s="75"/>
      <c r="AH89" s="76"/>
      <c r="AI89" s="74">
        <f t="shared" si="57"/>
        <v>0</v>
      </c>
      <c r="AJ89" s="75"/>
      <c r="AK89" s="76"/>
    </row>
    <row r="90" spans="1:39" ht="13.2" x14ac:dyDescent="0.25">
      <c r="B90" s="16">
        <v>4</v>
      </c>
      <c r="C90" s="63">
        <f>IFERROR(VLOOKUP($C68,EQ_Cont,9,FALSE),"")</f>
        <v>0</v>
      </c>
      <c r="D90" s="64">
        <f t="shared" si="50"/>
        <v>0</v>
      </c>
      <c r="E90" s="64">
        <f t="shared" si="51"/>
        <v>0</v>
      </c>
      <c r="F90" s="65">
        <f>IFERROR(VLOOKUP($C68,EQ_Cont,10,FALSE),"")</f>
        <v>0</v>
      </c>
      <c r="G90" s="66"/>
      <c r="H90" s="67">
        <f t="shared" si="52"/>
        <v>0</v>
      </c>
      <c r="I90" s="67"/>
      <c r="J90" s="67"/>
      <c r="K90" s="68">
        <f>AK69</f>
        <v>0</v>
      </c>
      <c r="L90" s="39"/>
      <c r="M90" s="39"/>
      <c r="N90" s="67">
        <f>IF('[1]Información Force Account'!$I$1,K90*H90,K90*H90/2)</f>
        <v>0</v>
      </c>
      <c r="O90" s="67"/>
      <c r="P90" s="67"/>
      <c r="Q90" s="69">
        <f t="shared" si="53"/>
        <v>0</v>
      </c>
      <c r="R90" s="68"/>
      <c r="S90" s="68"/>
      <c r="T90" s="67">
        <f t="shared" si="54"/>
        <v>0</v>
      </c>
      <c r="U90" s="67"/>
      <c r="V90" s="67"/>
      <c r="W90" s="70">
        <f>AK68</f>
        <v>0</v>
      </c>
      <c r="X90" s="18"/>
      <c r="Y90" s="19"/>
      <c r="Z90" s="71">
        <f>IFERROR(VLOOKUP($C68,EQ_Cont,11,FALSE),"")</f>
        <v>0</v>
      </c>
      <c r="AA90" s="72">
        <v>0</v>
      </c>
      <c r="AB90" s="73">
        <v>0</v>
      </c>
      <c r="AC90" s="74">
        <f t="shared" si="55"/>
        <v>0</v>
      </c>
      <c r="AD90" s="75"/>
      <c r="AE90" s="76"/>
      <c r="AF90" s="74">
        <f t="shared" si="56"/>
        <v>0</v>
      </c>
      <c r="AG90" s="75"/>
      <c r="AH90" s="76"/>
      <c r="AI90" s="74">
        <f t="shared" si="57"/>
        <v>0</v>
      </c>
      <c r="AJ90" s="75"/>
      <c r="AK90" s="76"/>
    </row>
    <row r="91" spans="1:39" ht="13.2" x14ac:dyDescent="0.25">
      <c r="B91" s="16">
        <v>5</v>
      </c>
      <c r="C91" s="63">
        <f>IFERROR(VLOOKUP($C70,EQ_Cont,9,FALSE),"")</f>
        <v>0</v>
      </c>
      <c r="D91" s="64">
        <f t="shared" si="50"/>
        <v>0</v>
      </c>
      <c r="E91" s="64">
        <f t="shared" si="51"/>
        <v>0</v>
      </c>
      <c r="F91" s="65">
        <f>IFERROR(VLOOKUP($C70,EQ_Cont,10,FALSE),"")</f>
        <v>0</v>
      </c>
      <c r="G91" s="66"/>
      <c r="H91" s="67">
        <f t="shared" si="52"/>
        <v>0</v>
      </c>
      <c r="I91" s="67"/>
      <c r="J91" s="67"/>
      <c r="K91" s="68">
        <f>AK71</f>
        <v>0</v>
      </c>
      <c r="L91" s="39"/>
      <c r="M91" s="39"/>
      <c r="N91" s="67">
        <f>IF('[1]Información Force Account'!$I$1,K91*H91,K91*H91/2)</f>
        <v>0</v>
      </c>
      <c r="O91" s="67"/>
      <c r="P91" s="67"/>
      <c r="Q91" s="69">
        <f t="shared" si="53"/>
        <v>0</v>
      </c>
      <c r="R91" s="68"/>
      <c r="S91" s="68"/>
      <c r="T91" s="67">
        <f t="shared" si="54"/>
        <v>0</v>
      </c>
      <c r="U91" s="67"/>
      <c r="V91" s="67"/>
      <c r="W91" s="70">
        <f>AK70</f>
        <v>0</v>
      </c>
      <c r="X91" s="18"/>
      <c r="Y91" s="19"/>
      <c r="Z91" s="71">
        <f>IFERROR(VLOOKUP($C70,EQ_Cont,11,FALSE),"")</f>
        <v>0</v>
      </c>
      <c r="AA91" s="72">
        <v>0</v>
      </c>
      <c r="AB91" s="73">
        <v>0</v>
      </c>
      <c r="AC91" s="74">
        <f t="shared" si="55"/>
        <v>0</v>
      </c>
      <c r="AD91" s="75"/>
      <c r="AE91" s="76"/>
      <c r="AF91" s="74">
        <f t="shared" si="56"/>
        <v>0</v>
      </c>
      <c r="AG91" s="75"/>
      <c r="AH91" s="76"/>
      <c r="AI91" s="74">
        <f t="shared" si="57"/>
        <v>0</v>
      </c>
      <c r="AJ91" s="75"/>
      <c r="AK91" s="76"/>
    </row>
    <row r="92" spans="1:39" ht="13.2" x14ac:dyDescent="0.25">
      <c r="B92" s="16">
        <v>6</v>
      </c>
      <c r="C92" s="63">
        <f>IFERROR(VLOOKUP($C72,EQ_Cont,9,FALSE),"")</f>
        <v>0</v>
      </c>
      <c r="D92" s="64">
        <f t="shared" si="50"/>
        <v>0</v>
      </c>
      <c r="E92" s="64">
        <f t="shared" si="51"/>
        <v>0</v>
      </c>
      <c r="F92" s="65">
        <f>IFERROR(VLOOKUP($C72,EQ_Cont,10,FALSE),"")</f>
        <v>0</v>
      </c>
      <c r="G92" s="66"/>
      <c r="H92" s="67">
        <f t="shared" si="52"/>
        <v>0</v>
      </c>
      <c r="I92" s="67"/>
      <c r="J92" s="67"/>
      <c r="K92" s="68">
        <f>AK73</f>
        <v>0</v>
      </c>
      <c r="L92" s="39"/>
      <c r="M92" s="39"/>
      <c r="N92" s="67">
        <f>IF('[1]Información Force Account'!$I$1,K92*H92,K92*H92/2)</f>
        <v>0</v>
      </c>
      <c r="O92" s="67"/>
      <c r="P92" s="67"/>
      <c r="Q92" s="69">
        <f t="shared" si="53"/>
        <v>0</v>
      </c>
      <c r="R92" s="68"/>
      <c r="S92" s="68"/>
      <c r="T92" s="67">
        <f t="shared" si="54"/>
        <v>0</v>
      </c>
      <c r="U92" s="67"/>
      <c r="V92" s="67"/>
      <c r="W92" s="70">
        <f>AK72</f>
        <v>0</v>
      </c>
      <c r="X92" s="18"/>
      <c r="Y92" s="19"/>
      <c r="Z92" s="71">
        <f>IFERROR(VLOOKUP($C72,EQ_Cont,11,FALSE),"")</f>
        <v>0</v>
      </c>
      <c r="AA92" s="72">
        <v>0</v>
      </c>
      <c r="AB92" s="73">
        <v>0</v>
      </c>
      <c r="AC92" s="74">
        <f t="shared" si="55"/>
        <v>0</v>
      </c>
      <c r="AD92" s="75"/>
      <c r="AE92" s="76"/>
      <c r="AF92" s="74">
        <f t="shared" si="56"/>
        <v>0</v>
      </c>
      <c r="AG92" s="75"/>
      <c r="AH92" s="76"/>
      <c r="AI92" s="74">
        <f t="shared" si="57"/>
        <v>0</v>
      </c>
      <c r="AJ92" s="75"/>
      <c r="AK92" s="76"/>
    </row>
    <row r="93" spans="1:39" ht="13.2" x14ac:dyDescent="0.25">
      <c r="B93" s="16">
        <v>7</v>
      </c>
      <c r="C93" s="63">
        <f>IFERROR(VLOOKUP($C74,EQ_Cont,9,FALSE),"")</f>
        <v>0</v>
      </c>
      <c r="D93" s="64">
        <f t="shared" si="50"/>
        <v>0</v>
      </c>
      <c r="E93" s="64">
        <f t="shared" si="51"/>
        <v>0</v>
      </c>
      <c r="F93" s="65">
        <f>IFERROR(VLOOKUP($C74,EQ_Cont,10,FALSE),"")</f>
        <v>0</v>
      </c>
      <c r="G93" s="66"/>
      <c r="H93" s="67">
        <f t="shared" si="52"/>
        <v>0</v>
      </c>
      <c r="I93" s="67"/>
      <c r="J93" s="67"/>
      <c r="K93" s="68">
        <f>AK75</f>
        <v>0</v>
      </c>
      <c r="L93" s="39"/>
      <c r="M93" s="39"/>
      <c r="N93" s="67">
        <f>IF('[1]Información Force Account'!$I$1,K93*H93,K93*H93/2)</f>
        <v>0</v>
      </c>
      <c r="O93" s="67"/>
      <c r="P93" s="67"/>
      <c r="Q93" s="69">
        <f t="shared" si="53"/>
        <v>0</v>
      </c>
      <c r="R93" s="68"/>
      <c r="S93" s="68"/>
      <c r="T93" s="67">
        <f t="shared" si="54"/>
        <v>0</v>
      </c>
      <c r="U93" s="67"/>
      <c r="V93" s="67"/>
      <c r="W93" s="70">
        <f>AK74</f>
        <v>0</v>
      </c>
      <c r="X93" s="18"/>
      <c r="Y93" s="19"/>
      <c r="Z93" s="71">
        <f>IFERROR(VLOOKUP($C74,EQ_Cont,11,FALSE),"")</f>
        <v>0</v>
      </c>
      <c r="AA93" s="72">
        <v>0</v>
      </c>
      <c r="AB93" s="73">
        <v>0</v>
      </c>
      <c r="AC93" s="74">
        <f t="shared" si="55"/>
        <v>0</v>
      </c>
      <c r="AD93" s="75"/>
      <c r="AE93" s="76"/>
      <c r="AF93" s="74">
        <f t="shared" si="56"/>
        <v>0</v>
      </c>
      <c r="AG93" s="75"/>
      <c r="AH93" s="76"/>
      <c r="AI93" s="74">
        <f t="shared" si="57"/>
        <v>0</v>
      </c>
      <c r="AJ93" s="75"/>
      <c r="AK93" s="76"/>
    </row>
    <row r="94" spans="1:39" ht="13.2" x14ac:dyDescent="0.25">
      <c r="B94" s="16">
        <v>8</v>
      </c>
      <c r="C94" s="63">
        <f>IFERROR(VLOOKUP($C76,EQ_Cont,9,FALSE),"")</f>
        <v>0</v>
      </c>
      <c r="D94" s="64">
        <f t="shared" si="50"/>
        <v>0</v>
      </c>
      <c r="E94" s="64">
        <f t="shared" si="51"/>
        <v>0</v>
      </c>
      <c r="F94" s="65">
        <f>IFERROR(VLOOKUP($C76,EQ_Cont,10,FALSE),"")</f>
        <v>0</v>
      </c>
      <c r="G94" s="66"/>
      <c r="H94" s="67">
        <f t="shared" si="52"/>
        <v>0</v>
      </c>
      <c r="I94" s="67"/>
      <c r="J94" s="67"/>
      <c r="K94" s="68">
        <f>AK77</f>
        <v>0</v>
      </c>
      <c r="L94" s="39"/>
      <c r="M94" s="39"/>
      <c r="N94" s="67">
        <f>IF('[1]Información Force Account'!$I$1,K94*H94,K94*H94/2)</f>
        <v>0</v>
      </c>
      <c r="O94" s="67"/>
      <c r="P94" s="67"/>
      <c r="Q94" s="69">
        <f t="shared" si="53"/>
        <v>0</v>
      </c>
      <c r="R94" s="68"/>
      <c r="S94" s="68"/>
      <c r="T94" s="67">
        <f t="shared" si="54"/>
        <v>0</v>
      </c>
      <c r="U94" s="67"/>
      <c r="V94" s="67"/>
      <c r="W94" s="70">
        <f>AK76</f>
        <v>0</v>
      </c>
      <c r="X94" s="18"/>
      <c r="Y94" s="19"/>
      <c r="Z94" s="71">
        <f>IFERROR(VLOOKUP($C76,EQ_Cont,11,FALSE),"")</f>
        <v>0</v>
      </c>
      <c r="AA94" s="72">
        <v>0</v>
      </c>
      <c r="AB94" s="73">
        <v>0</v>
      </c>
      <c r="AC94" s="74">
        <f t="shared" si="55"/>
        <v>0</v>
      </c>
      <c r="AD94" s="75"/>
      <c r="AE94" s="76"/>
      <c r="AF94" s="74">
        <f t="shared" si="56"/>
        <v>0</v>
      </c>
      <c r="AG94" s="75"/>
      <c r="AH94" s="76"/>
      <c r="AI94" s="74">
        <f t="shared" si="57"/>
        <v>0</v>
      </c>
      <c r="AJ94" s="75"/>
      <c r="AK94" s="76"/>
    </row>
    <row r="95" spans="1:39" ht="13.2" x14ac:dyDescent="0.25">
      <c r="B95" s="16">
        <v>9</v>
      </c>
      <c r="C95" s="63">
        <f>IFERROR(VLOOKUP($C78,EQ_Cont,9,FALSE),"")</f>
        <v>0</v>
      </c>
      <c r="D95" s="64">
        <f t="shared" si="50"/>
        <v>0</v>
      </c>
      <c r="E95" s="64">
        <f t="shared" si="51"/>
        <v>0</v>
      </c>
      <c r="F95" s="65">
        <f>IFERROR(VLOOKUP($C78,EQ_Cont,10,FALSE),"")</f>
        <v>0</v>
      </c>
      <c r="G95" s="66"/>
      <c r="H95" s="67">
        <f t="shared" si="52"/>
        <v>0</v>
      </c>
      <c r="I95" s="67"/>
      <c r="J95" s="67"/>
      <c r="K95" s="68">
        <f>AK79</f>
        <v>0</v>
      </c>
      <c r="L95" s="39"/>
      <c r="M95" s="39"/>
      <c r="N95" s="67">
        <f>IF('[1]Información Force Account'!$I$1,K95*H95,K95*H95/2)</f>
        <v>0</v>
      </c>
      <c r="O95" s="67"/>
      <c r="P95" s="67"/>
      <c r="Q95" s="69">
        <f t="shared" si="53"/>
        <v>0</v>
      </c>
      <c r="R95" s="68"/>
      <c r="S95" s="68"/>
      <c r="T95" s="67">
        <f t="shared" si="54"/>
        <v>0</v>
      </c>
      <c r="U95" s="67"/>
      <c r="V95" s="67"/>
      <c r="W95" s="70">
        <f>AK78</f>
        <v>0</v>
      </c>
      <c r="X95" s="18"/>
      <c r="Y95" s="19"/>
      <c r="Z95" s="71">
        <f>IFERROR(VLOOKUP($C78,EQ_Cont,11,FALSE),"")</f>
        <v>0</v>
      </c>
      <c r="AA95" s="72">
        <v>0</v>
      </c>
      <c r="AB95" s="73">
        <v>0</v>
      </c>
      <c r="AC95" s="74">
        <f t="shared" si="55"/>
        <v>0</v>
      </c>
      <c r="AD95" s="75"/>
      <c r="AE95" s="76"/>
      <c r="AF95" s="74">
        <f t="shared" si="56"/>
        <v>0</v>
      </c>
      <c r="AG95" s="75"/>
      <c r="AH95" s="76"/>
      <c r="AI95" s="74">
        <f t="shared" si="57"/>
        <v>0</v>
      </c>
      <c r="AJ95" s="75"/>
      <c r="AK95" s="76"/>
    </row>
    <row r="96" spans="1:39" ht="13.2" x14ac:dyDescent="0.25">
      <c r="B96" s="16">
        <v>10</v>
      </c>
      <c r="C96" s="63">
        <f>IFERROR(VLOOKUP($C80,EQ_Cont,9,FALSE),"")</f>
        <v>0</v>
      </c>
      <c r="D96" s="64">
        <f t="shared" si="50"/>
        <v>0</v>
      </c>
      <c r="E96" s="64">
        <f t="shared" si="51"/>
        <v>0</v>
      </c>
      <c r="F96" s="65">
        <f>IFERROR(VLOOKUP($C80,EQ_Cont,10,FALSE),"")</f>
        <v>0</v>
      </c>
      <c r="G96" s="66"/>
      <c r="H96" s="67">
        <f t="shared" si="52"/>
        <v>0</v>
      </c>
      <c r="I96" s="67"/>
      <c r="J96" s="67"/>
      <c r="K96" s="68">
        <f>AK81</f>
        <v>0</v>
      </c>
      <c r="L96" s="39"/>
      <c r="M96" s="39"/>
      <c r="N96" s="67">
        <f>IF('[1]Información Force Account'!$I$1,K96*H96,K96*H96/2)</f>
        <v>0</v>
      </c>
      <c r="O96" s="67"/>
      <c r="P96" s="67"/>
      <c r="Q96" s="69">
        <f t="shared" si="53"/>
        <v>0</v>
      </c>
      <c r="R96" s="68"/>
      <c r="S96" s="68"/>
      <c r="T96" s="67">
        <f t="shared" si="54"/>
        <v>0</v>
      </c>
      <c r="U96" s="67"/>
      <c r="V96" s="67"/>
      <c r="W96" s="70">
        <f>AK80</f>
        <v>0</v>
      </c>
      <c r="X96" s="18"/>
      <c r="Y96" s="19"/>
      <c r="Z96" s="71">
        <f>IFERROR(VLOOKUP($C80,EQ_Cont,9,FALSE),"")</f>
        <v>0</v>
      </c>
      <c r="AA96" s="72">
        <v>0</v>
      </c>
      <c r="AB96" s="73">
        <v>0</v>
      </c>
      <c r="AC96" s="74">
        <f t="shared" si="55"/>
        <v>0</v>
      </c>
      <c r="AD96" s="75"/>
      <c r="AE96" s="76"/>
      <c r="AF96" s="74">
        <f t="shared" si="56"/>
        <v>0</v>
      </c>
      <c r="AG96" s="75"/>
      <c r="AH96" s="76"/>
      <c r="AI96" s="74">
        <f t="shared" si="57"/>
        <v>0</v>
      </c>
      <c r="AJ96" s="75"/>
      <c r="AK96" s="76"/>
    </row>
    <row r="97" spans="1:40" ht="13.2" x14ac:dyDescent="0.25">
      <c r="F97" s="77"/>
      <c r="I97" s="78"/>
      <c r="M97" s="79"/>
      <c r="N97" s="67">
        <f>SUM(N87:P96)</f>
        <v>0</v>
      </c>
      <c r="O97" s="67"/>
      <c r="P97" s="67"/>
      <c r="R97" s="78"/>
      <c r="T97" s="74">
        <f>SUM(T87:V96)</f>
        <v>0</v>
      </c>
      <c r="U97" s="75"/>
      <c r="V97" s="76"/>
      <c r="W97" s="1"/>
      <c r="X97" s="1"/>
      <c r="Y97" s="1"/>
      <c r="Z97" s="1"/>
      <c r="AA97" s="1"/>
      <c r="AB97" s="1"/>
      <c r="AC97" s="1"/>
      <c r="AD97" s="1"/>
      <c r="AE97" s="1"/>
      <c r="AF97" s="67">
        <f>SUM(AF87:AH96)</f>
        <v>0</v>
      </c>
      <c r="AG97" s="67"/>
      <c r="AH97" s="67"/>
      <c r="AI97" s="1"/>
      <c r="AJ97" s="1"/>
      <c r="AK97" s="1"/>
    </row>
    <row r="98" spans="1:40" ht="13.2" x14ac:dyDescent="0.25">
      <c r="F98" s="77"/>
      <c r="I98" s="77"/>
      <c r="N98" s="2" t="s">
        <v>66</v>
      </c>
      <c r="O98" s="2"/>
      <c r="P98" s="2"/>
      <c r="R98" s="77"/>
      <c r="T98" s="2" t="s">
        <v>67</v>
      </c>
      <c r="U98" s="2"/>
      <c r="V98" s="2"/>
      <c r="AF98" s="2" t="s">
        <v>68</v>
      </c>
      <c r="AG98" s="2"/>
      <c r="AH98" s="2"/>
    </row>
    <row r="99" spans="1:40" ht="12.75" customHeight="1" x14ac:dyDescent="0.25"/>
    <row r="100" spans="1:40" ht="12.75" customHeight="1" x14ac:dyDescent="0.25"/>
    <row r="101" spans="1:40" ht="13.2" x14ac:dyDescent="0.25">
      <c r="B101" s="2" t="s"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M101" s="1" t="s">
        <v>1</v>
      </c>
      <c r="AN101" s="1">
        <f>'[1]Resumen FA (Mensual) 51'!Z101</f>
        <v>0</v>
      </c>
    </row>
    <row r="102" spans="1:40" ht="13.2" x14ac:dyDescent="0.25">
      <c r="B102" s="2" t="s">
        <v>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M102" s="1"/>
      <c r="AN102" s="1"/>
    </row>
    <row r="103" spans="1:40" ht="13.2" x14ac:dyDescent="0.25">
      <c r="B103" s="2" t="s">
        <v>3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4"/>
      <c r="AI103" s="4" t="s">
        <v>4</v>
      </c>
      <c r="AJ103" s="5"/>
      <c r="AK103" s="1"/>
      <c r="AM103" s="1"/>
      <c r="AN103" s="1"/>
    </row>
    <row r="104" spans="1:40" ht="13.2" x14ac:dyDescent="0.25">
      <c r="B104" s="6"/>
      <c r="C104" s="6"/>
      <c r="D104" s="6"/>
      <c r="E104" s="6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 t="s">
        <v>5</v>
      </c>
      <c r="AJ104" s="5"/>
    </row>
    <row r="105" spans="1:40" ht="15" x14ac:dyDescent="0.25">
      <c r="B105" s="7" t="s">
        <v>6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40" ht="13.2" x14ac:dyDescent="0.25">
      <c r="B106" s="1"/>
      <c r="C106" s="1"/>
      <c r="D106" s="1"/>
      <c r="E106" s="1"/>
      <c r="K106" s="8" t="s">
        <v>7</v>
      </c>
      <c r="L106" s="8"/>
      <c r="M106" s="8"/>
      <c r="N106" s="8"/>
      <c r="O106" s="9">
        <f>'[1]Información Force Account'!$B$7</f>
        <v>0</v>
      </c>
      <c r="P106" s="9"/>
      <c r="Q106" s="8" t="s">
        <v>8</v>
      </c>
      <c r="R106" s="8"/>
      <c r="S106" s="8"/>
      <c r="T106" s="9">
        <f>'[1]Información Force Account'!$B$8</f>
        <v>0</v>
      </c>
      <c r="U106" s="9"/>
      <c r="V106" s="8" t="s">
        <v>9</v>
      </c>
      <c r="W106" s="8"/>
      <c r="X106" s="8"/>
      <c r="Y106" s="9">
        <f>'[1]Información Force Account'!$B$9</f>
        <v>0</v>
      </c>
      <c r="Z106" s="9"/>
      <c r="AF106" s="1"/>
      <c r="AG106" s="1"/>
      <c r="AH106" s="1"/>
      <c r="AI106" s="1"/>
      <c r="AJ106" s="1"/>
      <c r="AK106" s="1"/>
    </row>
    <row r="107" spans="1:40" ht="13.2" x14ac:dyDescent="0.25">
      <c r="B107" s="3" t="s">
        <v>10</v>
      </c>
      <c r="E107" s="10" t="s">
        <v>69</v>
      </c>
      <c r="F107" s="10"/>
      <c r="G107" s="10"/>
      <c r="H107" s="10"/>
      <c r="I107" s="10"/>
      <c r="J107" s="10"/>
      <c r="K107" s="11"/>
      <c r="L107" s="11"/>
      <c r="M107" s="11"/>
      <c r="N107" s="11"/>
      <c r="O107" s="11"/>
      <c r="P107" s="11"/>
      <c r="Q107" s="12"/>
      <c r="R107" s="12"/>
      <c r="S107" s="12"/>
      <c r="T107" s="12"/>
      <c r="U107" s="12"/>
      <c r="V107" s="12"/>
      <c r="W107" s="12"/>
      <c r="X107" s="12"/>
      <c r="Y107" s="6"/>
      <c r="Z107" s="6"/>
      <c r="AA107" s="6"/>
      <c r="AB107" s="6"/>
      <c r="AC107" s="6"/>
      <c r="AD107" s="4" t="s">
        <v>11</v>
      </c>
      <c r="AE107" s="9">
        <f>'[1]Información Force Account'!$B$4</f>
        <v>0</v>
      </c>
      <c r="AF107" s="9"/>
      <c r="AG107" s="9"/>
      <c r="AH107" s="9"/>
      <c r="AI107" s="9"/>
      <c r="AJ107" s="9"/>
      <c r="AK107" s="6"/>
    </row>
    <row r="108" spans="1:40" ht="13.2" x14ac:dyDescent="0.25">
      <c r="B108" s="3" t="s">
        <v>12</v>
      </c>
      <c r="D108" s="13"/>
      <c r="E108" s="14" t="e">
        <f>E8</f>
        <v>#VALUE!</v>
      </c>
      <c r="F108" s="14"/>
      <c r="G108" s="14"/>
      <c r="H108" s="14"/>
      <c r="I108" s="14"/>
      <c r="J108" s="14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4" t="s">
        <v>13</v>
      </c>
      <c r="AE108" s="9">
        <f>'[1]Información Force Account'!$B$3</f>
        <v>0</v>
      </c>
      <c r="AF108" s="9"/>
      <c r="AG108" s="9"/>
      <c r="AH108" s="9"/>
      <c r="AI108" s="9"/>
      <c r="AJ108" s="9"/>
      <c r="AK108" s="6"/>
    </row>
    <row r="109" spans="1:40" ht="13.8" x14ac:dyDescent="0.25">
      <c r="B109" s="15" t="s">
        <v>14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spans="1:40" ht="13.2" x14ac:dyDescent="0.25">
      <c r="B110" s="16" t="s">
        <v>15</v>
      </c>
      <c r="C110" s="17" t="s">
        <v>16</v>
      </c>
      <c r="D110" s="18"/>
      <c r="E110" s="19"/>
      <c r="F110" s="16" t="str">
        <f>'[1]Resumen FA (Mensual) 51'!$A$17</f>
        <v/>
      </c>
      <c r="G110" s="16" t="str">
        <f>'[1]Resumen FA (Mensual) 51'!$A$18</f>
        <v/>
      </c>
      <c r="H110" s="16" t="str">
        <f>'[1]Resumen FA (Mensual) 51'!$A$19</f>
        <v/>
      </c>
      <c r="I110" s="16" t="str">
        <f>'[1]Resumen FA (Mensual) 51'!$A$20</f>
        <v/>
      </c>
      <c r="J110" s="16" t="str">
        <f>'[1]Resumen FA (Mensual) 51'!$A$21</f>
        <v/>
      </c>
      <c r="K110" s="16" t="str">
        <f>'[1]Resumen FA (Mensual) 51'!$A$22</f>
        <v/>
      </c>
      <c r="L110" s="16" t="str">
        <f>'[1]Resumen FA (Mensual) 51'!$A$23</f>
        <v/>
      </c>
      <c r="M110" s="16" t="str">
        <f>'[1]Resumen FA (Mensual) 51'!$A$24</f>
        <v/>
      </c>
      <c r="N110" s="16" t="str">
        <f>'[1]Resumen FA (Mensual) 51'!$A$25</f>
        <v/>
      </c>
      <c r="O110" s="16" t="str">
        <f>'[1]Resumen FA (Mensual) 51'!$A$26</f>
        <v/>
      </c>
      <c r="P110" s="16" t="str">
        <f>'[1]Resumen FA (Mensual) 51'!$G$17</f>
        <v/>
      </c>
      <c r="Q110" s="16" t="str">
        <f>'[1]Resumen FA (Mensual) 51'!$G$18</f>
        <v/>
      </c>
      <c r="R110" s="16" t="str">
        <f>'[1]Resumen FA (Mensual) 51'!$G$19</f>
        <v/>
      </c>
      <c r="S110" s="16" t="str">
        <f>'[1]Resumen FA (Mensual) 51'!$G$20</f>
        <v/>
      </c>
      <c r="T110" s="16" t="str">
        <f>'[1]Resumen FA (Mensual) 51'!$G$21</f>
        <v/>
      </c>
      <c r="U110" s="16" t="str">
        <f>'[1]Resumen FA (Mensual) 51'!$G$22</f>
        <v/>
      </c>
      <c r="V110" s="16" t="str">
        <f>'[1]Resumen FA (Mensual) 51'!$G$23</f>
        <v/>
      </c>
      <c r="W110" s="16" t="str">
        <f>'[1]Resumen FA (Mensual) 51'!$G$24</f>
        <v/>
      </c>
      <c r="X110" s="16" t="str">
        <f>'[1]Resumen FA (Mensual) 51'!$G$25</f>
        <v/>
      </c>
      <c r="Y110" s="16" t="str">
        <f>'[1]Resumen FA (Mensual) 51'!$G$26</f>
        <v/>
      </c>
      <c r="Z110" s="16" t="str">
        <f>'[1]Resumen FA (Mensual) 51'!$M$17</f>
        <v/>
      </c>
      <c r="AA110" s="16" t="str">
        <f>'[1]Resumen FA (Mensual) 51'!$M$18</f>
        <v/>
      </c>
      <c r="AB110" s="16" t="str">
        <f>'[1]Resumen FA (Mensual) 51'!$M$19</f>
        <v/>
      </c>
      <c r="AC110" s="16" t="str">
        <f>'[1]Resumen FA (Mensual) 51'!$M$20</f>
        <v/>
      </c>
      <c r="AD110" s="16" t="str">
        <f>'[1]Resumen FA (Mensual) 51'!$M$21</f>
        <v/>
      </c>
      <c r="AE110" s="16" t="str">
        <f>'[1]Resumen FA (Mensual) 51'!$M$22</f>
        <v/>
      </c>
      <c r="AF110" s="16" t="str">
        <f>'[1]Resumen FA (Mensual) 51'!$M$23</f>
        <v/>
      </c>
      <c r="AG110" s="16" t="str">
        <f>'[1]Resumen FA (Mensual) 51'!$M$24</f>
        <v/>
      </c>
      <c r="AH110" s="16" t="str">
        <f>'[1]Resumen FA (Mensual) 51'!$M$25</f>
        <v/>
      </c>
      <c r="AI110" s="16" t="str">
        <f>'[1]Resumen FA (Mensual) 51'!$M$26</f>
        <v/>
      </c>
      <c r="AJ110" s="16" t="str">
        <f>'[1]Resumen FA (Mensual) 51'!$M$26</f>
        <v/>
      </c>
      <c r="AK110" s="16" t="s">
        <v>17</v>
      </c>
    </row>
    <row r="111" spans="1:40" ht="13.2" x14ac:dyDescent="0.25">
      <c r="B111" s="20"/>
      <c r="C111" s="17" t="s">
        <v>18</v>
      </c>
      <c r="D111" s="18"/>
      <c r="E111" s="19"/>
      <c r="F111" s="20">
        <v>1</v>
      </c>
      <c r="G111" s="20">
        <v>2</v>
      </c>
      <c r="H111" s="20">
        <v>3</v>
      </c>
      <c r="I111" s="20">
        <v>4</v>
      </c>
      <c r="J111" s="20">
        <v>5</v>
      </c>
      <c r="K111" s="20">
        <v>6</v>
      </c>
      <c r="L111" s="21">
        <v>7</v>
      </c>
      <c r="M111" s="20">
        <v>8</v>
      </c>
      <c r="N111" s="20">
        <v>9</v>
      </c>
      <c r="O111" s="20">
        <v>10</v>
      </c>
      <c r="P111" s="20">
        <v>11</v>
      </c>
      <c r="Q111" s="20">
        <v>12</v>
      </c>
      <c r="R111" s="20">
        <v>13</v>
      </c>
      <c r="S111" s="20">
        <v>14</v>
      </c>
      <c r="T111" s="20">
        <v>15</v>
      </c>
      <c r="U111" s="20">
        <v>16</v>
      </c>
      <c r="V111" s="20">
        <v>17</v>
      </c>
      <c r="W111" s="20">
        <v>18</v>
      </c>
      <c r="X111" s="20">
        <v>19</v>
      </c>
      <c r="Y111" s="20">
        <v>20</v>
      </c>
      <c r="Z111" s="20">
        <v>21</v>
      </c>
      <c r="AA111" s="20">
        <v>22</v>
      </c>
      <c r="AB111" s="20">
        <v>23</v>
      </c>
      <c r="AC111" s="20">
        <v>24</v>
      </c>
      <c r="AD111" s="20">
        <v>25</v>
      </c>
      <c r="AE111" s="20">
        <v>26</v>
      </c>
      <c r="AF111" s="20">
        <v>27</v>
      </c>
      <c r="AG111" s="20">
        <v>28</v>
      </c>
      <c r="AH111" s="20" t="str">
        <f>IF(AH110&lt;&gt;"",29,"")</f>
        <v/>
      </c>
      <c r="AI111" s="20" t="str">
        <f>IF(AI110&lt;&gt;"",30,"")</f>
        <v/>
      </c>
      <c r="AJ111" s="20" t="str">
        <f>IF(AJ110&lt;&gt;"",31,"")</f>
        <v/>
      </c>
      <c r="AK111" s="20" t="s">
        <v>19</v>
      </c>
    </row>
    <row r="112" spans="1:40" ht="13.2" x14ac:dyDescent="0.25">
      <c r="A112" s="22"/>
      <c r="B112" s="23">
        <v>1</v>
      </c>
      <c r="C112" s="24" t="str">
        <f>IF(ISBLANK([1]DBPCFA!AP21),"",[1]DBPCFA!AP21)</f>
        <v/>
      </c>
      <c r="D112" s="25"/>
      <c r="E112" s="26"/>
      <c r="F112" s="27">
        <f t="shared" ref="F112:AJ112" si="58">SUMIFS(EQ_HAct,Desc_EQ,$C112,Fecha_Inf_EQ,VALUE($AN$1&amp;TEXT(F$11,"00")))</f>
        <v>0</v>
      </c>
      <c r="G112" s="27">
        <f t="shared" si="58"/>
        <v>0</v>
      </c>
      <c r="H112" s="27">
        <f t="shared" si="58"/>
        <v>0</v>
      </c>
      <c r="I112" s="27">
        <f t="shared" si="58"/>
        <v>0</v>
      </c>
      <c r="J112" s="27">
        <f t="shared" si="58"/>
        <v>0</v>
      </c>
      <c r="K112" s="27">
        <f t="shared" si="58"/>
        <v>0</v>
      </c>
      <c r="L112" s="27">
        <f t="shared" si="58"/>
        <v>0</v>
      </c>
      <c r="M112" s="27">
        <f t="shared" si="58"/>
        <v>0</v>
      </c>
      <c r="N112" s="27">
        <f t="shared" si="58"/>
        <v>0</v>
      </c>
      <c r="O112" s="27">
        <f t="shared" si="58"/>
        <v>0</v>
      </c>
      <c r="P112" s="27">
        <f t="shared" si="58"/>
        <v>0</v>
      </c>
      <c r="Q112" s="27">
        <f t="shared" si="58"/>
        <v>0</v>
      </c>
      <c r="R112" s="27">
        <f t="shared" si="58"/>
        <v>0</v>
      </c>
      <c r="S112" s="27">
        <f t="shared" si="58"/>
        <v>0</v>
      </c>
      <c r="T112" s="27">
        <f t="shared" si="58"/>
        <v>0</v>
      </c>
      <c r="U112" s="27">
        <f t="shared" si="58"/>
        <v>0</v>
      </c>
      <c r="V112" s="27">
        <f t="shared" si="58"/>
        <v>0</v>
      </c>
      <c r="W112" s="27">
        <f t="shared" si="58"/>
        <v>0</v>
      </c>
      <c r="X112" s="27">
        <f t="shared" si="58"/>
        <v>0</v>
      </c>
      <c r="Y112" s="27">
        <f t="shared" si="58"/>
        <v>0</v>
      </c>
      <c r="Z112" s="27">
        <f t="shared" si="58"/>
        <v>0</v>
      </c>
      <c r="AA112" s="27">
        <f t="shared" si="58"/>
        <v>0</v>
      </c>
      <c r="AB112" s="27">
        <f t="shared" si="58"/>
        <v>0</v>
      </c>
      <c r="AC112" s="27">
        <f t="shared" si="58"/>
        <v>0</v>
      </c>
      <c r="AD112" s="27">
        <f t="shared" si="58"/>
        <v>0</v>
      </c>
      <c r="AE112" s="27">
        <f t="shared" si="58"/>
        <v>0</v>
      </c>
      <c r="AF112" s="27">
        <f t="shared" si="58"/>
        <v>0</v>
      </c>
      <c r="AG112" s="27">
        <f t="shared" si="58"/>
        <v>0</v>
      </c>
      <c r="AH112" s="27">
        <f t="shared" si="58"/>
        <v>0</v>
      </c>
      <c r="AI112" s="27">
        <f t="shared" si="58"/>
        <v>0</v>
      </c>
      <c r="AJ112" s="27">
        <f t="shared" si="58"/>
        <v>0</v>
      </c>
      <c r="AK112" s="28">
        <f>SUM(F112:AJ112)</f>
        <v>0</v>
      </c>
    </row>
    <row r="113" spans="1:39" ht="13.2" x14ac:dyDescent="0.25">
      <c r="A113" s="22"/>
      <c r="B113" s="29"/>
      <c r="C113" s="30"/>
      <c r="D113" s="31"/>
      <c r="E113" s="32"/>
      <c r="F113" s="33">
        <f t="shared" ref="F113:AJ113" si="59">SUMIFS(EQ_HInac,Desc_EQ,$C112,Fecha_Inf_EQ,VALUE($AN$1&amp;TEXT(F$11,"00")))</f>
        <v>0</v>
      </c>
      <c r="G113" s="33">
        <f t="shared" si="59"/>
        <v>0</v>
      </c>
      <c r="H113" s="33">
        <f t="shared" si="59"/>
        <v>0</v>
      </c>
      <c r="I113" s="33">
        <f t="shared" si="59"/>
        <v>0</v>
      </c>
      <c r="J113" s="33">
        <f t="shared" si="59"/>
        <v>0</v>
      </c>
      <c r="K113" s="33">
        <f t="shared" si="59"/>
        <v>0</v>
      </c>
      <c r="L113" s="33">
        <f t="shared" si="59"/>
        <v>0</v>
      </c>
      <c r="M113" s="33">
        <f t="shared" si="59"/>
        <v>0</v>
      </c>
      <c r="N113" s="33">
        <f t="shared" si="59"/>
        <v>0</v>
      </c>
      <c r="O113" s="33">
        <f t="shared" si="59"/>
        <v>0</v>
      </c>
      <c r="P113" s="33">
        <f t="shared" si="59"/>
        <v>0</v>
      </c>
      <c r="Q113" s="33">
        <f t="shared" si="59"/>
        <v>0</v>
      </c>
      <c r="R113" s="33">
        <f t="shared" si="59"/>
        <v>0</v>
      </c>
      <c r="S113" s="33">
        <f t="shared" si="59"/>
        <v>0</v>
      </c>
      <c r="T113" s="33">
        <f t="shared" si="59"/>
        <v>0</v>
      </c>
      <c r="U113" s="33">
        <f t="shared" si="59"/>
        <v>0</v>
      </c>
      <c r="V113" s="33">
        <f t="shared" si="59"/>
        <v>0</v>
      </c>
      <c r="W113" s="33">
        <f t="shared" si="59"/>
        <v>0</v>
      </c>
      <c r="X113" s="33">
        <f t="shared" si="59"/>
        <v>0</v>
      </c>
      <c r="Y113" s="33">
        <f t="shared" si="59"/>
        <v>0</v>
      </c>
      <c r="Z113" s="33">
        <f t="shared" si="59"/>
        <v>0</v>
      </c>
      <c r="AA113" s="33">
        <f t="shared" si="59"/>
        <v>0</v>
      </c>
      <c r="AB113" s="33">
        <f t="shared" si="59"/>
        <v>0</v>
      </c>
      <c r="AC113" s="33">
        <f t="shared" si="59"/>
        <v>0</v>
      </c>
      <c r="AD113" s="33">
        <f t="shared" si="59"/>
        <v>0</v>
      </c>
      <c r="AE113" s="33">
        <f t="shared" si="59"/>
        <v>0</v>
      </c>
      <c r="AF113" s="33">
        <f t="shared" si="59"/>
        <v>0</v>
      </c>
      <c r="AG113" s="33">
        <f t="shared" si="59"/>
        <v>0</v>
      </c>
      <c r="AH113" s="33">
        <f t="shared" si="59"/>
        <v>0</v>
      </c>
      <c r="AI113" s="33">
        <f t="shared" si="59"/>
        <v>0</v>
      </c>
      <c r="AJ113" s="33">
        <f t="shared" si="59"/>
        <v>0</v>
      </c>
      <c r="AK113" s="34">
        <f>SUM(F113:AJ113)</f>
        <v>0</v>
      </c>
      <c r="AM113" s="3" t="str">
        <f>IFERROR(VLOOKUP(C113,EQ_Cont,9,FALSE),"")</f>
        <v/>
      </c>
    </row>
    <row r="114" spans="1:39" ht="13.2" x14ac:dyDescent="0.25">
      <c r="A114" s="22"/>
      <c r="B114" s="35">
        <v>2</v>
      </c>
      <c r="C114" s="24" t="str">
        <f>IF(ISBLANK([1]DBPCFA!AP22),"",[1]DBPCFA!AP22)</f>
        <v/>
      </c>
      <c r="D114" s="25"/>
      <c r="E114" s="26"/>
      <c r="F114" s="27">
        <f t="shared" ref="F114:AJ114" si="60">SUMIFS(EQ_HAct,Desc_EQ,$C114,Fecha_Inf_EQ,VALUE($AN$1&amp;TEXT(F$11,"00")))</f>
        <v>0</v>
      </c>
      <c r="G114" s="27">
        <f t="shared" si="60"/>
        <v>0</v>
      </c>
      <c r="H114" s="27">
        <f t="shared" si="60"/>
        <v>0</v>
      </c>
      <c r="I114" s="27">
        <f t="shared" si="60"/>
        <v>0</v>
      </c>
      <c r="J114" s="27">
        <f t="shared" si="60"/>
        <v>0</v>
      </c>
      <c r="K114" s="27">
        <f t="shared" si="60"/>
        <v>0</v>
      </c>
      <c r="L114" s="27">
        <f t="shared" si="60"/>
        <v>0</v>
      </c>
      <c r="M114" s="27">
        <f t="shared" si="60"/>
        <v>0</v>
      </c>
      <c r="N114" s="27">
        <f t="shared" si="60"/>
        <v>0</v>
      </c>
      <c r="O114" s="27">
        <f t="shared" si="60"/>
        <v>0</v>
      </c>
      <c r="P114" s="27">
        <f t="shared" si="60"/>
        <v>0</v>
      </c>
      <c r="Q114" s="27">
        <f t="shared" si="60"/>
        <v>0</v>
      </c>
      <c r="R114" s="27">
        <f t="shared" si="60"/>
        <v>0</v>
      </c>
      <c r="S114" s="27">
        <f t="shared" si="60"/>
        <v>0</v>
      </c>
      <c r="T114" s="27">
        <f t="shared" si="60"/>
        <v>0</v>
      </c>
      <c r="U114" s="27">
        <f t="shared" si="60"/>
        <v>0</v>
      </c>
      <c r="V114" s="27">
        <f t="shared" si="60"/>
        <v>0</v>
      </c>
      <c r="W114" s="27">
        <f t="shared" si="60"/>
        <v>0</v>
      </c>
      <c r="X114" s="27">
        <f t="shared" si="60"/>
        <v>0</v>
      </c>
      <c r="Y114" s="27">
        <f t="shared" si="60"/>
        <v>0</v>
      </c>
      <c r="Z114" s="27">
        <f t="shared" si="60"/>
        <v>0</v>
      </c>
      <c r="AA114" s="27">
        <f t="shared" si="60"/>
        <v>0</v>
      </c>
      <c r="AB114" s="27">
        <f t="shared" si="60"/>
        <v>0</v>
      </c>
      <c r="AC114" s="27">
        <f t="shared" si="60"/>
        <v>0</v>
      </c>
      <c r="AD114" s="27">
        <f t="shared" si="60"/>
        <v>0</v>
      </c>
      <c r="AE114" s="27">
        <f t="shared" si="60"/>
        <v>0</v>
      </c>
      <c r="AF114" s="27">
        <f t="shared" si="60"/>
        <v>0</v>
      </c>
      <c r="AG114" s="27">
        <f t="shared" si="60"/>
        <v>0</v>
      </c>
      <c r="AH114" s="27">
        <f t="shared" si="60"/>
        <v>0</v>
      </c>
      <c r="AI114" s="27">
        <f t="shared" si="60"/>
        <v>0</v>
      </c>
      <c r="AJ114" s="27">
        <f t="shared" si="60"/>
        <v>0</v>
      </c>
      <c r="AK114" s="28">
        <f t="shared" ref="AK114:AK131" si="61">SUM(F114:AJ114)</f>
        <v>0</v>
      </c>
    </row>
    <row r="115" spans="1:39" ht="13.2" x14ac:dyDescent="0.25">
      <c r="A115" s="22"/>
      <c r="B115" s="29"/>
      <c r="C115" s="30"/>
      <c r="D115" s="31"/>
      <c r="E115" s="32"/>
      <c r="F115" s="33">
        <f t="shared" ref="F115:AJ115" si="62">SUMIFS(EQ_HInac,Desc_EQ,$C114,Fecha_Inf_EQ,VALUE($AN$1&amp;TEXT(F$11,"00")))</f>
        <v>0</v>
      </c>
      <c r="G115" s="33">
        <f t="shared" si="62"/>
        <v>0</v>
      </c>
      <c r="H115" s="33">
        <f t="shared" si="62"/>
        <v>0</v>
      </c>
      <c r="I115" s="33">
        <f t="shared" si="62"/>
        <v>0</v>
      </c>
      <c r="J115" s="33">
        <f t="shared" si="62"/>
        <v>0</v>
      </c>
      <c r="K115" s="33">
        <f t="shared" si="62"/>
        <v>0</v>
      </c>
      <c r="L115" s="33">
        <f t="shared" si="62"/>
        <v>0</v>
      </c>
      <c r="M115" s="33">
        <f t="shared" si="62"/>
        <v>0</v>
      </c>
      <c r="N115" s="33">
        <f t="shared" si="62"/>
        <v>0</v>
      </c>
      <c r="O115" s="33">
        <f t="shared" si="62"/>
        <v>0</v>
      </c>
      <c r="P115" s="33">
        <f t="shared" si="62"/>
        <v>0</v>
      </c>
      <c r="Q115" s="33">
        <f t="shared" si="62"/>
        <v>0</v>
      </c>
      <c r="R115" s="33">
        <f t="shared" si="62"/>
        <v>0</v>
      </c>
      <c r="S115" s="33">
        <f t="shared" si="62"/>
        <v>0</v>
      </c>
      <c r="T115" s="33">
        <f t="shared" si="62"/>
        <v>0</v>
      </c>
      <c r="U115" s="33">
        <f t="shared" si="62"/>
        <v>0</v>
      </c>
      <c r="V115" s="33">
        <f t="shared" si="62"/>
        <v>0</v>
      </c>
      <c r="W115" s="33">
        <f t="shared" si="62"/>
        <v>0</v>
      </c>
      <c r="X115" s="33">
        <f t="shared" si="62"/>
        <v>0</v>
      </c>
      <c r="Y115" s="33">
        <f t="shared" si="62"/>
        <v>0</v>
      </c>
      <c r="Z115" s="33">
        <f t="shared" si="62"/>
        <v>0</v>
      </c>
      <c r="AA115" s="33">
        <f t="shared" si="62"/>
        <v>0</v>
      </c>
      <c r="AB115" s="33">
        <f t="shared" si="62"/>
        <v>0</v>
      </c>
      <c r="AC115" s="33">
        <f t="shared" si="62"/>
        <v>0</v>
      </c>
      <c r="AD115" s="33">
        <f t="shared" si="62"/>
        <v>0</v>
      </c>
      <c r="AE115" s="33">
        <f t="shared" si="62"/>
        <v>0</v>
      </c>
      <c r="AF115" s="33">
        <f t="shared" si="62"/>
        <v>0</v>
      </c>
      <c r="AG115" s="33">
        <f t="shared" si="62"/>
        <v>0</v>
      </c>
      <c r="AH115" s="33">
        <f t="shared" si="62"/>
        <v>0</v>
      </c>
      <c r="AI115" s="33">
        <f t="shared" si="62"/>
        <v>0</v>
      </c>
      <c r="AJ115" s="33">
        <f t="shared" si="62"/>
        <v>0</v>
      </c>
      <c r="AK115" s="34">
        <f t="shared" si="61"/>
        <v>0</v>
      </c>
      <c r="AM115" s="3" t="str">
        <f>IFERROR(VLOOKUP(C115,EQ_Cont,9,FALSE),"")</f>
        <v/>
      </c>
    </row>
    <row r="116" spans="1:39" ht="13.2" x14ac:dyDescent="0.25">
      <c r="A116" s="22"/>
      <c r="B116" s="35">
        <v>3</v>
      </c>
      <c r="C116" s="24" t="str">
        <f>IF(ISBLANK([1]DBPCFA!AP23),"",[1]DBPCFA!AP23)</f>
        <v/>
      </c>
      <c r="D116" s="25"/>
      <c r="E116" s="26"/>
      <c r="F116" s="27">
        <f t="shared" ref="F116:AJ116" si="63">SUMIFS(EQ_HAct,Desc_EQ,$C116,Fecha_Inf_EQ,VALUE($AN$1&amp;TEXT(F$11,"00")))</f>
        <v>0</v>
      </c>
      <c r="G116" s="27">
        <f t="shared" si="63"/>
        <v>0</v>
      </c>
      <c r="H116" s="27">
        <f t="shared" si="63"/>
        <v>0</v>
      </c>
      <c r="I116" s="27">
        <f t="shared" si="63"/>
        <v>0</v>
      </c>
      <c r="J116" s="27">
        <f t="shared" si="63"/>
        <v>0</v>
      </c>
      <c r="K116" s="27">
        <f t="shared" si="63"/>
        <v>0</v>
      </c>
      <c r="L116" s="27">
        <f t="shared" si="63"/>
        <v>0</v>
      </c>
      <c r="M116" s="27">
        <f t="shared" si="63"/>
        <v>0</v>
      </c>
      <c r="N116" s="27">
        <f t="shared" si="63"/>
        <v>0</v>
      </c>
      <c r="O116" s="27">
        <f t="shared" si="63"/>
        <v>0</v>
      </c>
      <c r="P116" s="27">
        <f t="shared" si="63"/>
        <v>0</v>
      </c>
      <c r="Q116" s="27">
        <f t="shared" si="63"/>
        <v>0</v>
      </c>
      <c r="R116" s="27">
        <f t="shared" si="63"/>
        <v>0</v>
      </c>
      <c r="S116" s="27">
        <f t="shared" si="63"/>
        <v>0</v>
      </c>
      <c r="T116" s="27">
        <f t="shared" si="63"/>
        <v>0</v>
      </c>
      <c r="U116" s="27">
        <f t="shared" si="63"/>
        <v>0</v>
      </c>
      <c r="V116" s="27">
        <f t="shared" si="63"/>
        <v>0</v>
      </c>
      <c r="W116" s="27">
        <f t="shared" si="63"/>
        <v>0</v>
      </c>
      <c r="X116" s="27">
        <f t="shared" si="63"/>
        <v>0</v>
      </c>
      <c r="Y116" s="27">
        <f t="shared" si="63"/>
        <v>0</v>
      </c>
      <c r="Z116" s="27">
        <f t="shared" si="63"/>
        <v>0</v>
      </c>
      <c r="AA116" s="27">
        <f t="shared" si="63"/>
        <v>0</v>
      </c>
      <c r="AB116" s="27">
        <f t="shared" si="63"/>
        <v>0</v>
      </c>
      <c r="AC116" s="27">
        <f t="shared" si="63"/>
        <v>0</v>
      </c>
      <c r="AD116" s="27">
        <f t="shared" si="63"/>
        <v>0</v>
      </c>
      <c r="AE116" s="27">
        <f t="shared" si="63"/>
        <v>0</v>
      </c>
      <c r="AF116" s="27">
        <f t="shared" si="63"/>
        <v>0</v>
      </c>
      <c r="AG116" s="27">
        <f t="shared" si="63"/>
        <v>0</v>
      </c>
      <c r="AH116" s="27">
        <f t="shared" si="63"/>
        <v>0</v>
      </c>
      <c r="AI116" s="27">
        <f t="shared" si="63"/>
        <v>0</v>
      </c>
      <c r="AJ116" s="27">
        <f t="shared" si="63"/>
        <v>0</v>
      </c>
      <c r="AK116" s="28">
        <f t="shared" si="61"/>
        <v>0</v>
      </c>
    </row>
    <row r="117" spans="1:39" ht="13.2" x14ac:dyDescent="0.25">
      <c r="A117" s="22"/>
      <c r="B117" s="29"/>
      <c r="C117" s="30"/>
      <c r="D117" s="31"/>
      <c r="E117" s="32"/>
      <c r="F117" s="33">
        <f t="shared" ref="F117:AJ117" si="64">SUMIFS(EQ_HInac,Desc_EQ,$C116,Fecha_Inf_EQ,VALUE($AN$1&amp;TEXT(F$11,"00")))</f>
        <v>0</v>
      </c>
      <c r="G117" s="33">
        <f t="shared" si="64"/>
        <v>0</v>
      </c>
      <c r="H117" s="33">
        <f t="shared" si="64"/>
        <v>0</v>
      </c>
      <c r="I117" s="33">
        <f t="shared" si="64"/>
        <v>0</v>
      </c>
      <c r="J117" s="33">
        <f t="shared" si="64"/>
        <v>0</v>
      </c>
      <c r="K117" s="33">
        <f t="shared" si="64"/>
        <v>0</v>
      </c>
      <c r="L117" s="33">
        <f t="shared" si="64"/>
        <v>0</v>
      </c>
      <c r="M117" s="33">
        <f t="shared" si="64"/>
        <v>0</v>
      </c>
      <c r="N117" s="33">
        <f t="shared" si="64"/>
        <v>0</v>
      </c>
      <c r="O117" s="33">
        <f t="shared" si="64"/>
        <v>0</v>
      </c>
      <c r="P117" s="33">
        <f t="shared" si="64"/>
        <v>0</v>
      </c>
      <c r="Q117" s="33">
        <f t="shared" si="64"/>
        <v>0</v>
      </c>
      <c r="R117" s="33">
        <f t="shared" si="64"/>
        <v>0</v>
      </c>
      <c r="S117" s="33">
        <f t="shared" si="64"/>
        <v>0</v>
      </c>
      <c r="T117" s="33">
        <f t="shared" si="64"/>
        <v>0</v>
      </c>
      <c r="U117" s="33">
        <f t="shared" si="64"/>
        <v>0</v>
      </c>
      <c r="V117" s="33">
        <f t="shared" si="64"/>
        <v>0</v>
      </c>
      <c r="W117" s="33">
        <f t="shared" si="64"/>
        <v>0</v>
      </c>
      <c r="X117" s="33">
        <f t="shared" si="64"/>
        <v>0</v>
      </c>
      <c r="Y117" s="33">
        <f t="shared" si="64"/>
        <v>0</v>
      </c>
      <c r="Z117" s="33">
        <f t="shared" si="64"/>
        <v>0</v>
      </c>
      <c r="AA117" s="33">
        <f t="shared" si="64"/>
        <v>0</v>
      </c>
      <c r="AB117" s="33">
        <f t="shared" si="64"/>
        <v>0</v>
      </c>
      <c r="AC117" s="33">
        <f t="shared" si="64"/>
        <v>0</v>
      </c>
      <c r="AD117" s="33">
        <f t="shared" si="64"/>
        <v>0</v>
      </c>
      <c r="AE117" s="33">
        <f t="shared" si="64"/>
        <v>0</v>
      </c>
      <c r="AF117" s="33">
        <f t="shared" si="64"/>
        <v>0</v>
      </c>
      <c r="AG117" s="33">
        <f t="shared" si="64"/>
        <v>0</v>
      </c>
      <c r="AH117" s="33">
        <f t="shared" si="64"/>
        <v>0</v>
      </c>
      <c r="AI117" s="33">
        <f t="shared" si="64"/>
        <v>0</v>
      </c>
      <c r="AJ117" s="33">
        <f t="shared" si="64"/>
        <v>0</v>
      </c>
      <c r="AK117" s="34">
        <f t="shared" si="61"/>
        <v>0</v>
      </c>
      <c r="AM117" s="3" t="str">
        <f>IFERROR(VLOOKUP(C117,EQ_Cont,9,FALSE),"")</f>
        <v/>
      </c>
    </row>
    <row r="118" spans="1:39" ht="13.2" x14ac:dyDescent="0.25">
      <c r="A118" s="22"/>
      <c r="B118" s="35">
        <v>4</v>
      </c>
      <c r="C118" s="24" t="str">
        <f>IF(ISBLANK([1]DBPCFA!AP24),"",[1]DBPCFA!AP24)</f>
        <v/>
      </c>
      <c r="D118" s="25"/>
      <c r="E118" s="26"/>
      <c r="F118" s="27">
        <f t="shared" ref="F118:AJ118" si="65">SUMIFS(EQ_HAct,Desc_EQ,$C118,Fecha_Inf_EQ,VALUE($AN$1&amp;TEXT(F$11,"00")))</f>
        <v>0</v>
      </c>
      <c r="G118" s="27">
        <f t="shared" si="65"/>
        <v>0</v>
      </c>
      <c r="H118" s="27">
        <f t="shared" si="65"/>
        <v>0</v>
      </c>
      <c r="I118" s="27">
        <f t="shared" si="65"/>
        <v>0</v>
      </c>
      <c r="J118" s="27">
        <f t="shared" si="65"/>
        <v>0</v>
      </c>
      <c r="K118" s="27">
        <f t="shared" si="65"/>
        <v>0</v>
      </c>
      <c r="L118" s="27">
        <f t="shared" si="65"/>
        <v>0</v>
      </c>
      <c r="M118" s="27">
        <f t="shared" si="65"/>
        <v>0</v>
      </c>
      <c r="N118" s="27">
        <f t="shared" si="65"/>
        <v>0</v>
      </c>
      <c r="O118" s="27">
        <f t="shared" si="65"/>
        <v>0</v>
      </c>
      <c r="P118" s="27">
        <f t="shared" si="65"/>
        <v>0</v>
      </c>
      <c r="Q118" s="27">
        <f t="shared" si="65"/>
        <v>0</v>
      </c>
      <c r="R118" s="27">
        <f t="shared" si="65"/>
        <v>0</v>
      </c>
      <c r="S118" s="27">
        <f t="shared" si="65"/>
        <v>0</v>
      </c>
      <c r="T118" s="27">
        <f t="shared" si="65"/>
        <v>0</v>
      </c>
      <c r="U118" s="27">
        <f t="shared" si="65"/>
        <v>0</v>
      </c>
      <c r="V118" s="27">
        <f t="shared" si="65"/>
        <v>0</v>
      </c>
      <c r="W118" s="27">
        <f t="shared" si="65"/>
        <v>0</v>
      </c>
      <c r="X118" s="27">
        <f t="shared" si="65"/>
        <v>0</v>
      </c>
      <c r="Y118" s="27">
        <f t="shared" si="65"/>
        <v>0</v>
      </c>
      <c r="Z118" s="27">
        <f t="shared" si="65"/>
        <v>0</v>
      </c>
      <c r="AA118" s="27">
        <f t="shared" si="65"/>
        <v>0</v>
      </c>
      <c r="AB118" s="27">
        <f t="shared" si="65"/>
        <v>0</v>
      </c>
      <c r="AC118" s="27">
        <f t="shared" si="65"/>
        <v>0</v>
      </c>
      <c r="AD118" s="27">
        <f t="shared" si="65"/>
        <v>0</v>
      </c>
      <c r="AE118" s="27">
        <f t="shared" si="65"/>
        <v>0</v>
      </c>
      <c r="AF118" s="27">
        <f t="shared" si="65"/>
        <v>0</v>
      </c>
      <c r="AG118" s="27">
        <f t="shared" si="65"/>
        <v>0</v>
      </c>
      <c r="AH118" s="27">
        <f t="shared" si="65"/>
        <v>0</v>
      </c>
      <c r="AI118" s="27">
        <f t="shared" si="65"/>
        <v>0</v>
      </c>
      <c r="AJ118" s="27">
        <f t="shared" si="65"/>
        <v>0</v>
      </c>
      <c r="AK118" s="28">
        <f t="shared" si="61"/>
        <v>0</v>
      </c>
    </row>
    <row r="119" spans="1:39" ht="13.2" x14ac:dyDescent="0.25">
      <c r="A119" s="22"/>
      <c r="B119" s="29"/>
      <c r="C119" s="30"/>
      <c r="D119" s="31"/>
      <c r="E119" s="32"/>
      <c r="F119" s="33">
        <f t="shared" ref="F119:AJ119" si="66">SUMIFS(EQ_HInac,Desc_EQ,$C118,Fecha_Inf_EQ,VALUE($AN$1&amp;TEXT(F$11,"00")))</f>
        <v>0</v>
      </c>
      <c r="G119" s="33">
        <f t="shared" si="66"/>
        <v>0</v>
      </c>
      <c r="H119" s="33">
        <f t="shared" si="66"/>
        <v>0</v>
      </c>
      <c r="I119" s="33">
        <f t="shared" si="66"/>
        <v>0</v>
      </c>
      <c r="J119" s="33">
        <f t="shared" si="66"/>
        <v>0</v>
      </c>
      <c r="K119" s="33">
        <f t="shared" si="66"/>
        <v>0</v>
      </c>
      <c r="L119" s="33">
        <f t="shared" si="66"/>
        <v>0</v>
      </c>
      <c r="M119" s="33">
        <f t="shared" si="66"/>
        <v>0</v>
      </c>
      <c r="N119" s="33">
        <f t="shared" si="66"/>
        <v>0</v>
      </c>
      <c r="O119" s="33">
        <f t="shared" si="66"/>
        <v>0</v>
      </c>
      <c r="P119" s="33">
        <f t="shared" si="66"/>
        <v>0</v>
      </c>
      <c r="Q119" s="33">
        <f t="shared" si="66"/>
        <v>0</v>
      </c>
      <c r="R119" s="33">
        <f t="shared" si="66"/>
        <v>0</v>
      </c>
      <c r="S119" s="33">
        <f t="shared" si="66"/>
        <v>0</v>
      </c>
      <c r="T119" s="33">
        <f t="shared" si="66"/>
        <v>0</v>
      </c>
      <c r="U119" s="33">
        <f t="shared" si="66"/>
        <v>0</v>
      </c>
      <c r="V119" s="33">
        <f t="shared" si="66"/>
        <v>0</v>
      </c>
      <c r="W119" s="33">
        <f t="shared" si="66"/>
        <v>0</v>
      </c>
      <c r="X119" s="33">
        <f t="shared" si="66"/>
        <v>0</v>
      </c>
      <c r="Y119" s="33">
        <f t="shared" si="66"/>
        <v>0</v>
      </c>
      <c r="Z119" s="33">
        <f t="shared" si="66"/>
        <v>0</v>
      </c>
      <c r="AA119" s="33">
        <f t="shared" si="66"/>
        <v>0</v>
      </c>
      <c r="AB119" s="33">
        <f t="shared" si="66"/>
        <v>0</v>
      </c>
      <c r="AC119" s="33">
        <f t="shared" si="66"/>
        <v>0</v>
      </c>
      <c r="AD119" s="33">
        <f t="shared" si="66"/>
        <v>0</v>
      </c>
      <c r="AE119" s="33">
        <f t="shared" si="66"/>
        <v>0</v>
      </c>
      <c r="AF119" s="33">
        <f t="shared" si="66"/>
        <v>0</v>
      </c>
      <c r="AG119" s="33">
        <f t="shared" si="66"/>
        <v>0</v>
      </c>
      <c r="AH119" s="33">
        <f t="shared" si="66"/>
        <v>0</v>
      </c>
      <c r="AI119" s="33">
        <f t="shared" si="66"/>
        <v>0</v>
      </c>
      <c r="AJ119" s="33">
        <f t="shared" si="66"/>
        <v>0</v>
      </c>
      <c r="AK119" s="34">
        <f t="shared" si="61"/>
        <v>0</v>
      </c>
      <c r="AM119" s="3" t="str">
        <f>IFERROR(VLOOKUP(C119,EQ_Cont,9,FALSE),"")</f>
        <v/>
      </c>
    </row>
    <row r="120" spans="1:39" ht="13.2" x14ac:dyDescent="0.25">
      <c r="A120" s="22"/>
      <c r="B120" s="35">
        <v>5</v>
      </c>
      <c r="C120" s="24" t="str">
        <f>IF(ISBLANK([1]DBPCFA!AP25),"",[1]DBPCFA!AP25)</f>
        <v/>
      </c>
      <c r="D120" s="25"/>
      <c r="E120" s="26"/>
      <c r="F120" s="27">
        <f t="shared" ref="F120:AJ120" si="67">SUMIFS(EQ_HAct,Desc_EQ,$C120,Fecha_Inf_EQ,VALUE($AN$1&amp;TEXT(F$11,"00")))</f>
        <v>0</v>
      </c>
      <c r="G120" s="27">
        <f t="shared" si="67"/>
        <v>0</v>
      </c>
      <c r="H120" s="27">
        <f t="shared" si="67"/>
        <v>0</v>
      </c>
      <c r="I120" s="27">
        <f t="shared" si="67"/>
        <v>0</v>
      </c>
      <c r="J120" s="27">
        <f t="shared" si="67"/>
        <v>0</v>
      </c>
      <c r="K120" s="27">
        <f t="shared" si="67"/>
        <v>0</v>
      </c>
      <c r="L120" s="27">
        <f t="shared" si="67"/>
        <v>0</v>
      </c>
      <c r="M120" s="27">
        <f t="shared" si="67"/>
        <v>0</v>
      </c>
      <c r="N120" s="27">
        <f t="shared" si="67"/>
        <v>0</v>
      </c>
      <c r="O120" s="27">
        <f t="shared" si="67"/>
        <v>0</v>
      </c>
      <c r="P120" s="27">
        <f t="shared" si="67"/>
        <v>0</v>
      </c>
      <c r="Q120" s="27">
        <f t="shared" si="67"/>
        <v>0</v>
      </c>
      <c r="R120" s="27">
        <f t="shared" si="67"/>
        <v>0</v>
      </c>
      <c r="S120" s="27">
        <f t="shared" si="67"/>
        <v>0</v>
      </c>
      <c r="T120" s="27">
        <f t="shared" si="67"/>
        <v>0</v>
      </c>
      <c r="U120" s="27">
        <f t="shared" si="67"/>
        <v>0</v>
      </c>
      <c r="V120" s="27">
        <f t="shared" si="67"/>
        <v>0</v>
      </c>
      <c r="W120" s="27">
        <f t="shared" si="67"/>
        <v>0</v>
      </c>
      <c r="X120" s="27">
        <f t="shared" si="67"/>
        <v>0</v>
      </c>
      <c r="Y120" s="27">
        <f t="shared" si="67"/>
        <v>0</v>
      </c>
      <c r="Z120" s="27">
        <f t="shared" si="67"/>
        <v>0</v>
      </c>
      <c r="AA120" s="27">
        <f t="shared" si="67"/>
        <v>0</v>
      </c>
      <c r="AB120" s="27">
        <f t="shared" si="67"/>
        <v>0</v>
      </c>
      <c r="AC120" s="27">
        <f t="shared" si="67"/>
        <v>0</v>
      </c>
      <c r="AD120" s="27">
        <f t="shared" si="67"/>
        <v>0</v>
      </c>
      <c r="AE120" s="27">
        <f t="shared" si="67"/>
        <v>0</v>
      </c>
      <c r="AF120" s="27">
        <f t="shared" si="67"/>
        <v>0</v>
      </c>
      <c r="AG120" s="27">
        <f t="shared" si="67"/>
        <v>0</v>
      </c>
      <c r="AH120" s="27">
        <f t="shared" si="67"/>
        <v>0</v>
      </c>
      <c r="AI120" s="27">
        <f t="shared" si="67"/>
        <v>0</v>
      </c>
      <c r="AJ120" s="27">
        <f t="shared" si="67"/>
        <v>0</v>
      </c>
      <c r="AK120" s="28">
        <f t="shared" si="61"/>
        <v>0</v>
      </c>
    </row>
    <row r="121" spans="1:39" ht="13.2" x14ac:dyDescent="0.25">
      <c r="A121" s="22"/>
      <c r="B121" s="29"/>
      <c r="C121" s="30"/>
      <c r="D121" s="31"/>
      <c r="E121" s="32"/>
      <c r="F121" s="33">
        <f t="shared" ref="F121:AJ121" si="68">SUMIFS(EQ_HInac,Desc_EQ,$C120,Fecha_Inf_EQ,VALUE($AN$1&amp;TEXT(F$11,"00")))</f>
        <v>0</v>
      </c>
      <c r="G121" s="33">
        <f t="shared" si="68"/>
        <v>0</v>
      </c>
      <c r="H121" s="33">
        <f t="shared" si="68"/>
        <v>0</v>
      </c>
      <c r="I121" s="33">
        <f t="shared" si="68"/>
        <v>0</v>
      </c>
      <c r="J121" s="33">
        <f t="shared" si="68"/>
        <v>0</v>
      </c>
      <c r="K121" s="33">
        <f t="shared" si="68"/>
        <v>0</v>
      </c>
      <c r="L121" s="33">
        <f t="shared" si="68"/>
        <v>0</v>
      </c>
      <c r="M121" s="33">
        <f t="shared" si="68"/>
        <v>0</v>
      </c>
      <c r="N121" s="33">
        <f t="shared" si="68"/>
        <v>0</v>
      </c>
      <c r="O121" s="33">
        <f t="shared" si="68"/>
        <v>0</v>
      </c>
      <c r="P121" s="33">
        <f t="shared" si="68"/>
        <v>0</v>
      </c>
      <c r="Q121" s="33">
        <f t="shared" si="68"/>
        <v>0</v>
      </c>
      <c r="R121" s="33">
        <f t="shared" si="68"/>
        <v>0</v>
      </c>
      <c r="S121" s="33">
        <f t="shared" si="68"/>
        <v>0</v>
      </c>
      <c r="T121" s="33">
        <f t="shared" si="68"/>
        <v>0</v>
      </c>
      <c r="U121" s="33">
        <f t="shared" si="68"/>
        <v>0</v>
      </c>
      <c r="V121" s="33">
        <f t="shared" si="68"/>
        <v>0</v>
      </c>
      <c r="W121" s="33">
        <f t="shared" si="68"/>
        <v>0</v>
      </c>
      <c r="X121" s="33">
        <f t="shared" si="68"/>
        <v>0</v>
      </c>
      <c r="Y121" s="33">
        <f t="shared" si="68"/>
        <v>0</v>
      </c>
      <c r="Z121" s="33">
        <f t="shared" si="68"/>
        <v>0</v>
      </c>
      <c r="AA121" s="33">
        <f t="shared" si="68"/>
        <v>0</v>
      </c>
      <c r="AB121" s="33">
        <f t="shared" si="68"/>
        <v>0</v>
      </c>
      <c r="AC121" s="33">
        <f t="shared" si="68"/>
        <v>0</v>
      </c>
      <c r="AD121" s="33">
        <f t="shared" si="68"/>
        <v>0</v>
      </c>
      <c r="AE121" s="33">
        <f t="shared" si="68"/>
        <v>0</v>
      </c>
      <c r="AF121" s="33">
        <f t="shared" si="68"/>
        <v>0</v>
      </c>
      <c r="AG121" s="33">
        <f t="shared" si="68"/>
        <v>0</v>
      </c>
      <c r="AH121" s="33">
        <f t="shared" si="68"/>
        <v>0</v>
      </c>
      <c r="AI121" s="33">
        <f t="shared" si="68"/>
        <v>0</v>
      </c>
      <c r="AJ121" s="33">
        <f t="shared" si="68"/>
        <v>0</v>
      </c>
      <c r="AK121" s="34">
        <f t="shared" si="61"/>
        <v>0</v>
      </c>
      <c r="AM121" s="3" t="str">
        <f>IFERROR(VLOOKUP(C121,EQ_Cont,9,FALSE),"")</f>
        <v/>
      </c>
    </row>
    <row r="122" spans="1:39" ht="13.2" x14ac:dyDescent="0.25">
      <c r="A122" s="22"/>
      <c r="B122" s="35">
        <v>6</v>
      </c>
      <c r="C122" s="24" t="str">
        <f>IF(ISBLANK([1]DBPCFA!AP26),"",[1]DBPCFA!AP26)</f>
        <v/>
      </c>
      <c r="D122" s="25"/>
      <c r="E122" s="26"/>
      <c r="F122" s="27">
        <f t="shared" ref="F122:AJ122" si="69">SUMIFS(EQ_HAct,Desc_EQ,$C122,Fecha_Inf_EQ,VALUE($AN$1&amp;TEXT(F$11,"00")))</f>
        <v>0</v>
      </c>
      <c r="G122" s="27">
        <f t="shared" si="69"/>
        <v>0</v>
      </c>
      <c r="H122" s="27">
        <f t="shared" si="69"/>
        <v>0</v>
      </c>
      <c r="I122" s="27">
        <f t="shared" si="69"/>
        <v>0</v>
      </c>
      <c r="J122" s="27">
        <f t="shared" si="69"/>
        <v>0</v>
      </c>
      <c r="K122" s="27">
        <f t="shared" si="69"/>
        <v>0</v>
      </c>
      <c r="L122" s="27">
        <f t="shared" si="69"/>
        <v>0</v>
      </c>
      <c r="M122" s="27">
        <f t="shared" si="69"/>
        <v>0</v>
      </c>
      <c r="N122" s="27">
        <f t="shared" si="69"/>
        <v>0</v>
      </c>
      <c r="O122" s="27">
        <f t="shared" si="69"/>
        <v>0</v>
      </c>
      <c r="P122" s="27">
        <f t="shared" si="69"/>
        <v>0</v>
      </c>
      <c r="Q122" s="27">
        <f t="shared" si="69"/>
        <v>0</v>
      </c>
      <c r="R122" s="27">
        <f t="shared" si="69"/>
        <v>0</v>
      </c>
      <c r="S122" s="27">
        <f t="shared" si="69"/>
        <v>0</v>
      </c>
      <c r="T122" s="27">
        <f t="shared" si="69"/>
        <v>0</v>
      </c>
      <c r="U122" s="27">
        <f t="shared" si="69"/>
        <v>0</v>
      </c>
      <c r="V122" s="27">
        <f t="shared" si="69"/>
        <v>0</v>
      </c>
      <c r="W122" s="27">
        <f t="shared" si="69"/>
        <v>0</v>
      </c>
      <c r="X122" s="27">
        <f t="shared" si="69"/>
        <v>0</v>
      </c>
      <c r="Y122" s="27">
        <f t="shared" si="69"/>
        <v>0</v>
      </c>
      <c r="Z122" s="27">
        <f t="shared" si="69"/>
        <v>0</v>
      </c>
      <c r="AA122" s="27">
        <f t="shared" si="69"/>
        <v>0</v>
      </c>
      <c r="AB122" s="27">
        <f t="shared" si="69"/>
        <v>0</v>
      </c>
      <c r="AC122" s="27">
        <f t="shared" si="69"/>
        <v>0</v>
      </c>
      <c r="AD122" s="27">
        <f t="shared" si="69"/>
        <v>0</v>
      </c>
      <c r="AE122" s="27">
        <f t="shared" si="69"/>
        <v>0</v>
      </c>
      <c r="AF122" s="27">
        <f t="shared" si="69"/>
        <v>0</v>
      </c>
      <c r="AG122" s="27">
        <f t="shared" si="69"/>
        <v>0</v>
      </c>
      <c r="AH122" s="27">
        <f t="shared" si="69"/>
        <v>0</v>
      </c>
      <c r="AI122" s="27">
        <f t="shared" si="69"/>
        <v>0</v>
      </c>
      <c r="AJ122" s="27">
        <f t="shared" si="69"/>
        <v>0</v>
      </c>
      <c r="AK122" s="28">
        <f t="shared" si="61"/>
        <v>0</v>
      </c>
    </row>
    <row r="123" spans="1:39" ht="13.2" x14ac:dyDescent="0.25">
      <c r="A123" s="22"/>
      <c r="B123" s="29"/>
      <c r="C123" s="30"/>
      <c r="D123" s="31"/>
      <c r="E123" s="32"/>
      <c r="F123" s="33">
        <f t="shared" ref="F123:AJ123" si="70">SUMIFS(EQ_HInac,Desc_EQ,$C122,Fecha_Inf_EQ,VALUE($AN$1&amp;TEXT(F$11,"00")))</f>
        <v>0</v>
      </c>
      <c r="G123" s="33">
        <f t="shared" si="70"/>
        <v>0</v>
      </c>
      <c r="H123" s="33">
        <f t="shared" si="70"/>
        <v>0</v>
      </c>
      <c r="I123" s="33">
        <f t="shared" si="70"/>
        <v>0</v>
      </c>
      <c r="J123" s="33">
        <f t="shared" si="70"/>
        <v>0</v>
      </c>
      <c r="K123" s="33">
        <f t="shared" si="70"/>
        <v>0</v>
      </c>
      <c r="L123" s="33">
        <f t="shared" si="70"/>
        <v>0</v>
      </c>
      <c r="M123" s="33">
        <f t="shared" si="70"/>
        <v>0</v>
      </c>
      <c r="N123" s="33">
        <f t="shared" si="70"/>
        <v>0</v>
      </c>
      <c r="O123" s="33">
        <f t="shared" si="70"/>
        <v>0</v>
      </c>
      <c r="P123" s="33">
        <f t="shared" si="70"/>
        <v>0</v>
      </c>
      <c r="Q123" s="33">
        <f t="shared" si="70"/>
        <v>0</v>
      </c>
      <c r="R123" s="33">
        <f t="shared" si="70"/>
        <v>0</v>
      </c>
      <c r="S123" s="33">
        <f t="shared" si="70"/>
        <v>0</v>
      </c>
      <c r="T123" s="33">
        <f t="shared" si="70"/>
        <v>0</v>
      </c>
      <c r="U123" s="33">
        <f t="shared" si="70"/>
        <v>0</v>
      </c>
      <c r="V123" s="33">
        <f t="shared" si="70"/>
        <v>0</v>
      </c>
      <c r="W123" s="33">
        <f t="shared" si="70"/>
        <v>0</v>
      </c>
      <c r="X123" s="33">
        <f t="shared" si="70"/>
        <v>0</v>
      </c>
      <c r="Y123" s="33">
        <f t="shared" si="70"/>
        <v>0</v>
      </c>
      <c r="Z123" s="33">
        <f t="shared" si="70"/>
        <v>0</v>
      </c>
      <c r="AA123" s="33">
        <f t="shared" si="70"/>
        <v>0</v>
      </c>
      <c r="AB123" s="33">
        <f t="shared" si="70"/>
        <v>0</v>
      </c>
      <c r="AC123" s="33">
        <f t="shared" si="70"/>
        <v>0</v>
      </c>
      <c r="AD123" s="33">
        <f t="shared" si="70"/>
        <v>0</v>
      </c>
      <c r="AE123" s="33">
        <f t="shared" si="70"/>
        <v>0</v>
      </c>
      <c r="AF123" s="33">
        <f t="shared" si="70"/>
        <v>0</v>
      </c>
      <c r="AG123" s="33">
        <f t="shared" si="70"/>
        <v>0</v>
      </c>
      <c r="AH123" s="33">
        <f t="shared" si="70"/>
        <v>0</v>
      </c>
      <c r="AI123" s="33">
        <f t="shared" si="70"/>
        <v>0</v>
      </c>
      <c r="AJ123" s="33">
        <f t="shared" si="70"/>
        <v>0</v>
      </c>
      <c r="AK123" s="34">
        <f t="shared" si="61"/>
        <v>0</v>
      </c>
      <c r="AM123" s="3" t="str">
        <f>IFERROR(VLOOKUP(C123,EQ_Cont,9,FALSE),"")</f>
        <v/>
      </c>
    </row>
    <row r="124" spans="1:39" ht="13.2" x14ac:dyDescent="0.25">
      <c r="A124" s="22"/>
      <c r="B124" s="35">
        <v>7</v>
      </c>
      <c r="C124" s="24" t="str">
        <f>IF(ISBLANK([1]DBPCFA!AP27),"",[1]DBPCFA!AP27)</f>
        <v/>
      </c>
      <c r="D124" s="25"/>
      <c r="E124" s="26"/>
      <c r="F124" s="27">
        <f t="shared" ref="F124:AJ124" si="71">SUMIFS(EQ_HAct,Desc_EQ,$C124,Fecha_Inf_EQ,VALUE($AN$1&amp;TEXT(F$11,"00")))</f>
        <v>0</v>
      </c>
      <c r="G124" s="27">
        <f t="shared" si="71"/>
        <v>0</v>
      </c>
      <c r="H124" s="27">
        <f t="shared" si="71"/>
        <v>0</v>
      </c>
      <c r="I124" s="27">
        <f t="shared" si="71"/>
        <v>0</v>
      </c>
      <c r="J124" s="27">
        <f t="shared" si="71"/>
        <v>0</v>
      </c>
      <c r="K124" s="27">
        <f t="shared" si="71"/>
        <v>0</v>
      </c>
      <c r="L124" s="27">
        <f t="shared" si="71"/>
        <v>0</v>
      </c>
      <c r="M124" s="27">
        <f t="shared" si="71"/>
        <v>0</v>
      </c>
      <c r="N124" s="27">
        <f t="shared" si="71"/>
        <v>0</v>
      </c>
      <c r="O124" s="27">
        <f t="shared" si="71"/>
        <v>0</v>
      </c>
      <c r="P124" s="27">
        <f t="shared" si="71"/>
        <v>0</v>
      </c>
      <c r="Q124" s="27">
        <f t="shared" si="71"/>
        <v>0</v>
      </c>
      <c r="R124" s="27">
        <f t="shared" si="71"/>
        <v>0</v>
      </c>
      <c r="S124" s="27">
        <f t="shared" si="71"/>
        <v>0</v>
      </c>
      <c r="T124" s="27">
        <f t="shared" si="71"/>
        <v>0</v>
      </c>
      <c r="U124" s="27">
        <f t="shared" si="71"/>
        <v>0</v>
      </c>
      <c r="V124" s="27">
        <f t="shared" si="71"/>
        <v>0</v>
      </c>
      <c r="W124" s="27">
        <f t="shared" si="71"/>
        <v>0</v>
      </c>
      <c r="X124" s="27">
        <f t="shared" si="71"/>
        <v>0</v>
      </c>
      <c r="Y124" s="27">
        <f t="shared" si="71"/>
        <v>0</v>
      </c>
      <c r="Z124" s="27">
        <f t="shared" si="71"/>
        <v>0</v>
      </c>
      <c r="AA124" s="27">
        <f t="shared" si="71"/>
        <v>0</v>
      </c>
      <c r="AB124" s="27">
        <f t="shared" si="71"/>
        <v>0</v>
      </c>
      <c r="AC124" s="27">
        <f t="shared" si="71"/>
        <v>0</v>
      </c>
      <c r="AD124" s="27">
        <f t="shared" si="71"/>
        <v>0</v>
      </c>
      <c r="AE124" s="27">
        <f t="shared" si="71"/>
        <v>0</v>
      </c>
      <c r="AF124" s="27">
        <f t="shared" si="71"/>
        <v>0</v>
      </c>
      <c r="AG124" s="27">
        <f t="shared" si="71"/>
        <v>0</v>
      </c>
      <c r="AH124" s="27">
        <f t="shared" si="71"/>
        <v>0</v>
      </c>
      <c r="AI124" s="27">
        <f t="shared" si="71"/>
        <v>0</v>
      </c>
      <c r="AJ124" s="27">
        <f t="shared" si="71"/>
        <v>0</v>
      </c>
      <c r="AK124" s="28">
        <f t="shared" si="61"/>
        <v>0</v>
      </c>
    </row>
    <row r="125" spans="1:39" ht="13.2" x14ac:dyDescent="0.25">
      <c r="A125" s="22"/>
      <c r="B125" s="29"/>
      <c r="C125" s="30"/>
      <c r="D125" s="31"/>
      <c r="E125" s="32"/>
      <c r="F125" s="33">
        <f t="shared" ref="F125:AJ125" si="72">SUMIFS(EQ_HInac,Desc_EQ,$C124,Fecha_Inf_EQ,VALUE($AN$1&amp;TEXT(F$11,"00")))</f>
        <v>0</v>
      </c>
      <c r="G125" s="33">
        <f t="shared" si="72"/>
        <v>0</v>
      </c>
      <c r="H125" s="33">
        <f t="shared" si="72"/>
        <v>0</v>
      </c>
      <c r="I125" s="33">
        <f t="shared" si="72"/>
        <v>0</v>
      </c>
      <c r="J125" s="33">
        <f t="shared" si="72"/>
        <v>0</v>
      </c>
      <c r="K125" s="33">
        <f t="shared" si="72"/>
        <v>0</v>
      </c>
      <c r="L125" s="33">
        <f t="shared" si="72"/>
        <v>0</v>
      </c>
      <c r="M125" s="33">
        <f t="shared" si="72"/>
        <v>0</v>
      </c>
      <c r="N125" s="33">
        <f t="shared" si="72"/>
        <v>0</v>
      </c>
      <c r="O125" s="33">
        <f t="shared" si="72"/>
        <v>0</v>
      </c>
      <c r="P125" s="33">
        <f t="shared" si="72"/>
        <v>0</v>
      </c>
      <c r="Q125" s="33">
        <f t="shared" si="72"/>
        <v>0</v>
      </c>
      <c r="R125" s="33">
        <f t="shared" si="72"/>
        <v>0</v>
      </c>
      <c r="S125" s="33">
        <f t="shared" si="72"/>
        <v>0</v>
      </c>
      <c r="T125" s="33">
        <f t="shared" si="72"/>
        <v>0</v>
      </c>
      <c r="U125" s="33">
        <f t="shared" si="72"/>
        <v>0</v>
      </c>
      <c r="V125" s="33">
        <f t="shared" si="72"/>
        <v>0</v>
      </c>
      <c r="W125" s="33">
        <f t="shared" si="72"/>
        <v>0</v>
      </c>
      <c r="X125" s="33">
        <f t="shared" si="72"/>
        <v>0</v>
      </c>
      <c r="Y125" s="33">
        <f t="shared" si="72"/>
        <v>0</v>
      </c>
      <c r="Z125" s="33">
        <f t="shared" si="72"/>
        <v>0</v>
      </c>
      <c r="AA125" s="33">
        <f t="shared" si="72"/>
        <v>0</v>
      </c>
      <c r="AB125" s="33">
        <f t="shared" si="72"/>
        <v>0</v>
      </c>
      <c r="AC125" s="33">
        <f t="shared" si="72"/>
        <v>0</v>
      </c>
      <c r="AD125" s="33">
        <f t="shared" si="72"/>
        <v>0</v>
      </c>
      <c r="AE125" s="33">
        <f t="shared" si="72"/>
        <v>0</v>
      </c>
      <c r="AF125" s="33">
        <f t="shared" si="72"/>
        <v>0</v>
      </c>
      <c r="AG125" s="33">
        <f t="shared" si="72"/>
        <v>0</v>
      </c>
      <c r="AH125" s="33">
        <f t="shared" si="72"/>
        <v>0</v>
      </c>
      <c r="AI125" s="33">
        <f t="shared" si="72"/>
        <v>0</v>
      </c>
      <c r="AJ125" s="33">
        <f t="shared" si="72"/>
        <v>0</v>
      </c>
      <c r="AK125" s="34">
        <f t="shared" si="61"/>
        <v>0</v>
      </c>
      <c r="AM125" s="3" t="str">
        <f>IFERROR(VLOOKUP(C125,EQ_Cont,9,FALSE),"")</f>
        <v/>
      </c>
    </row>
    <row r="126" spans="1:39" ht="13.2" x14ac:dyDescent="0.25">
      <c r="A126" s="22"/>
      <c r="B126" s="37">
        <v>8</v>
      </c>
      <c r="C126" s="24" t="str">
        <f>IF(ISBLANK([1]DBPCFA!AP28),"",[1]DBPCFA!AP28)</f>
        <v/>
      </c>
      <c r="D126" s="25"/>
      <c r="E126" s="26"/>
      <c r="F126" s="27">
        <f t="shared" ref="F126:AJ126" si="73">SUMIFS(EQ_HAct,Desc_EQ,$C126,Fecha_Inf_EQ,VALUE($AN$1&amp;TEXT(F$11,"00")))</f>
        <v>0</v>
      </c>
      <c r="G126" s="27">
        <f t="shared" si="73"/>
        <v>0</v>
      </c>
      <c r="H126" s="27">
        <f t="shared" si="73"/>
        <v>0</v>
      </c>
      <c r="I126" s="27">
        <f t="shared" si="73"/>
        <v>0</v>
      </c>
      <c r="J126" s="27">
        <f t="shared" si="73"/>
        <v>0</v>
      </c>
      <c r="K126" s="27">
        <f t="shared" si="73"/>
        <v>0</v>
      </c>
      <c r="L126" s="27">
        <f t="shared" si="73"/>
        <v>0</v>
      </c>
      <c r="M126" s="27">
        <f t="shared" si="73"/>
        <v>0</v>
      </c>
      <c r="N126" s="27">
        <f t="shared" si="73"/>
        <v>0</v>
      </c>
      <c r="O126" s="27">
        <f t="shared" si="73"/>
        <v>0</v>
      </c>
      <c r="P126" s="27">
        <f t="shared" si="73"/>
        <v>0</v>
      </c>
      <c r="Q126" s="27">
        <f t="shared" si="73"/>
        <v>0</v>
      </c>
      <c r="R126" s="27">
        <f t="shared" si="73"/>
        <v>0</v>
      </c>
      <c r="S126" s="27">
        <f t="shared" si="73"/>
        <v>0</v>
      </c>
      <c r="T126" s="27">
        <f t="shared" si="73"/>
        <v>0</v>
      </c>
      <c r="U126" s="27">
        <f t="shared" si="73"/>
        <v>0</v>
      </c>
      <c r="V126" s="27">
        <f t="shared" si="73"/>
        <v>0</v>
      </c>
      <c r="W126" s="27">
        <f t="shared" si="73"/>
        <v>0</v>
      </c>
      <c r="X126" s="27">
        <f t="shared" si="73"/>
        <v>0</v>
      </c>
      <c r="Y126" s="27">
        <f t="shared" si="73"/>
        <v>0</v>
      </c>
      <c r="Z126" s="27">
        <f t="shared" si="73"/>
        <v>0</v>
      </c>
      <c r="AA126" s="27">
        <f t="shared" si="73"/>
        <v>0</v>
      </c>
      <c r="AB126" s="27">
        <f t="shared" si="73"/>
        <v>0</v>
      </c>
      <c r="AC126" s="27">
        <f t="shared" si="73"/>
        <v>0</v>
      </c>
      <c r="AD126" s="27">
        <f t="shared" si="73"/>
        <v>0</v>
      </c>
      <c r="AE126" s="27">
        <f t="shared" si="73"/>
        <v>0</v>
      </c>
      <c r="AF126" s="27">
        <f t="shared" si="73"/>
        <v>0</v>
      </c>
      <c r="AG126" s="27">
        <f t="shared" si="73"/>
        <v>0</v>
      </c>
      <c r="AH126" s="27">
        <f t="shared" si="73"/>
        <v>0</v>
      </c>
      <c r="AI126" s="27">
        <f t="shared" si="73"/>
        <v>0</v>
      </c>
      <c r="AJ126" s="27">
        <f t="shared" si="73"/>
        <v>0</v>
      </c>
      <c r="AK126" s="28">
        <f t="shared" si="61"/>
        <v>0</v>
      </c>
    </row>
    <row r="127" spans="1:39" ht="13.2" x14ac:dyDescent="0.25">
      <c r="A127" s="22"/>
      <c r="B127" s="37"/>
      <c r="C127" s="30"/>
      <c r="D127" s="31"/>
      <c r="E127" s="32"/>
      <c r="F127" s="33">
        <f t="shared" ref="F127:AJ127" si="74">SUMIFS(EQ_HInac,Desc_EQ,$C126,Fecha_Inf_EQ,VALUE($AN$1&amp;TEXT(F$11,"00")))</f>
        <v>0</v>
      </c>
      <c r="G127" s="33">
        <f t="shared" si="74"/>
        <v>0</v>
      </c>
      <c r="H127" s="33">
        <f t="shared" si="74"/>
        <v>0</v>
      </c>
      <c r="I127" s="33">
        <f t="shared" si="74"/>
        <v>0</v>
      </c>
      <c r="J127" s="33">
        <f t="shared" si="74"/>
        <v>0</v>
      </c>
      <c r="K127" s="33">
        <f t="shared" si="74"/>
        <v>0</v>
      </c>
      <c r="L127" s="33">
        <f t="shared" si="74"/>
        <v>0</v>
      </c>
      <c r="M127" s="33">
        <f t="shared" si="74"/>
        <v>0</v>
      </c>
      <c r="N127" s="33">
        <f t="shared" si="74"/>
        <v>0</v>
      </c>
      <c r="O127" s="33">
        <f t="shared" si="74"/>
        <v>0</v>
      </c>
      <c r="P127" s="33">
        <f t="shared" si="74"/>
        <v>0</v>
      </c>
      <c r="Q127" s="33">
        <f t="shared" si="74"/>
        <v>0</v>
      </c>
      <c r="R127" s="33">
        <f t="shared" si="74"/>
        <v>0</v>
      </c>
      <c r="S127" s="33">
        <f t="shared" si="74"/>
        <v>0</v>
      </c>
      <c r="T127" s="33">
        <f t="shared" si="74"/>
        <v>0</v>
      </c>
      <c r="U127" s="33">
        <f t="shared" si="74"/>
        <v>0</v>
      </c>
      <c r="V127" s="33">
        <f t="shared" si="74"/>
        <v>0</v>
      </c>
      <c r="W127" s="33">
        <f t="shared" si="74"/>
        <v>0</v>
      </c>
      <c r="X127" s="33">
        <f t="shared" si="74"/>
        <v>0</v>
      </c>
      <c r="Y127" s="33">
        <f t="shared" si="74"/>
        <v>0</v>
      </c>
      <c r="Z127" s="33">
        <f t="shared" si="74"/>
        <v>0</v>
      </c>
      <c r="AA127" s="33">
        <f t="shared" si="74"/>
        <v>0</v>
      </c>
      <c r="AB127" s="33">
        <f t="shared" si="74"/>
        <v>0</v>
      </c>
      <c r="AC127" s="33">
        <f t="shared" si="74"/>
        <v>0</v>
      </c>
      <c r="AD127" s="33">
        <f t="shared" si="74"/>
        <v>0</v>
      </c>
      <c r="AE127" s="33">
        <f t="shared" si="74"/>
        <v>0</v>
      </c>
      <c r="AF127" s="33">
        <f t="shared" si="74"/>
        <v>0</v>
      </c>
      <c r="AG127" s="33">
        <f t="shared" si="74"/>
        <v>0</v>
      </c>
      <c r="AH127" s="33">
        <f t="shared" si="74"/>
        <v>0</v>
      </c>
      <c r="AI127" s="33">
        <f t="shared" si="74"/>
        <v>0</v>
      </c>
      <c r="AJ127" s="33">
        <f t="shared" si="74"/>
        <v>0</v>
      </c>
      <c r="AK127" s="34">
        <f t="shared" si="61"/>
        <v>0</v>
      </c>
      <c r="AM127" s="3" t="str">
        <f>IFERROR(VLOOKUP(C127,EQ_Cont,9,FALSE),"")</f>
        <v/>
      </c>
    </row>
    <row r="128" spans="1:39" ht="13.2" x14ac:dyDescent="0.25">
      <c r="A128" s="22"/>
      <c r="B128" s="37">
        <v>9</v>
      </c>
      <c r="C128" s="24" t="str">
        <f>IF(ISBLANK([1]DBPCFA!AP29),"",[1]DBPCFA!AP29)</f>
        <v/>
      </c>
      <c r="D128" s="25"/>
      <c r="E128" s="26"/>
      <c r="F128" s="27">
        <f t="shared" ref="F128:AJ128" si="75">SUMIFS(EQ_HAct,Desc_EQ,$C128,Fecha_Inf_EQ,VALUE($AN$1&amp;TEXT(F$11,"00")))</f>
        <v>0</v>
      </c>
      <c r="G128" s="27">
        <f t="shared" si="75"/>
        <v>0</v>
      </c>
      <c r="H128" s="27">
        <f t="shared" si="75"/>
        <v>0</v>
      </c>
      <c r="I128" s="27">
        <f t="shared" si="75"/>
        <v>0</v>
      </c>
      <c r="J128" s="27">
        <f t="shared" si="75"/>
        <v>0</v>
      </c>
      <c r="K128" s="27">
        <f t="shared" si="75"/>
        <v>0</v>
      </c>
      <c r="L128" s="27">
        <f t="shared" si="75"/>
        <v>0</v>
      </c>
      <c r="M128" s="27">
        <f t="shared" si="75"/>
        <v>0</v>
      </c>
      <c r="N128" s="27">
        <f t="shared" si="75"/>
        <v>0</v>
      </c>
      <c r="O128" s="27">
        <f t="shared" si="75"/>
        <v>0</v>
      </c>
      <c r="P128" s="27">
        <f t="shared" si="75"/>
        <v>0</v>
      </c>
      <c r="Q128" s="27">
        <f t="shared" si="75"/>
        <v>0</v>
      </c>
      <c r="R128" s="27">
        <f t="shared" si="75"/>
        <v>0</v>
      </c>
      <c r="S128" s="27">
        <f t="shared" si="75"/>
        <v>0</v>
      </c>
      <c r="T128" s="27">
        <f t="shared" si="75"/>
        <v>0</v>
      </c>
      <c r="U128" s="27">
        <f t="shared" si="75"/>
        <v>0</v>
      </c>
      <c r="V128" s="27">
        <f t="shared" si="75"/>
        <v>0</v>
      </c>
      <c r="W128" s="27">
        <f t="shared" si="75"/>
        <v>0</v>
      </c>
      <c r="X128" s="27">
        <f t="shared" si="75"/>
        <v>0</v>
      </c>
      <c r="Y128" s="27">
        <f t="shared" si="75"/>
        <v>0</v>
      </c>
      <c r="Z128" s="27">
        <f t="shared" si="75"/>
        <v>0</v>
      </c>
      <c r="AA128" s="27">
        <f t="shared" si="75"/>
        <v>0</v>
      </c>
      <c r="AB128" s="27">
        <f t="shared" si="75"/>
        <v>0</v>
      </c>
      <c r="AC128" s="27">
        <f t="shared" si="75"/>
        <v>0</v>
      </c>
      <c r="AD128" s="27">
        <f t="shared" si="75"/>
        <v>0</v>
      </c>
      <c r="AE128" s="27">
        <f t="shared" si="75"/>
        <v>0</v>
      </c>
      <c r="AF128" s="27">
        <f t="shared" si="75"/>
        <v>0</v>
      </c>
      <c r="AG128" s="27">
        <f t="shared" si="75"/>
        <v>0</v>
      </c>
      <c r="AH128" s="27">
        <f t="shared" si="75"/>
        <v>0</v>
      </c>
      <c r="AI128" s="27">
        <f t="shared" si="75"/>
        <v>0</v>
      </c>
      <c r="AJ128" s="27">
        <f t="shared" si="75"/>
        <v>0</v>
      </c>
      <c r="AK128" s="28">
        <f t="shared" si="61"/>
        <v>0</v>
      </c>
    </row>
    <row r="129" spans="1:39" ht="13.2" x14ac:dyDescent="0.25">
      <c r="A129" s="22"/>
      <c r="B129" s="37"/>
      <c r="C129" s="30"/>
      <c r="D129" s="31"/>
      <c r="E129" s="32"/>
      <c r="F129" s="33">
        <f t="shared" ref="F129:AJ129" si="76">SUMIFS(EQ_HInac,Desc_EQ,$C128,Fecha_Inf_EQ,VALUE($AN$1&amp;TEXT(F$11,"00")))</f>
        <v>0</v>
      </c>
      <c r="G129" s="33">
        <f t="shared" si="76"/>
        <v>0</v>
      </c>
      <c r="H129" s="33">
        <f t="shared" si="76"/>
        <v>0</v>
      </c>
      <c r="I129" s="33">
        <f t="shared" si="76"/>
        <v>0</v>
      </c>
      <c r="J129" s="33">
        <f t="shared" si="76"/>
        <v>0</v>
      </c>
      <c r="K129" s="33">
        <f t="shared" si="76"/>
        <v>0</v>
      </c>
      <c r="L129" s="33">
        <f t="shared" si="76"/>
        <v>0</v>
      </c>
      <c r="M129" s="33">
        <f t="shared" si="76"/>
        <v>0</v>
      </c>
      <c r="N129" s="33">
        <f t="shared" si="76"/>
        <v>0</v>
      </c>
      <c r="O129" s="33">
        <f t="shared" si="76"/>
        <v>0</v>
      </c>
      <c r="P129" s="33">
        <f t="shared" si="76"/>
        <v>0</v>
      </c>
      <c r="Q129" s="33">
        <f t="shared" si="76"/>
        <v>0</v>
      </c>
      <c r="R129" s="33">
        <f t="shared" si="76"/>
        <v>0</v>
      </c>
      <c r="S129" s="33">
        <f t="shared" si="76"/>
        <v>0</v>
      </c>
      <c r="T129" s="33">
        <f t="shared" si="76"/>
        <v>0</v>
      </c>
      <c r="U129" s="33">
        <f t="shared" si="76"/>
        <v>0</v>
      </c>
      <c r="V129" s="33">
        <f t="shared" si="76"/>
        <v>0</v>
      </c>
      <c r="W129" s="33">
        <f t="shared" si="76"/>
        <v>0</v>
      </c>
      <c r="X129" s="33">
        <f t="shared" si="76"/>
        <v>0</v>
      </c>
      <c r="Y129" s="33">
        <f t="shared" si="76"/>
        <v>0</v>
      </c>
      <c r="Z129" s="33">
        <f t="shared" si="76"/>
        <v>0</v>
      </c>
      <c r="AA129" s="33">
        <f t="shared" si="76"/>
        <v>0</v>
      </c>
      <c r="AB129" s="33">
        <f t="shared" si="76"/>
        <v>0</v>
      </c>
      <c r="AC129" s="33">
        <f t="shared" si="76"/>
        <v>0</v>
      </c>
      <c r="AD129" s="33">
        <f t="shared" si="76"/>
        <v>0</v>
      </c>
      <c r="AE129" s="33">
        <f t="shared" si="76"/>
        <v>0</v>
      </c>
      <c r="AF129" s="33">
        <f t="shared" si="76"/>
        <v>0</v>
      </c>
      <c r="AG129" s="33">
        <f t="shared" si="76"/>
        <v>0</v>
      </c>
      <c r="AH129" s="33">
        <f t="shared" si="76"/>
        <v>0</v>
      </c>
      <c r="AI129" s="33">
        <f t="shared" si="76"/>
        <v>0</v>
      </c>
      <c r="AJ129" s="33">
        <f t="shared" si="76"/>
        <v>0</v>
      </c>
      <c r="AK129" s="34">
        <f t="shared" si="61"/>
        <v>0</v>
      </c>
      <c r="AM129" s="3" t="str">
        <f>IFERROR(VLOOKUP(C129,EQ_Cont,9,FALSE),"")</f>
        <v/>
      </c>
    </row>
    <row r="130" spans="1:39" ht="13.2" x14ac:dyDescent="0.25">
      <c r="A130" s="22"/>
      <c r="B130" s="37">
        <v>10</v>
      </c>
      <c r="C130" s="24" t="str">
        <f>IF(ISBLANK([1]DBPCFA!AP30),"",[1]DBPCFA!AP30)</f>
        <v/>
      </c>
      <c r="D130" s="25"/>
      <c r="E130" s="26"/>
      <c r="F130" s="27">
        <f t="shared" ref="F130:AJ130" si="77">SUMIFS(EQ_HAct,Desc_EQ,$C130,Fecha_Inf_EQ,VALUE($AN$1&amp;TEXT(F$11,"00")))</f>
        <v>0</v>
      </c>
      <c r="G130" s="27">
        <f t="shared" si="77"/>
        <v>0</v>
      </c>
      <c r="H130" s="27">
        <f t="shared" si="77"/>
        <v>0</v>
      </c>
      <c r="I130" s="27">
        <f t="shared" si="77"/>
        <v>0</v>
      </c>
      <c r="J130" s="27">
        <f t="shared" si="77"/>
        <v>0</v>
      </c>
      <c r="K130" s="27">
        <f t="shared" si="77"/>
        <v>0</v>
      </c>
      <c r="L130" s="27">
        <f t="shared" si="77"/>
        <v>0</v>
      </c>
      <c r="M130" s="27">
        <f t="shared" si="77"/>
        <v>0</v>
      </c>
      <c r="N130" s="27">
        <f t="shared" si="77"/>
        <v>0</v>
      </c>
      <c r="O130" s="27">
        <f t="shared" si="77"/>
        <v>0</v>
      </c>
      <c r="P130" s="27">
        <f t="shared" si="77"/>
        <v>0</v>
      </c>
      <c r="Q130" s="27">
        <f t="shared" si="77"/>
        <v>0</v>
      </c>
      <c r="R130" s="27">
        <f t="shared" si="77"/>
        <v>0</v>
      </c>
      <c r="S130" s="27">
        <f t="shared" si="77"/>
        <v>0</v>
      </c>
      <c r="T130" s="27">
        <f t="shared" si="77"/>
        <v>0</v>
      </c>
      <c r="U130" s="27">
        <f t="shared" si="77"/>
        <v>0</v>
      </c>
      <c r="V130" s="27">
        <f t="shared" si="77"/>
        <v>0</v>
      </c>
      <c r="W130" s="27">
        <f t="shared" si="77"/>
        <v>0</v>
      </c>
      <c r="X130" s="27">
        <f t="shared" si="77"/>
        <v>0</v>
      </c>
      <c r="Y130" s="27">
        <f t="shared" si="77"/>
        <v>0</v>
      </c>
      <c r="Z130" s="27">
        <f t="shared" si="77"/>
        <v>0</v>
      </c>
      <c r="AA130" s="27">
        <f t="shared" si="77"/>
        <v>0</v>
      </c>
      <c r="AB130" s="27">
        <f t="shared" si="77"/>
        <v>0</v>
      </c>
      <c r="AC130" s="27">
        <f t="shared" si="77"/>
        <v>0</v>
      </c>
      <c r="AD130" s="27">
        <f t="shared" si="77"/>
        <v>0</v>
      </c>
      <c r="AE130" s="27">
        <f t="shared" si="77"/>
        <v>0</v>
      </c>
      <c r="AF130" s="27">
        <f t="shared" si="77"/>
        <v>0</v>
      </c>
      <c r="AG130" s="27">
        <f t="shared" si="77"/>
        <v>0</v>
      </c>
      <c r="AH130" s="27">
        <f t="shared" si="77"/>
        <v>0</v>
      </c>
      <c r="AI130" s="27">
        <f t="shared" si="77"/>
        <v>0</v>
      </c>
      <c r="AJ130" s="27">
        <f t="shared" si="77"/>
        <v>0</v>
      </c>
      <c r="AK130" s="28">
        <f t="shared" si="61"/>
        <v>0</v>
      </c>
    </row>
    <row r="131" spans="1:39" ht="13.2" x14ac:dyDescent="0.25">
      <c r="A131" s="22"/>
      <c r="B131" s="37"/>
      <c r="C131" s="30"/>
      <c r="D131" s="31"/>
      <c r="E131" s="32"/>
      <c r="F131" s="33">
        <f t="shared" ref="F131:AJ131" si="78">SUMIFS(EQ_HInac,Desc_EQ,$C130,Fecha_Inf_EQ,VALUE($AN$1&amp;TEXT(F$11,"00")))</f>
        <v>0</v>
      </c>
      <c r="G131" s="33">
        <f t="shared" si="78"/>
        <v>0</v>
      </c>
      <c r="H131" s="33">
        <f t="shared" si="78"/>
        <v>0</v>
      </c>
      <c r="I131" s="33">
        <f t="shared" si="78"/>
        <v>0</v>
      </c>
      <c r="J131" s="33">
        <f t="shared" si="78"/>
        <v>0</v>
      </c>
      <c r="K131" s="33">
        <f t="shared" si="78"/>
        <v>0</v>
      </c>
      <c r="L131" s="33">
        <f t="shared" si="78"/>
        <v>0</v>
      </c>
      <c r="M131" s="33">
        <f t="shared" si="78"/>
        <v>0</v>
      </c>
      <c r="N131" s="33">
        <f t="shared" si="78"/>
        <v>0</v>
      </c>
      <c r="O131" s="33">
        <f t="shared" si="78"/>
        <v>0</v>
      </c>
      <c r="P131" s="33">
        <f t="shared" si="78"/>
        <v>0</v>
      </c>
      <c r="Q131" s="33">
        <f t="shared" si="78"/>
        <v>0</v>
      </c>
      <c r="R131" s="33">
        <f t="shared" si="78"/>
        <v>0</v>
      </c>
      <c r="S131" s="33">
        <f t="shared" si="78"/>
        <v>0</v>
      </c>
      <c r="T131" s="33">
        <f t="shared" si="78"/>
        <v>0</v>
      </c>
      <c r="U131" s="33">
        <f t="shared" si="78"/>
        <v>0</v>
      </c>
      <c r="V131" s="33">
        <f t="shared" si="78"/>
        <v>0</v>
      </c>
      <c r="W131" s="33">
        <f t="shared" si="78"/>
        <v>0</v>
      </c>
      <c r="X131" s="33">
        <f t="shared" si="78"/>
        <v>0</v>
      </c>
      <c r="Y131" s="33">
        <f t="shared" si="78"/>
        <v>0</v>
      </c>
      <c r="Z131" s="33">
        <f t="shared" si="78"/>
        <v>0</v>
      </c>
      <c r="AA131" s="33">
        <f t="shared" si="78"/>
        <v>0</v>
      </c>
      <c r="AB131" s="33">
        <f t="shared" si="78"/>
        <v>0</v>
      </c>
      <c r="AC131" s="33">
        <f t="shared" si="78"/>
        <v>0</v>
      </c>
      <c r="AD131" s="33">
        <f t="shared" si="78"/>
        <v>0</v>
      </c>
      <c r="AE131" s="33">
        <f t="shared" si="78"/>
        <v>0</v>
      </c>
      <c r="AF131" s="33">
        <f t="shared" si="78"/>
        <v>0</v>
      </c>
      <c r="AG131" s="33">
        <f t="shared" si="78"/>
        <v>0</v>
      </c>
      <c r="AH131" s="33">
        <f t="shared" si="78"/>
        <v>0</v>
      </c>
      <c r="AI131" s="33">
        <f t="shared" si="78"/>
        <v>0</v>
      </c>
      <c r="AJ131" s="33">
        <f t="shared" si="78"/>
        <v>0</v>
      </c>
      <c r="AK131" s="34">
        <f t="shared" si="61"/>
        <v>0</v>
      </c>
      <c r="AM131" s="3" t="str">
        <f>IFERROR(VLOOKUP(C131,EQ_Cont,9,FALSE),"")</f>
        <v/>
      </c>
    </row>
    <row r="132" spans="1:39" ht="12.75" customHeight="1" x14ac:dyDescent="0.25"/>
    <row r="133" spans="1:39" ht="13.2" x14ac:dyDescent="0.25">
      <c r="B133" s="16" t="s">
        <v>20</v>
      </c>
      <c r="C133" s="38" t="s">
        <v>21</v>
      </c>
      <c r="D133" s="16" t="s">
        <v>22</v>
      </c>
      <c r="E133" s="16" t="s">
        <v>23</v>
      </c>
      <c r="F133" s="17" t="s">
        <v>24</v>
      </c>
      <c r="G133" s="19"/>
      <c r="H133" s="39" t="s">
        <v>25</v>
      </c>
      <c r="I133" s="39"/>
      <c r="J133" s="39"/>
      <c r="K133" s="39" t="s">
        <v>26</v>
      </c>
      <c r="L133" s="39"/>
      <c r="M133" s="39"/>
      <c r="N133" s="39" t="s">
        <v>27</v>
      </c>
      <c r="O133" s="39"/>
      <c r="P133" s="39"/>
      <c r="Q133" s="17" t="s">
        <v>28</v>
      </c>
      <c r="R133" s="18"/>
      <c r="S133" s="19"/>
      <c r="T133" s="39" t="s">
        <v>29</v>
      </c>
      <c r="U133" s="39"/>
      <c r="V133" s="39"/>
      <c r="W133" s="17" t="s">
        <v>30</v>
      </c>
      <c r="X133" s="18"/>
      <c r="Y133" s="19"/>
      <c r="Z133" s="17" t="s">
        <v>31</v>
      </c>
      <c r="AA133" s="18"/>
      <c r="AB133" s="19"/>
      <c r="AC133" s="17" t="s">
        <v>32</v>
      </c>
      <c r="AD133" s="18"/>
      <c r="AE133" s="19"/>
      <c r="AF133" s="17" t="s">
        <v>33</v>
      </c>
      <c r="AG133" s="18"/>
      <c r="AH133" s="19"/>
      <c r="AI133" s="17" t="s">
        <v>34</v>
      </c>
      <c r="AJ133" s="18"/>
      <c r="AK133" s="19"/>
    </row>
    <row r="134" spans="1:39" ht="13.2" x14ac:dyDescent="0.25">
      <c r="B134" s="40"/>
      <c r="C134" s="41" t="s">
        <v>35</v>
      </c>
      <c r="D134" s="41" t="s">
        <v>36</v>
      </c>
      <c r="E134" s="41" t="s">
        <v>37</v>
      </c>
      <c r="F134" s="42" t="s">
        <v>37</v>
      </c>
      <c r="G134" s="43"/>
      <c r="H134" s="44" t="s">
        <v>38</v>
      </c>
      <c r="I134" s="45"/>
      <c r="J134" s="46"/>
      <c r="K134" s="44" t="s">
        <v>39</v>
      </c>
      <c r="L134" s="45"/>
      <c r="M134" s="46"/>
      <c r="N134" s="44" t="s">
        <v>40</v>
      </c>
      <c r="O134" s="45"/>
      <c r="P134" s="46"/>
      <c r="Q134" s="42" t="s">
        <v>39</v>
      </c>
      <c r="R134" s="47"/>
      <c r="S134" s="43"/>
      <c r="T134" s="42" t="s">
        <v>40</v>
      </c>
      <c r="U134" s="47"/>
      <c r="V134" s="43"/>
      <c r="W134" s="42" t="s">
        <v>39</v>
      </c>
      <c r="X134" s="47"/>
      <c r="Y134" s="43"/>
      <c r="Z134" s="42" t="s">
        <v>41</v>
      </c>
      <c r="AA134" s="47"/>
      <c r="AB134" s="43"/>
      <c r="AC134" s="42" t="s">
        <v>42</v>
      </c>
      <c r="AD134" s="47"/>
      <c r="AE134" s="43"/>
      <c r="AF134" s="42" t="s">
        <v>40</v>
      </c>
      <c r="AG134" s="47"/>
      <c r="AH134" s="43"/>
      <c r="AI134" s="42" t="s">
        <v>43</v>
      </c>
      <c r="AJ134" s="47"/>
      <c r="AK134" s="43"/>
    </row>
    <row r="135" spans="1:39" ht="13.2" x14ac:dyDescent="0.25">
      <c r="B135" s="20"/>
      <c r="C135" s="48" t="s">
        <v>44</v>
      </c>
      <c r="D135" s="48" t="s">
        <v>45</v>
      </c>
      <c r="E135" s="48" t="s">
        <v>46</v>
      </c>
      <c r="F135" s="49" t="s">
        <v>47</v>
      </c>
      <c r="G135" s="50"/>
      <c r="H135" s="44" t="s">
        <v>48</v>
      </c>
      <c r="I135" s="45"/>
      <c r="J135" s="46"/>
      <c r="K135" s="44" t="s">
        <v>49</v>
      </c>
      <c r="L135" s="45"/>
      <c r="M135" s="46"/>
      <c r="N135" s="44" t="s">
        <v>50</v>
      </c>
      <c r="O135" s="45"/>
      <c r="P135" s="46"/>
      <c r="Q135" s="49" t="s">
        <v>51</v>
      </c>
      <c r="R135" s="51"/>
      <c r="S135" s="50"/>
      <c r="T135" s="49" t="s">
        <v>51</v>
      </c>
      <c r="U135" s="51"/>
      <c r="V135" s="50"/>
      <c r="W135" s="49" t="s">
        <v>52</v>
      </c>
      <c r="X135" s="51"/>
      <c r="Y135" s="50"/>
      <c r="Z135" s="49" t="s">
        <v>53</v>
      </c>
      <c r="AA135" s="51"/>
      <c r="AB135" s="50"/>
      <c r="AC135" s="49" t="s">
        <v>54</v>
      </c>
      <c r="AD135" s="51"/>
      <c r="AE135" s="50"/>
      <c r="AF135" s="49" t="s">
        <v>55</v>
      </c>
      <c r="AG135" s="51"/>
      <c r="AH135" s="50"/>
      <c r="AI135" s="49" t="s">
        <v>56</v>
      </c>
      <c r="AJ135" s="51"/>
      <c r="AK135" s="50"/>
    </row>
    <row r="136" spans="1:39" ht="13.2" x14ac:dyDescent="0.25">
      <c r="B136" s="16"/>
      <c r="C136" s="16" t="s">
        <v>57</v>
      </c>
      <c r="D136" s="52" t="s">
        <v>58</v>
      </c>
      <c r="E136" s="16" t="s">
        <v>57</v>
      </c>
      <c r="F136" s="17" t="s">
        <v>57</v>
      </c>
      <c r="G136" s="19"/>
      <c r="H136" s="53" t="s">
        <v>59</v>
      </c>
      <c r="I136" s="53"/>
      <c r="J136" s="53"/>
      <c r="K136" s="39" t="s">
        <v>57</v>
      </c>
      <c r="L136" s="39"/>
      <c r="M136" s="39"/>
      <c r="N136" s="53" t="s">
        <v>60</v>
      </c>
      <c r="O136" s="53"/>
      <c r="P136" s="53"/>
      <c r="Q136" s="54" t="s">
        <v>61</v>
      </c>
      <c r="R136" s="54"/>
      <c r="S136" s="55"/>
      <c r="T136" s="56" t="s">
        <v>62</v>
      </c>
      <c r="U136" s="54"/>
      <c r="V136" s="55"/>
      <c r="W136" s="57" t="s">
        <v>57</v>
      </c>
      <c r="X136" s="58"/>
      <c r="Y136" s="59"/>
      <c r="Z136" s="57" t="s">
        <v>57</v>
      </c>
      <c r="AA136" s="58"/>
      <c r="AB136" s="59"/>
      <c r="AC136" s="60" t="s">
        <v>63</v>
      </c>
      <c r="AD136" s="61"/>
      <c r="AE136" s="62"/>
      <c r="AF136" s="60" t="s">
        <v>64</v>
      </c>
      <c r="AG136" s="61"/>
      <c r="AH136" s="62"/>
      <c r="AI136" s="60" t="s">
        <v>65</v>
      </c>
      <c r="AJ136" s="61"/>
      <c r="AK136" s="62"/>
    </row>
    <row r="137" spans="1:39" ht="13.2" x14ac:dyDescent="0.25">
      <c r="B137" s="16">
        <v>1</v>
      </c>
      <c r="C137" s="63">
        <f>IFERROR(VLOOKUP($C112,EQ_Cont,9,FALSE),"")</f>
        <v>0</v>
      </c>
      <c r="D137" s="64">
        <f>C137/176</f>
        <v>0</v>
      </c>
      <c r="E137" s="64">
        <f>IF(C137&lt;&gt;0,1,0)</f>
        <v>0</v>
      </c>
      <c r="F137" s="65">
        <f>IFERROR(VLOOKUP($C112,EQ_Cont,10,FALSE),"")</f>
        <v>0</v>
      </c>
      <c r="G137" s="66"/>
      <c r="H137" s="67">
        <f>D137*E137*F137</f>
        <v>0</v>
      </c>
      <c r="I137" s="67"/>
      <c r="J137" s="67"/>
      <c r="K137" s="68">
        <f>AK113</f>
        <v>0</v>
      </c>
      <c r="L137" s="39"/>
      <c r="M137" s="39"/>
      <c r="N137" s="67">
        <f>IF('[1]Información Force Account'!$I$1,K137*H137,K137*H137/2)</f>
        <v>0</v>
      </c>
      <c r="O137" s="67"/>
      <c r="P137" s="67"/>
      <c r="Q137" s="69">
        <f>K137+W137</f>
        <v>0</v>
      </c>
      <c r="R137" s="68"/>
      <c r="S137" s="68"/>
      <c r="T137" s="67">
        <f>H137*Q137</f>
        <v>0</v>
      </c>
      <c r="U137" s="67"/>
      <c r="V137" s="67"/>
      <c r="W137" s="70">
        <f>AK112</f>
        <v>0</v>
      </c>
      <c r="X137" s="18"/>
      <c r="Y137" s="19"/>
      <c r="Z137" s="71">
        <f>IFERROR(VLOOKUP($C112,EQ_Cont,11,FALSE),"")</f>
        <v>0</v>
      </c>
      <c r="AA137" s="72"/>
      <c r="AB137" s="73"/>
      <c r="AC137" s="74">
        <f>H137+Z137</f>
        <v>0</v>
      </c>
      <c r="AD137" s="75"/>
      <c r="AE137" s="76"/>
      <c r="AF137" s="74">
        <f>W137*AC137</f>
        <v>0</v>
      </c>
      <c r="AG137" s="75"/>
      <c r="AH137" s="76"/>
      <c r="AI137" s="74">
        <f>N137+AF137</f>
        <v>0</v>
      </c>
      <c r="AJ137" s="75"/>
      <c r="AK137" s="76"/>
    </row>
    <row r="138" spans="1:39" ht="13.2" x14ac:dyDescent="0.25">
      <c r="B138" s="16">
        <v>2</v>
      </c>
      <c r="C138" s="63">
        <f>IFERROR(VLOOKUP($C114,EQ_Cont,9,FALSE),"")</f>
        <v>0</v>
      </c>
      <c r="D138" s="64">
        <f t="shared" ref="D138:D146" si="79">C138/176</f>
        <v>0</v>
      </c>
      <c r="E138" s="64">
        <f t="shared" ref="E138:E146" si="80">IF(C138&lt;&gt;0,1,0)</f>
        <v>0</v>
      </c>
      <c r="F138" s="65">
        <f>IFERROR(VLOOKUP($C114,EQ_Cont,10,FALSE),"")</f>
        <v>0</v>
      </c>
      <c r="G138" s="66"/>
      <c r="H138" s="67">
        <f t="shared" ref="H138:H146" si="81">D138*E138*F138</f>
        <v>0</v>
      </c>
      <c r="I138" s="67"/>
      <c r="J138" s="67"/>
      <c r="K138" s="68">
        <f>AK115</f>
        <v>0</v>
      </c>
      <c r="L138" s="39"/>
      <c r="M138" s="39"/>
      <c r="N138" s="67">
        <f>IF('[1]Información Force Account'!$I$1,K138*H138,K138*H138/2)</f>
        <v>0</v>
      </c>
      <c r="O138" s="67"/>
      <c r="P138" s="67"/>
      <c r="Q138" s="69">
        <f t="shared" ref="Q138:Q146" si="82">K138+W138</f>
        <v>0</v>
      </c>
      <c r="R138" s="68"/>
      <c r="S138" s="68"/>
      <c r="T138" s="67">
        <f t="shared" ref="T138:T146" si="83">H138*Q138</f>
        <v>0</v>
      </c>
      <c r="U138" s="67"/>
      <c r="V138" s="67"/>
      <c r="W138" s="70">
        <f>AK114</f>
        <v>0</v>
      </c>
      <c r="X138" s="18"/>
      <c r="Y138" s="19"/>
      <c r="Z138" s="71">
        <f>IFERROR(VLOOKUP($C114,EQ_Cont,11,FALSE),"")</f>
        <v>0</v>
      </c>
      <c r="AA138" s="72">
        <v>0</v>
      </c>
      <c r="AB138" s="73">
        <v>0</v>
      </c>
      <c r="AC138" s="74">
        <f t="shared" ref="AC138:AC146" si="84">H138+Z138</f>
        <v>0</v>
      </c>
      <c r="AD138" s="75"/>
      <c r="AE138" s="76"/>
      <c r="AF138" s="74">
        <f t="shared" ref="AF138:AF146" si="85">W138*AC138</f>
        <v>0</v>
      </c>
      <c r="AG138" s="75"/>
      <c r="AH138" s="76"/>
      <c r="AI138" s="74">
        <f t="shared" ref="AI138:AI146" si="86">N138+AF138</f>
        <v>0</v>
      </c>
      <c r="AJ138" s="75"/>
      <c r="AK138" s="76"/>
    </row>
    <row r="139" spans="1:39" ht="13.2" x14ac:dyDescent="0.25">
      <c r="B139" s="16">
        <v>3</v>
      </c>
      <c r="C139" s="63">
        <f>IFERROR(VLOOKUP($C116,EQ_Cont,9,FALSE),"")</f>
        <v>0</v>
      </c>
      <c r="D139" s="64">
        <f t="shared" si="79"/>
        <v>0</v>
      </c>
      <c r="E139" s="64">
        <f t="shared" si="80"/>
        <v>0</v>
      </c>
      <c r="F139" s="65">
        <f>IFERROR(VLOOKUP($C116,EQ_Cont,10,FALSE),"")</f>
        <v>0</v>
      </c>
      <c r="G139" s="66"/>
      <c r="H139" s="67">
        <f t="shared" si="81"/>
        <v>0</v>
      </c>
      <c r="I139" s="67"/>
      <c r="J139" s="67"/>
      <c r="K139" s="68">
        <f>AK117</f>
        <v>0</v>
      </c>
      <c r="L139" s="39"/>
      <c r="M139" s="39"/>
      <c r="N139" s="67">
        <f>IF('[1]Información Force Account'!$I$1,K139*H139,K139*H139/2)</f>
        <v>0</v>
      </c>
      <c r="O139" s="67"/>
      <c r="P139" s="67"/>
      <c r="Q139" s="69">
        <f t="shared" si="82"/>
        <v>0</v>
      </c>
      <c r="R139" s="68"/>
      <c r="S139" s="68"/>
      <c r="T139" s="67">
        <f t="shared" si="83"/>
        <v>0</v>
      </c>
      <c r="U139" s="67"/>
      <c r="V139" s="67"/>
      <c r="W139" s="70">
        <f>AK116</f>
        <v>0</v>
      </c>
      <c r="X139" s="18"/>
      <c r="Y139" s="19"/>
      <c r="Z139" s="71">
        <f>IFERROR(VLOOKUP($C116,EQ_Cont,11,FALSE),"")</f>
        <v>0</v>
      </c>
      <c r="AA139" s="72">
        <v>0</v>
      </c>
      <c r="AB139" s="73">
        <v>0</v>
      </c>
      <c r="AC139" s="74">
        <f t="shared" si="84"/>
        <v>0</v>
      </c>
      <c r="AD139" s="75"/>
      <c r="AE139" s="76"/>
      <c r="AF139" s="74">
        <f t="shared" si="85"/>
        <v>0</v>
      </c>
      <c r="AG139" s="75"/>
      <c r="AH139" s="76"/>
      <c r="AI139" s="74">
        <f t="shared" si="86"/>
        <v>0</v>
      </c>
      <c r="AJ139" s="75"/>
      <c r="AK139" s="76"/>
    </row>
    <row r="140" spans="1:39" ht="13.2" x14ac:dyDescent="0.25">
      <c r="B140" s="16">
        <v>4</v>
      </c>
      <c r="C140" s="63">
        <f>IFERROR(VLOOKUP($C118,EQ_Cont,9,FALSE),"")</f>
        <v>0</v>
      </c>
      <c r="D140" s="64">
        <f t="shared" si="79"/>
        <v>0</v>
      </c>
      <c r="E140" s="64">
        <f t="shared" si="80"/>
        <v>0</v>
      </c>
      <c r="F140" s="65">
        <f>IFERROR(VLOOKUP($C118,EQ_Cont,10,FALSE),"")</f>
        <v>0</v>
      </c>
      <c r="G140" s="66"/>
      <c r="H140" s="67">
        <f t="shared" si="81"/>
        <v>0</v>
      </c>
      <c r="I140" s="67"/>
      <c r="J140" s="67"/>
      <c r="K140" s="68">
        <f>AK119</f>
        <v>0</v>
      </c>
      <c r="L140" s="39"/>
      <c r="M140" s="39"/>
      <c r="N140" s="67">
        <f>IF('[1]Información Force Account'!$I$1,K140*H140,K140*H140/2)</f>
        <v>0</v>
      </c>
      <c r="O140" s="67"/>
      <c r="P140" s="67"/>
      <c r="Q140" s="69">
        <f t="shared" si="82"/>
        <v>0</v>
      </c>
      <c r="R140" s="68"/>
      <c r="S140" s="68"/>
      <c r="T140" s="67">
        <f t="shared" si="83"/>
        <v>0</v>
      </c>
      <c r="U140" s="67"/>
      <c r="V140" s="67"/>
      <c r="W140" s="70">
        <f>AK118</f>
        <v>0</v>
      </c>
      <c r="X140" s="18"/>
      <c r="Y140" s="19"/>
      <c r="Z140" s="71">
        <f>IFERROR(VLOOKUP($C118,EQ_Cont,11,FALSE),"")</f>
        <v>0</v>
      </c>
      <c r="AA140" s="72">
        <v>0</v>
      </c>
      <c r="AB140" s="73">
        <v>0</v>
      </c>
      <c r="AC140" s="74">
        <f t="shared" si="84"/>
        <v>0</v>
      </c>
      <c r="AD140" s="75"/>
      <c r="AE140" s="76"/>
      <c r="AF140" s="74">
        <f t="shared" si="85"/>
        <v>0</v>
      </c>
      <c r="AG140" s="75"/>
      <c r="AH140" s="76"/>
      <c r="AI140" s="74">
        <f t="shared" si="86"/>
        <v>0</v>
      </c>
      <c r="AJ140" s="75"/>
      <c r="AK140" s="76"/>
    </row>
    <row r="141" spans="1:39" ht="13.2" x14ac:dyDescent="0.25">
      <c r="B141" s="16">
        <v>5</v>
      </c>
      <c r="C141" s="63">
        <f>IFERROR(VLOOKUP($C120,EQ_Cont,9,FALSE),"")</f>
        <v>0</v>
      </c>
      <c r="D141" s="64">
        <f t="shared" si="79"/>
        <v>0</v>
      </c>
      <c r="E141" s="64">
        <f t="shared" si="80"/>
        <v>0</v>
      </c>
      <c r="F141" s="65">
        <f>IFERROR(VLOOKUP($C120,EQ_Cont,10,FALSE),"")</f>
        <v>0</v>
      </c>
      <c r="G141" s="66"/>
      <c r="H141" s="67">
        <f t="shared" si="81"/>
        <v>0</v>
      </c>
      <c r="I141" s="67"/>
      <c r="J141" s="67"/>
      <c r="K141" s="68">
        <f>AK121</f>
        <v>0</v>
      </c>
      <c r="L141" s="39"/>
      <c r="M141" s="39"/>
      <c r="N141" s="67">
        <f>IF('[1]Información Force Account'!$I$1,K141*H141,K141*H141/2)</f>
        <v>0</v>
      </c>
      <c r="O141" s="67"/>
      <c r="P141" s="67"/>
      <c r="Q141" s="69">
        <f t="shared" si="82"/>
        <v>0</v>
      </c>
      <c r="R141" s="68"/>
      <c r="S141" s="68"/>
      <c r="T141" s="67">
        <f t="shared" si="83"/>
        <v>0</v>
      </c>
      <c r="U141" s="67"/>
      <c r="V141" s="67"/>
      <c r="W141" s="70">
        <f>AK120</f>
        <v>0</v>
      </c>
      <c r="X141" s="18"/>
      <c r="Y141" s="19"/>
      <c r="Z141" s="71">
        <f>IFERROR(VLOOKUP($C120,EQ_Cont,11,FALSE),"")</f>
        <v>0</v>
      </c>
      <c r="AA141" s="72">
        <v>0</v>
      </c>
      <c r="AB141" s="73">
        <v>0</v>
      </c>
      <c r="AC141" s="74">
        <f t="shared" si="84"/>
        <v>0</v>
      </c>
      <c r="AD141" s="75"/>
      <c r="AE141" s="76"/>
      <c r="AF141" s="74">
        <f t="shared" si="85"/>
        <v>0</v>
      </c>
      <c r="AG141" s="75"/>
      <c r="AH141" s="76"/>
      <c r="AI141" s="74">
        <f t="shared" si="86"/>
        <v>0</v>
      </c>
      <c r="AJ141" s="75"/>
      <c r="AK141" s="76"/>
    </row>
    <row r="142" spans="1:39" ht="13.2" x14ac:dyDescent="0.25">
      <c r="B142" s="16">
        <v>6</v>
      </c>
      <c r="C142" s="63">
        <f>IFERROR(VLOOKUP($C122,EQ_Cont,9,FALSE),"")</f>
        <v>0</v>
      </c>
      <c r="D142" s="64">
        <f t="shared" si="79"/>
        <v>0</v>
      </c>
      <c r="E142" s="64">
        <f t="shared" si="80"/>
        <v>0</v>
      </c>
      <c r="F142" s="65">
        <f>IFERROR(VLOOKUP($C122,EQ_Cont,10,FALSE),"")</f>
        <v>0</v>
      </c>
      <c r="G142" s="66"/>
      <c r="H142" s="67">
        <f t="shared" si="81"/>
        <v>0</v>
      </c>
      <c r="I142" s="67"/>
      <c r="J142" s="67"/>
      <c r="K142" s="68">
        <f>AK123</f>
        <v>0</v>
      </c>
      <c r="L142" s="39"/>
      <c r="M142" s="39"/>
      <c r="N142" s="67">
        <f>IF('[1]Información Force Account'!$I$1,K142*H142,K142*H142/2)</f>
        <v>0</v>
      </c>
      <c r="O142" s="67"/>
      <c r="P142" s="67"/>
      <c r="Q142" s="69">
        <f t="shared" si="82"/>
        <v>0</v>
      </c>
      <c r="R142" s="68"/>
      <c r="S142" s="68"/>
      <c r="T142" s="67">
        <f t="shared" si="83"/>
        <v>0</v>
      </c>
      <c r="U142" s="67"/>
      <c r="V142" s="67"/>
      <c r="W142" s="70">
        <f>AK122</f>
        <v>0</v>
      </c>
      <c r="X142" s="18"/>
      <c r="Y142" s="19"/>
      <c r="Z142" s="71">
        <f>IFERROR(VLOOKUP($C122,EQ_Cont,11,FALSE),"")</f>
        <v>0</v>
      </c>
      <c r="AA142" s="72">
        <v>0</v>
      </c>
      <c r="AB142" s="73">
        <v>0</v>
      </c>
      <c r="AC142" s="74">
        <f t="shared" si="84"/>
        <v>0</v>
      </c>
      <c r="AD142" s="75"/>
      <c r="AE142" s="76"/>
      <c r="AF142" s="74">
        <f t="shared" si="85"/>
        <v>0</v>
      </c>
      <c r="AG142" s="75"/>
      <c r="AH142" s="76"/>
      <c r="AI142" s="74">
        <f t="shared" si="86"/>
        <v>0</v>
      </c>
      <c r="AJ142" s="75"/>
      <c r="AK142" s="76"/>
    </row>
    <row r="143" spans="1:39" ht="13.2" x14ac:dyDescent="0.25">
      <c r="B143" s="16">
        <v>7</v>
      </c>
      <c r="C143" s="63">
        <f>IFERROR(VLOOKUP($C124,EQ_Cont,9,FALSE),"")</f>
        <v>0</v>
      </c>
      <c r="D143" s="64">
        <f t="shared" si="79"/>
        <v>0</v>
      </c>
      <c r="E143" s="64">
        <f t="shared" si="80"/>
        <v>0</v>
      </c>
      <c r="F143" s="65">
        <f>IFERROR(VLOOKUP($C124,EQ_Cont,10,FALSE),"")</f>
        <v>0</v>
      </c>
      <c r="G143" s="66"/>
      <c r="H143" s="67">
        <f t="shared" si="81"/>
        <v>0</v>
      </c>
      <c r="I143" s="67"/>
      <c r="J143" s="67"/>
      <c r="K143" s="68">
        <f>AK125</f>
        <v>0</v>
      </c>
      <c r="L143" s="39"/>
      <c r="M143" s="39"/>
      <c r="N143" s="67">
        <f>IF('[1]Información Force Account'!$I$1,K143*H143,K143*H143/2)</f>
        <v>0</v>
      </c>
      <c r="O143" s="67"/>
      <c r="P143" s="67"/>
      <c r="Q143" s="69">
        <f t="shared" si="82"/>
        <v>0</v>
      </c>
      <c r="R143" s="68"/>
      <c r="S143" s="68"/>
      <c r="T143" s="67">
        <f t="shared" si="83"/>
        <v>0</v>
      </c>
      <c r="U143" s="67"/>
      <c r="V143" s="67"/>
      <c r="W143" s="70">
        <f>AK124</f>
        <v>0</v>
      </c>
      <c r="X143" s="18"/>
      <c r="Y143" s="19"/>
      <c r="Z143" s="71">
        <f>IFERROR(VLOOKUP($C124,EQ_Cont,11,FALSE),"")</f>
        <v>0</v>
      </c>
      <c r="AA143" s="72">
        <v>0</v>
      </c>
      <c r="AB143" s="73">
        <v>0</v>
      </c>
      <c r="AC143" s="74">
        <f t="shared" si="84"/>
        <v>0</v>
      </c>
      <c r="AD143" s="75"/>
      <c r="AE143" s="76"/>
      <c r="AF143" s="74">
        <f t="shared" si="85"/>
        <v>0</v>
      </c>
      <c r="AG143" s="75"/>
      <c r="AH143" s="76"/>
      <c r="AI143" s="74">
        <f t="shared" si="86"/>
        <v>0</v>
      </c>
      <c r="AJ143" s="75"/>
      <c r="AK143" s="76"/>
    </row>
    <row r="144" spans="1:39" ht="13.2" x14ac:dyDescent="0.25">
      <c r="B144" s="16">
        <v>8</v>
      </c>
      <c r="C144" s="63">
        <f>IFERROR(VLOOKUP($C126,EQ_Cont,9,FALSE),"")</f>
        <v>0</v>
      </c>
      <c r="D144" s="64">
        <f t="shared" si="79"/>
        <v>0</v>
      </c>
      <c r="E144" s="64">
        <f t="shared" si="80"/>
        <v>0</v>
      </c>
      <c r="F144" s="65">
        <f>IFERROR(VLOOKUP($C126,EQ_Cont,10,FALSE),"")</f>
        <v>0</v>
      </c>
      <c r="G144" s="66"/>
      <c r="H144" s="67">
        <f t="shared" si="81"/>
        <v>0</v>
      </c>
      <c r="I144" s="67"/>
      <c r="J144" s="67"/>
      <c r="K144" s="68">
        <f>AK127</f>
        <v>0</v>
      </c>
      <c r="L144" s="39"/>
      <c r="M144" s="39"/>
      <c r="N144" s="67">
        <f>IF('[1]Información Force Account'!$I$1,K144*H144,K144*H144/2)</f>
        <v>0</v>
      </c>
      <c r="O144" s="67"/>
      <c r="P144" s="67"/>
      <c r="Q144" s="69">
        <f t="shared" si="82"/>
        <v>0</v>
      </c>
      <c r="R144" s="68"/>
      <c r="S144" s="68"/>
      <c r="T144" s="67">
        <f t="shared" si="83"/>
        <v>0</v>
      </c>
      <c r="U144" s="67"/>
      <c r="V144" s="67"/>
      <c r="W144" s="70">
        <f>AK126</f>
        <v>0</v>
      </c>
      <c r="X144" s="18"/>
      <c r="Y144" s="19"/>
      <c r="Z144" s="71">
        <f>IFERROR(VLOOKUP($C126,EQ_Cont,11,FALSE),"")</f>
        <v>0</v>
      </c>
      <c r="AA144" s="72">
        <v>0</v>
      </c>
      <c r="AB144" s="73">
        <v>0</v>
      </c>
      <c r="AC144" s="74">
        <f t="shared" si="84"/>
        <v>0</v>
      </c>
      <c r="AD144" s="75"/>
      <c r="AE144" s="76"/>
      <c r="AF144" s="74">
        <f t="shared" si="85"/>
        <v>0</v>
      </c>
      <c r="AG144" s="75"/>
      <c r="AH144" s="76"/>
      <c r="AI144" s="74">
        <f t="shared" si="86"/>
        <v>0</v>
      </c>
      <c r="AJ144" s="75"/>
      <c r="AK144" s="76"/>
    </row>
    <row r="145" spans="2:37" ht="13.2" x14ac:dyDescent="0.25">
      <c r="B145" s="16">
        <v>9</v>
      </c>
      <c r="C145" s="63">
        <f>IFERROR(VLOOKUP($C128,EQ_Cont,9,FALSE),"")</f>
        <v>0</v>
      </c>
      <c r="D145" s="64">
        <f t="shared" si="79"/>
        <v>0</v>
      </c>
      <c r="E145" s="64">
        <f t="shared" si="80"/>
        <v>0</v>
      </c>
      <c r="F145" s="65">
        <f>IFERROR(VLOOKUP($C128,EQ_Cont,10,FALSE),"")</f>
        <v>0</v>
      </c>
      <c r="G145" s="66"/>
      <c r="H145" s="67">
        <f t="shared" si="81"/>
        <v>0</v>
      </c>
      <c r="I145" s="67"/>
      <c r="J145" s="67"/>
      <c r="K145" s="68">
        <f>AK129</f>
        <v>0</v>
      </c>
      <c r="L145" s="39"/>
      <c r="M145" s="39"/>
      <c r="N145" s="67">
        <f>IF('[1]Información Force Account'!$I$1,K145*H145,K145*H145/2)</f>
        <v>0</v>
      </c>
      <c r="O145" s="67"/>
      <c r="P145" s="67"/>
      <c r="Q145" s="69">
        <f t="shared" si="82"/>
        <v>0</v>
      </c>
      <c r="R145" s="68"/>
      <c r="S145" s="68"/>
      <c r="T145" s="67">
        <f t="shared" si="83"/>
        <v>0</v>
      </c>
      <c r="U145" s="67"/>
      <c r="V145" s="67"/>
      <c r="W145" s="70">
        <f>AK128</f>
        <v>0</v>
      </c>
      <c r="X145" s="18"/>
      <c r="Y145" s="19"/>
      <c r="Z145" s="71">
        <f>IFERROR(VLOOKUP($C128,EQ_Cont,11,FALSE),"")</f>
        <v>0</v>
      </c>
      <c r="AA145" s="72">
        <v>0</v>
      </c>
      <c r="AB145" s="73">
        <v>0</v>
      </c>
      <c r="AC145" s="74">
        <f t="shared" si="84"/>
        <v>0</v>
      </c>
      <c r="AD145" s="75"/>
      <c r="AE145" s="76"/>
      <c r="AF145" s="74">
        <f t="shared" si="85"/>
        <v>0</v>
      </c>
      <c r="AG145" s="75"/>
      <c r="AH145" s="76"/>
      <c r="AI145" s="74">
        <f t="shared" si="86"/>
        <v>0</v>
      </c>
      <c r="AJ145" s="75"/>
      <c r="AK145" s="76"/>
    </row>
    <row r="146" spans="2:37" ht="13.2" x14ac:dyDescent="0.25">
      <c r="B146" s="16">
        <v>10</v>
      </c>
      <c r="C146" s="63">
        <f>IFERROR(VLOOKUP($C130,EQ_Cont,9,FALSE),"")</f>
        <v>0</v>
      </c>
      <c r="D146" s="64">
        <f t="shared" si="79"/>
        <v>0</v>
      </c>
      <c r="E146" s="64">
        <f t="shared" si="80"/>
        <v>0</v>
      </c>
      <c r="F146" s="65">
        <f>IFERROR(VLOOKUP($C130,EQ_Cont,10,FALSE),"")</f>
        <v>0</v>
      </c>
      <c r="G146" s="66"/>
      <c r="H146" s="67">
        <f t="shared" si="81"/>
        <v>0</v>
      </c>
      <c r="I146" s="67"/>
      <c r="J146" s="67"/>
      <c r="K146" s="68">
        <f>AK131</f>
        <v>0</v>
      </c>
      <c r="L146" s="39"/>
      <c r="M146" s="39"/>
      <c r="N146" s="67">
        <f>IF('[1]Información Force Account'!$I$1,K146*H146,K146*H146/2)</f>
        <v>0</v>
      </c>
      <c r="O146" s="67"/>
      <c r="P146" s="67"/>
      <c r="Q146" s="69">
        <f t="shared" si="82"/>
        <v>0</v>
      </c>
      <c r="R146" s="68"/>
      <c r="S146" s="68"/>
      <c r="T146" s="67">
        <f t="shared" si="83"/>
        <v>0</v>
      </c>
      <c r="U146" s="67"/>
      <c r="V146" s="67"/>
      <c r="W146" s="70">
        <f>AK130</f>
        <v>0</v>
      </c>
      <c r="X146" s="18"/>
      <c r="Y146" s="19"/>
      <c r="Z146" s="71">
        <f>IFERROR(VLOOKUP($C130,EQ_Cont,9,FALSE),"")</f>
        <v>0</v>
      </c>
      <c r="AA146" s="72">
        <v>0</v>
      </c>
      <c r="AB146" s="73">
        <v>0</v>
      </c>
      <c r="AC146" s="74">
        <f t="shared" si="84"/>
        <v>0</v>
      </c>
      <c r="AD146" s="75"/>
      <c r="AE146" s="76"/>
      <c r="AF146" s="74">
        <f t="shared" si="85"/>
        <v>0</v>
      </c>
      <c r="AG146" s="75"/>
      <c r="AH146" s="76"/>
      <c r="AI146" s="74">
        <f t="shared" si="86"/>
        <v>0</v>
      </c>
      <c r="AJ146" s="75"/>
      <c r="AK146" s="76"/>
    </row>
    <row r="147" spans="2:37" ht="13.2" x14ac:dyDescent="0.25">
      <c r="F147" s="77"/>
      <c r="I147" s="78"/>
      <c r="M147" s="79"/>
      <c r="N147" s="67">
        <f>SUM(N137:P146)</f>
        <v>0</v>
      </c>
      <c r="O147" s="67"/>
      <c r="P147" s="67"/>
      <c r="R147" s="78"/>
      <c r="T147" s="74">
        <f>SUM(T137:V146)</f>
        <v>0</v>
      </c>
      <c r="U147" s="75"/>
      <c r="V147" s="76"/>
      <c r="W147" s="1"/>
      <c r="X147" s="1"/>
      <c r="Y147" s="1"/>
      <c r="Z147" s="1"/>
      <c r="AA147" s="1"/>
      <c r="AB147" s="1"/>
      <c r="AC147" s="1"/>
      <c r="AD147" s="1"/>
      <c r="AE147" s="1"/>
      <c r="AF147" s="67">
        <f>SUM(AF137:AH146)</f>
        <v>0</v>
      </c>
      <c r="AG147" s="67"/>
      <c r="AH147" s="67"/>
      <c r="AI147" s="1"/>
      <c r="AJ147" s="1"/>
      <c r="AK147" s="1"/>
    </row>
    <row r="148" spans="2:37" ht="13.2" x14ac:dyDescent="0.25">
      <c r="F148" s="77"/>
      <c r="I148" s="77"/>
      <c r="N148" s="2" t="s">
        <v>66</v>
      </c>
      <c r="O148" s="2"/>
      <c r="P148" s="2"/>
      <c r="R148" s="77"/>
      <c r="T148" s="2" t="s">
        <v>67</v>
      </c>
      <c r="U148" s="2"/>
      <c r="V148" s="2"/>
      <c r="AF148" s="2" t="s">
        <v>68</v>
      </c>
      <c r="AG148" s="2"/>
      <c r="AH148" s="2"/>
    </row>
    <row r="149" spans="2:37" ht="12.75" customHeight="1" x14ac:dyDescent="0.25"/>
    <row r="150" spans="2:37" ht="12.75" customHeight="1" x14ac:dyDescent="0.25"/>
    <row r="151" spans="2:37" ht="12.75" customHeight="1" x14ac:dyDescent="0.25"/>
    <row r="152" spans="2:37" ht="12.75" customHeight="1" x14ac:dyDescent="0.25"/>
    <row r="153" spans="2:37" ht="12.75" customHeight="1" x14ac:dyDescent="0.25"/>
    <row r="154" spans="2:37" ht="12.75" customHeight="1" x14ac:dyDescent="0.25"/>
    <row r="155" spans="2:37" ht="12.75" customHeight="1" x14ac:dyDescent="0.25"/>
    <row r="156" spans="2:37" ht="12.75" customHeight="1" x14ac:dyDescent="0.25"/>
    <row r="157" spans="2:37" ht="12.75" customHeight="1" x14ac:dyDescent="0.25"/>
    <row r="158" spans="2:37" ht="12.75" customHeight="1" x14ac:dyDescent="0.25"/>
    <row r="159" spans="2:37" ht="12.75" customHeight="1" x14ac:dyDescent="0.25"/>
    <row r="160" spans="2:37" ht="12.75" customHeight="1" x14ac:dyDescent="0.25"/>
    <row r="161" ht="12.75" customHeight="1" x14ac:dyDescent="0.25"/>
  </sheetData>
  <sheetProtection password="AE77" sheet="1" objects="1" scenarios="1"/>
  <mergeCells count="621">
    <mergeCell ref="N147:P147"/>
    <mergeCell ref="T147:V147"/>
    <mergeCell ref="AF147:AH147"/>
    <mergeCell ref="N148:P148"/>
    <mergeCell ref="T148:V148"/>
    <mergeCell ref="AF148:AH148"/>
    <mergeCell ref="T146:V146"/>
    <mergeCell ref="W146:Y146"/>
    <mergeCell ref="Z146:AB146"/>
    <mergeCell ref="AC146:AE146"/>
    <mergeCell ref="AF146:AH146"/>
    <mergeCell ref="AI146:AK146"/>
    <mergeCell ref="W145:Y145"/>
    <mergeCell ref="Z145:AB145"/>
    <mergeCell ref="AC145:AE145"/>
    <mergeCell ref="AF145:AH145"/>
    <mergeCell ref="AI145:AK145"/>
    <mergeCell ref="F146:G146"/>
    <mergeCell ref="H146:J146"/>
    <mergeCell ref="K146:M146"/>
    <mergeCell ref="N146:P146"/>
    <mergeCell ref="Q146:S146"/>
    <mergeCell ref="F145:G145"/>
    <mergeCell ref="H145:J145"/>
    <mergeCell ref="K145:M145"/>
    <mergeCell ref="N145:P145"/>
    <mergeCell ref="Q145:S145"/>
    <mergeCell ref="T145:V145"/>
    <mergeCell ref="T144:V144"/>
    <mergeCell ref="W144:Y144"/>
    <mergeCell ref="Z144:AB144"/>
    <mergeCell ref="AC144:AE144"/>
    <mergeCell ref="AF144:AH144"/>
    <mergeCell ref="AI144:AK144"/>
    <mergeCell ref="W143:Y143"/>
    <mergeCell ref="Z143:AB143"/>
    <mergeCell ref="AC143:AE143"/>
    <mergeCell ref="AF143:AH143"/>
    <mergeCell ref="AI143:AK143"/>
    <mergeCell ref="F144:G144"/>
    <mergeCell ref="H144:J144"/>
    <mergeCell ref="K144:M144"/>
    <mergeCell ref="N144:P144"/>
    <mergeCell ref="Q144:S144"/>
    <mergeCell ref="F143:G143"/>
    <mergeCell ref="H143:J143"/>
    <mergeCell ref="K143:M143"/>
    <mergeCell ref="N143:P143"/>
    <mergeCell ref="Q143:S143"/>
    <mergeCell ref="T143:V143"/>
    <mergeCell ref="T142:V142"/>
    <mergeCell ref="W142:Y142"/>
    <mergeCell ref="Z142:AB142"/>
    <mergeCell ref="AC142:AE142"/>
    <mergeCell ref="AF142:AH142"/>
    <mergeCell ref="AI142:AK142"/>
    <mergeCell ref="W141:Y141"/>
    <mergeCell ref="Z141:AB141"/>
    <mergeCell ref="AC141:AE141"/>
    <mergeCell ref="AF141:AH141"/>
    <mergeCell ref="AI141:AK141"/>
    <mergeCell ref="F142:G142"/>
    <mergeCell ref="H142:J142"/>
    <mergeCell ref="K142:M142"/>
    <mergeCell ref="N142:P142"/>
    <mergeCell ref="Q142:S142"/>
    <mergeCell ref="F141:G141"/>
    <mergeCell ref="H141:J141"/>
    <mergeCell ref="K141:M141"/>
    <mergeCell ref="N141:P141"/>
    <mergeCell ref="Q141:S141"/>
    <mergeCell ref="T141:V141"/>
    <mergeCell ref="T140:V140"/>
    <mergeCell ref="W140:Y140"/>
    <mergeCell ref="Z140:AB140"/>
    <mergeCell ref="AC140:AE140"/>
    <mergeCell ref="AF140:AH140"/>
    <mergeCell ref="AI140:AK140"/>
    <mergeCell ref="W139:Y139"/>
    <mergeCell ref="Z139:AB139"/>
    <mergeCell ref="AC139:AE139"/>
    <mergeCell ref="AF139:AH139"/>
    <mergeCell ref="AI139:AK139"/>
    <mergeCell ref="F140:G140"/>
    <mergeCell ref="H140:J140"/>
    <mergeCell ref="K140:M140"/>
    <mergeCell ref="N140:P140"/>
    <mergeCell ref="Q140:S140"/>
    <mergeCell ref="F139:G139"/>
    <mergeCell ref="H139:J139"/>
    <mergeCell ref="K139:M139"/>
    <mergeCell ref="N139:P139"/>
    <mergeCell ref="Q139:S139"/>
    <mergeCell ref="T139:V139"/>
    <mergeCell ref="T138:V138"/>
    <mergeCell ref="W138:Y138"/>
    <mergeCell ref="Z138:AB138"/>
    <mergeCell ref="AC138:AE138"/>
    <mergeCell ref="AF138:AH138"/>
    <mergeCell ref="AI138:AK138"/>
    <mergeCell ref="W137:Y137"/>
    <mergeCell ref="Z137:AB137"/>
    <mergeCell ref="AC137:AE137"/>
    <mergeCell ref="AF137:AH137"/>
    <mergeCell ref="AI137:AK137"/>
    <mergeCell ref="F138:G138"/>
    <mergeCell ref="H138:J138"/>
    <mergeCell ref="K138:M138"/>
    <mergeCell ref="N138:P138"/>
    <mergeCell ref="Q138:S138"/>
    <mergeCell ref="F137:G137"/>
    <mergeCell ref="H137:J137"/>
    <mergeCell ref="K137:M137"/>
    <mergeCell ref="N137:P137"/>
    <mergeCell ref="Q137:S137"/>
    <mergeCell ref="T137:V137"/>
    <mergeCell ref="T136:V136"/>
    <mergeCell ref="W136:Y136"/>
    <mergeCell ref="Z136:AB136"/>
    <mergeCell ref="AC136:AE136"/>
    <mergeCell ref="AF136:AH136"/>
    <mergeCell ref="AI136:AK136"/>
    <mergeCell ref="W135:Y135"/>
    <mergeCell ref="Z135:AB135"/>
    <mergeCell ref="AC135:AE135"/>
    <mergeCell ref="AF135:AH135"/>
    <mergeCell ref="AI135:AK135"/>
    <mergeCell ref="F136:G136"/>
    <mergeCell ref="H136:J136"/>
    <mergeCell ref="K136:M136"/>
    <mergeCell ref="N136:P136"/>
    <mergeCell ref="Q136:S136"/>
    <mergeCell ref="F135:G135"/>
    <mergeCell ref="H135:J135"/>
    <mergeCell ref="K135:M135"/>
    <mergeCell ref="N135:P135"/>
    <mergeCell ref="Q135:S135"/>
    <mergeCell ref="T135:V135"/>
    <mergeCell ref="T134:V134"/>
    <mergeCell ref="W134:Y134"/>
    <mergeCell ref="Z134:AB134"/>
    <mergeCell ref="AC134:AE134"/>
    <mergeCell ref="AF134:AH134"/>
    <mergeCell ref="AI134:AK134"/>
    <mergeCell ref="W133:Y133"/>
    <mergeCell ref="Z133:AB133"/>
    <mergeCell ref="AC133:AE133"/>
    <mergeCell ref="AF133:AH133"/>
    <mergeCell ref="AI133:AK133"/>
    <mergeCell ref="F134:G134"/>
    <mergeCell ref="H134:J134"/>
    <mergeCell ref="K134:M134"/>
    <mergeCell ref="N134:P134"/>
    <mergeCell ref="Q134:S134"/>
    <mergeCell ref="F133:G133"/>
    <mergeCell ref="H133:J133"/>
    <mergeCell ref="K133:M133"/>
    <mergeCell ref="N133:P133"/>
    <mergeCell ref="Q133:S133"/>
    <mergeCell ref="T133:V133"/>
    <mergeCell ref="A128:A129"/>
    <mergeCell ref="B128:B129"/>
    <mergeCell ref="C128:E129"/>
    <mergeCell ref="A130:A131"/>
    <mergeCell ref="B130:B131"/>
    <mergeCell ref="C130:E131"/>
    <mergeCell ref="A124:A125"/>
    <mergeCell ref="B124:B125"/>
    <mergeCell ref="C124:E125"/>
    <mergeCell ref="A126:A127"/>
    <mergeCell ref="B126:B127"/>
    <mergeCell ref="C126:E127"/>
    <mergeCell ref="A120:A121"/>
    <mergeCell ref="B120:B121"/>
    <mergeCell ref="C120:E121"/>
    <mergeCell ref="A122:A123"/>
    <mergeCell ref="B122:B123"/>
    <mergeCell ref="C122:E123"/>
    <mergeCell ref="A116:A117"/>
    <mergeCell ref="B116:B117"/>
    <mergeCell ref="C116:E117"/>
    <mergeCell ref="A118:A119"/>
    <mergeCell ref="B118:B119"/>
    <mergeCell ref="C118:E119"/>
    <mergeCell ref="C111:E111"/>
    <mergeCell ref="A112:A113"/>
    <mergeCell ref="B112:B113"/>
    <mergeCell ref="C112:E113"/>
    <mergeCell ref="A114:A115"/>
    <mergeCell ref="B114:B115"/>
    <mergeCell ref="C114:E115"/>
    <mergeCell ref="E107:X107"/>
    <mergeCell ref="AE107:AJ107"/>
    <mergeCell ref="E108:J108"/>
    <mergeCell ref="AE108:AJ108"/>
    <mergeCell ref="B109:AK109"/>
    <mergeCell ref="C110:E110"/>
    <mergeCell ref="B101:AK101"/>
    <mergeCell ref="B102:AK102"/>
    <mergeCell ref="B103:AG103"/>
    <mergeCell ref="B105:AK105"/>
    <mergeCell ref="K106:N106"/>
    <mergeCell ref="O106:P106"/>
    <mergeCell ref="Q106:S106"/>
    <mergeCell ref="T106:U106"/>
    <mergeCell ref="V106:X106"/>
    <mergeCell ref="Y106:Z106"/>
    <mergeCell ref="N97:P97"/>
    <mergeCell ref="T97:V97"/>
    <mergeCell ref="AF97:AH97"/>
    <mergeCell ref="N98:P98"/>
    <mergeCell ref="T98:V98"/>
    <mergeCell ref="AF98:AH98"/>
    <mergeCell ref="T96:V96"/>
    <mergeCell ref="W96:Y96"/>
    <mergeCell ref="Z96:AB96"/>
    <mergeCell ref="AC96:AE96"/>
    <mergeCell ref="AF96:AH96"/>
    <mergeCell ref="AI96:AK96"/>
    <mergeCell ref="W95:Y95"/>
    <mergeCell ref="Z95:AB95"/>
    <mergeCell ref="AC95:AE95"/>
    <mergeCell ref="AF95:AH95"/>
    <mergeCell ref="AI95:AK95"/>
    <mergeCell ref="F96:G96"/>
    <mergeCell ref="H96:J96"/>
    <mergeCell ref="K96:M96"/>
    <mergeCell ref="N96:P96"/>
    <mergeCell ref="Q96:S96"/>
    <mergeCell ref="F95:G95"/>
    <mergeCell ref="H95:J95"/>
    <mergeCell ref="K95:M95"/>
    <mergeCell ref="N95:P95"/>
    <mergeCell ref="Q95:S95"/>
    <mergeCell ref="T95:V95"/>
    <mergeCell ref="T94:V94"/>
    <mergeCell ref="W94:Y94"/>
    <mergeCell ref="Z94:AB94"/>
    <mergeCell ref="AC94:AE94"/>
    <mergeCell ref="AF94:AH94"/>
    <mergeCell ref="AI94:AK94"/>
    <mergeCell ref="W93:Y93"/>
    <mergeCell ref="Z93:AB93"/>
    <mergeCell ref="AC93:AE93"/>
    <mergeCell ref="AF93:AH93"/>
    <mergeCell ref="AI93:AK93"/>
    <mergeCell ref="F94:G94"/>
    <mergeCell ref="H94:J94"/>
    <mergeCell ref="K94:M94"/>
    <mergeCell ref="N94:P94"/>
    <mergeCell ref="Q94:S94"/>
    <mergeCell ref="F93:G93"/>
    <mergeCell ref="H93:J93"/>
    <mergeCell ref="K93:M93"/>
    <mergeCell ref="N93:P93"/>
    <mergeCell ref="Q93:S93"/>
    <mergeCell ref="T93:V93"/>
    <mergeCell ref="T92:V92"/>
    <mergeCell ref="W92:Y92"/>
    <mergeCell ref="Z92:AB92"/>
    <mergeCell ref="AC92:AE92"/>
    <mergeCell ref="AF92:AH92"/>
    <mergeCell ref="AI92:AK92"/>
    <mergeCell ref="W91:Y91"/>
    <mergeCell ref="Z91:AB91"/>
    <mergeCell ref="AC91:AE91"/>
    <mergeCell ref="AF91:AH91"/>
    <mergeCell ref="AI91:AK91"/>
    <mergeCell ref="F92:G92"/>
    <mergeCell ref="H92:J92"/>
    <mergeCell ref="K92:M92"/>
    <mergeCell ref="N92:P92"/>
    <mergeCell ref="Q92:S92"/>
    <mergeCell ref="F91:G91"/>
    <mergeCell ref="H91:J91"/>
    <mergeCell ref="K91:M91"/>
    <mergeCell ref="N91:P91"/>
    <mergeCell ref="Q91:S91"/>
    <mergeCell ref="T91:V91"/>
    <mergeCell ref="T90:V90"/>
    <mergeCell ref="W90:Y90"/>
    <mergeCell ref="Z90:AB90"/>
    <mergeCell ref="AC90:AE90"/>
    <mergeCell ref="AF90:AH90"/>
    <mergeCell ref="AI90:AK90"/>
    <mergeCell ref="W89:Y89"/>
    <mergeCell ref="Z89:AB89"/>
    <mergeCell ref="AC89:AE89"/>
    <mergeCell ref="AF89:AH89"/>
    <mergeCell ref="AI89:AK89"/>
    <mergeCell ref="F90:G90"/>
    <mergeCell ref="H90:J90"/>
    <mergeCell ref="K90:M90"/>
    <mergeCell ref="N90:P90"/>
    <mergeCell ref="Q90:S90"/>
    <mergeCell ref="F89:G89"/>
    <mergeCell ref="H89:J89"/>
    <mergeCell ref="K89:M89"/>
    <mergeCell ref="N89:P89"/>
    <mergeCell ref="Q89:S89"/>
    <mergeCell ref="T89:V89"/>
    <mergeCell ref="T88:V88"/>
    <mergeCell ref="W88:Y88"/>
    <mergeCell ref="Z88:AB88"/>
    <mergeCell ref="AC88:AE88"/>
    <mergeCell ref="AF88:AH88"/>
    <mergeCell ref="AI88:AK88"/>
    <mergeCell ref="W87:Y87"/>
    <mergeCell ref="Z87:AB87"/>
    <mergeCell ref="AC87:AE87"/>
    <mergeCell ref="AF87:AH87"/>
    <mergeCell ref="AI87:AK87"/>
    <mergeCell ref="F88:G88"/>
    <mergeCell ref="H88:J88"/>
    <mergeCell ref="K88:M88"/>
    <mergeCell ref="N88:P88"/>
    <mergeCell ref="Q88:S88"/>
    <mergeCell ref="F87:G87"/>
    <mergeCell ref="H87:J87"/>
    <mergeCell ref="K87:M87"/>
    <mergeCell ref="N87:P87"/>
    <mergeCell ref="Q87:S87"/>
    <mergeCell ref="T87:V87"/>
    <mergeCell ref="T86:V86"/>
    <mergeCell ref="W86:Y86"/>
    <mergeCell ref="Z86:AB86"/>
    <mergeCell ref="AC86:AE86"/>
    <mergeCell ref="AF86:AH86"/>
    <mergeCell ref="AI86:AK86"/>
    <mergeCell ref="W85:Y85"/>
    <mergeCell ref="Z85:AB85"/>
    <mergeCell ref="AC85:AE85"/>
    <mergeCell ref="AF85:AH85"/>
    <mergeCell ref="AI85:AK85"/>
    <mergeCell ref="F86:G86"/>
    <mergeCell ref="H86:J86"/>
    <mergeCell ref="K86:M86"/>
    <mergeCell ref="N86:P86"/>
    <mergeCell ref="Q86:S86"/>
    <mergeCell ref="F85:G85"/>
    <mergeCell ref="H85:J85"/>
    <mergeCell ref="K85:M85"/>
    <mergeCell ref="N85:P85"/>
    <mergeCell ref="Q85:S85"/>
    <mergeCell ref="T85:V85"/>
    <mergeCell ref="T84:V84"/>
    <mergeCell ref="W84:Y84"/>
    <mergeCell ref="Z84:AB84"/>
    <mergeCell ref="AC84:AE84"/>
    <mergeCell ref="AF84:AH84"/>
    <mergeCell ref="AI84:AK84"/>
    <mergeCell ref="W83:Y83"/>
    <mergeCell ref="Z83:AB83"/>
    <mergeCell ref="AC83:AE83"/>
    <mergeCell ref="AF83:AH83"/>
    <mergeCell ref="AI83:AK83"/>
    <mergeCell ref="F84:G84"/>
    <mergeCell ref="H84:J84"/>
    <mergeCell ref="K84:M84"/>
    <mergeCell ref="N84:P84"/>
    <mergeCell ref="Q84:S84"/>
    <mergeCell ref="F83:G83"/>
    <mergeCell ref="H83:J83"/>
    <mergeCell ref="K83:M83"/>
    <mergeCell ref="N83:P83"/>
    <mergeCell ref="Q83:S83"/>
    <mergeCell ref="T83:V83"/>
    <mergeCell ref="A78:A79"/>
    <mergeCell ref="B78:B79"/>
    <mergeCell ref="C78:E79"/>
    <mergeCell ref="A80:A81"/>
    <mergeCell ref="B80:B81"/>
    <mergeCell ref="C80:E81"/>
    <mergeCell ref="A74:A75"/>
    <mergeCell ref="B74:B75"/>
    <mergeCell ref="C74:E75"/>
    <mergeCell ref="A76:A77"/>
    <mergeCell ref="B76:B77"/>
    <mergeCell ref="C76:E77"/>
    <mergeCell ref="A70:A71"/>
    <mergeCell ref="B70:B71"/>
    <mergeCell ref="C70:E71"/>
    <mergeCell ref="A72:A73"/>
    <mergeCell ref="B72:B73"/>
    <mergeCell ref="C72:E73"/>
    <mergeCell ref="A66:A67"/>
    <mergeCell ref="B66:B67"/>
    <mergeCell ref="C66:E67"/>
    <mergeCell ref="A68:A69"/>
    <mergeCell ref="B68:B69"/>
    <mergeCell ref="C68:E69"/>
    <mergeCell ref="C61:E61"/>
    <mergeCell ref="A62:A63"/>
    <mergeCell ref="B62:B63"/>
    <mergeCell ref="C62:E63"/>
    <mergeCell ref="A64:A65"/>
    <mergeCell ref="B64:B65"/>
    <mergeCell ref="C64:E65"/>
    <mergeCell ref="E57:X57"/>
    <mergeCell ref="AE57:AJ57"/>
    <mergeCell ref="E58:J58"/>
    <mergeCell ref="AE58:AJ58"/>
    <mergeCell ref="B59:AK59"/>
    <mergeCell ref="C60:E60"/>
    <mergeCell ref="B51:AK51"/>
    <mergeCell ref="B52:AK52"/>
    <mergeCell ref="B53:AG53"/>
    <mergeCell ref="B55:AK55"/>
    <mergeCell ref="K56:N56"/>
    <mergeCell ref="O56:P56"/>
    <mergeCell ref="Q56:S56"/>
    <mergeCell ref="T56:U56"/>
    <mergeCell ref="V56:X56"/>
    <mergeCell ref="Y56:Z56"/>
    <mergeCell ref="N47:P47"/>
    <mergeCell ref="T47:V47"/>
    <mergeCell ref="AF47:AH47"/>
    <mergeCell ref="N48:P48"/>
    <mergeCell ref="T48:V48"/>
    <mergeCell ref="AF48:AH48"/>
    <mergeCell ref="T46:V46"/>
    <mergeCell ref="W46:Y46"/>
    <mergeCell ref="Z46:AB46"/>
    <mergeCell ref="AC46:AE46"/>
    <mergeCell ref="AF46:AH46"/>
    <mergeCell ref="AI46:AK46"/>
    <mergeCell ref="W45:Y45"/>
    <mergeCell ref="Z45:AB45"/>
    <mergeCell ref="AC45:AE45"/>
    <mergeCell ref="AF45:AH45"/>
    <mergeCell ref="AI45:AK45"/>
    <mergeCell ref="F46:G46"/>
    <mergeCell ref="H46:J46"/>
    <mergeCell ref="K46:M46"/>
    <mergeCell ref="N46:P46"/>
    <mergeCell ref="Q46:S46"/>
    <mergeCell ref="F45:G45"/>
    <mergeCell ref="H45:J45"/>
    <mergeCell ref="K45:M45"/>
    <mergeCell ref="N45:P45"/>
    <mergeCell ref="Q45:S45"/>
    <mergeCell ref="T45:V45"/>
    <mergeCell ref="T44:V44"/>
    <mergeCell ref="W44:Y44"/>
    <mergeCell ref="Z44:AB44"/>
    <mergeCell ref="AC44:AE44"/>
    <mergeCell ref="AF44:AH44"/>
    <mergeCell ref="AI44:AK44"/>
    <mergeCell ref="W43:Y43"/>
    <mergeCell ref="Z43:AB43"/>
    <mergeCell ref="AC43:AE43"/>
    <mergeCell ref="AF43:AH43"/>
    <mergeCell ref="AI43:AK43"/>
    <mergeCell ref="F44:G44"/>
    <mergeCell ref="H44:J44"/>
    <mergeCell ref="K44:M44"/>
    <mergeCell ref="N44:P44"/>
    <mergeCell ref="Q44:S44"/>
    <mergeCell ref="F43:G43"/>
    <mergeCell ref="H43:J43"/>
    <mergeCell ref="K43:M43"/>
    <mergeCell ref="N43:P43"/>
    <mergeCell ref="Q43:S43"/>
    <mergeCell ref="T43:V43"/>
    <mergeCell ref="T42:V42"/>
    <mergeCell ref="W42:Y42"/>
    <mergeCell ref="Z42:AB42"/>
    <mergeCell ref="AC42:AE42"/>
    <mergeCell ref="AF42:AH42"/>
    <mergeCell ref="AI42:AK42"/>
    <mergeCell ref="W41:Y41"/>
    <mergeCell ref="Z41:AB41"/>
    <mergeCell ref="AC41:AE41"/>
    <mergeCell ref="AF41:AH41"/>
    <mergeCell ref="AI41:AK41"/>
    <mergeCell ref="F42:G42"/>
    <mergeCell ref="H42:J42"/>
    <mergeCell ref="K42:M42"/>
    <mergeCell ref="N42:P42"/>
    <mergeCell ref="Q42:S42"/>
    <mergeCell ref="F41:G41"/>
    <mergeCell ref="H41:J41"/>
    <mergeCell ref="K41:M41"/>
    <mergeCell ref="N41:P41"/>
    <mergeCell ref="Q41:S41"/>
    <mergeCell ref="T41:V41"/>
    <mergeCell ref="T40:V40"/>
    <mergeCell ref="W40:Y40"/>
    <mergeCell ref="Z40:AB40"/>
    <mergeCell ref="AC40:AE40"/>
    <mergeCell ref="AF40:AH40"/>
    <mergeCell ref="AI40:AK40"/>
    <mergeCell ref="W39:Y39"/>
    <mergeCell ref="Z39:AB39"/>
    <mergeCell ref="AC39:AE39"/>
    <mergeCell ref="AF39:AH39"/>
    <mergeCell ref="AI39:AK39"/>
    <mergeCell ref="F40:G40"/>
    <mergeCell ref="H40:J40"/>
    <mergeCell ref="K40:M40"/>
    <mergeCell ref="N40:P40"/>
    <mergeCell ref="Q40:S40"/>
    <mergeCell ref="F39:G39"/>
    <mergeCell ref="H39:J39"/>
    <mergeCell ref="K39:M39"/>
    <mergeCell ref="N39:P39"/>
    <mergeCell ref="Q39:S39"/>
    <mergeCell ref="T39:V39"/>
    <mergeCell ref="T38:V38"/>
    <mergeCell ref="W38:Y38"/>
    <mergeCell ref="Z38:AB38"/>
    <mergeCell ref="AC38:AE38"/>
    <mergeCell ref="AF38:AH38"/>
    <mergeCell ref="AI38:AK38"/>
    <mergeCell ref="W37:Y37"/>
    <mergeCell ref="Z37:AB37"/>
    <mergeCell ref="AC37:AE37"/>
    <mergeCell ref="AF37:AH37"/>
    <mergeCell ref="AI37:AK37"/>
    <mergeCell ref="F38:G38"/>
    <mergeCell ref="H38:J38"/>
    <mergeCell ref="K38:M38"/>
    <mergeCell ref="N38:P38"/>
    <mergeCell ref="Q38:S38"/>
    <mergeCell ref="F37:G37"/>
    <mergeCell ref="H37:J37"/>
    <mergeCell ref="K37:M37"/>
    <mergeCell ref="N37:P37"/>
    <mergeCell ref="Q37:S37"/>
    <mergeCell ref="T37:V37"/>
    <mergeCell ref="T36:V36"/>
    <mergeCell ref="W36:Y36"/>
    <mergeCell ref="Z36:AB36"/>
    <mergeCell ref="AC36:AE36"/>
    <mergeCell ref="AF36:AH36"/>
    <mergeCell ref="AI36:AK36"/>
    <mergeCell ref="W35:Y35"/>
    <mergeCell ref="Z35:AB35"/>
    <mergeCell ref="AC35:AE35"/>
    <mergeCell ref="AF35:AH35"/>
    <mergeCell ref="AI35:AK35"/>
    <mergeCell ref="F36:G36"/>
    <mergeCell ref="H36:J36"/>
    <mergeCell ref="K36:M36"/>
    <mergeCell ref="N36:P36"/>
    <mergeCell ref="Q36:S36"/>
    <mergeCell ref="F35:G35"/>
    <mergeCell ref="H35:J35"/>
    <mergeCell ref="K35:M35"/>
    <mergeCell ref="N35:P35"/>
    <mergeCell ref="Q35:S35"/>
    <mergeCell ref="T35:V35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F34:G34"/>
    <mergeCell ref="H34:J34"/>
    <mergeCell ref="K34:M34"/>
    <mergeCell ref="N34:P34"/>
    <mergeCell ref="Q34:S34"/>
    <mergeCell ref="F33:G33"/>
    <mergeCell ref="H33:J33"/>
    <mergeCell ref="K33:M33"/>
    <mergeCell ref="N33:P33"/>
    <mergeCell ref="Q33:S33"/>
    <mergeCell ref="T33:V33"/>
    <mergeCell ref="A28:A29"/>
    <mergeCell ref="B28:B29"/>
    <mergeCell ref="C28:E29"/>
    <mergeCell ref="A30:A31"/>
    <mergeCell ref="B30:B31"/>
    <mergeCell ref="C30:E31"/>
    <mergeCell ref="A24:A25"/>
    <mergeCell ref="B24:B25"/>
    <mergeCell ref="C24:E25"/>
    <mergeCell ref="A26:A27"/>
    <mergeCell ref="B26:B27"/>
    <mergeCell ref="C26:E27"/>
    <mergeCell ref="A20:A21"/>
    <mergeCell ref="B20:B21"/>
    <mergeCell ref="C20:E21"/>
    <mergeCell ref="A22:A23"/>
    <mergeCell ref="B22:B23"/>
    <mergeCell ref="C22:E23"/>
    <mergeCell ref="A16:A17"/>
    <mergeCell ref="B16:B17"/>
    <mergeCell ref="C16:E17"/>
    <mergeCell ref="A18:A19"/>
    <mergeCell ref="B18:B19"/>
    <mergeCell ref="C18:E19"/>
    <mergeCell ref="C11:E11"/>
    <mergeCell ref="A12:A13"/>
    <mergeCell ref="B12:B13"/>
    <mergeCell ref="C12:E13"/>
    <mergeCell ref="A14:A15"/>
    <mergeCell ref="B14:B15"/>
    <mergeCell ref="C14:E15"/>
    <mergeCell ref="E7:X7"/>
    <mergeCell ref="AE7:AJ7"/>
    <mergeCell ref="E8:J8"/>
    <mergeCell ref="AE8:AJ8"/>
    <mergeCell ref="B9:AK9"/>
    <mergeCell ref="C10:E10"/>
    <mergeCell ref="B1:AK1"/>
    <mergeCell ref="B2:AK2"/>
    <mergeCell ref="B3:AG3"/>
    <mergeCell ref="B5:AK5"/>
    <mergeCell ref="K6:N6"/>
    <mergeCell ref="O6:P6"/>
    <mergeCell ref="Q6:S6"/>
    <mergeCell ref="T6:U6"/>
    <mergeCell ref="V6:X6"/>
    <mergeCell ref="Y6:Z6"/>
  </mergeCells>
  <conditionalFormatting sqref="F10:AJ10 F12:AK31 D47:AK47 F60:AJ60 F62:AK81 D97:AK97 F110:AJ110 F112:AK131 D147:AK147">
    <cfRule type="cellIs" dxfId="3" priority="4" stopIfTrue="1" operator="equal">
      <formula>0</formula>
    </cfRule>
  </conditionalFormatting>
  <conditionalFormatting sqref="C37:AK46 C87:AK96 C137:AK146">
    <cfRule type="cellIs" dxfId="2" priority="3" stopIfTrue="1" operator="equal">
      <formula>0</formula>
    </cfRule>
  </conditionalFormatting>
  <conditionalFormatting sqref="O6:P6 T6:U6 Y6:Z6">
    <cfRule type="cellIs" dxfId="1" priority="2" stopIfTrue="1" operator="equal">
      <formula>0</formula>
    </cfRule>
  </conditionalFormatting>
  <conditionalFormatting sqref="AE7:AJ8">
    <cfRule type="cellIs" dxfId="0" priority="1" stopIfTrue="1" operator="equal">
      <formula>0</formula>
    </cfRule>
  </conditionalFormatting>
  <printOptions horizontalCentered="1" verticalCentered="1"/>
  <pageMargins left="0" right="0" top="0" bottom="0" header="0" footer="0"/>
  <pageSetup paperSize="5" scale="7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Equipo FA 50</vt:lpstr>
      <vt:lpstr>'Equipo FA 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Saavedra</dc:creator>
  <cp:lastModifiedBy>Enrique Saavedra</cp:lastModifiedBy>
  <dcterms:created xsi:type="dcterms:W3CDTF">2026-03-16T13:57:51Z</dcterms:created>
  <dcterms:modified xsi:type="dcterms:W3CDTF">2026-03-16T13:58:20Z</dcterms:modified>
</cp:coreProperties>
</file>