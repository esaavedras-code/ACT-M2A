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ce account\"/>
    </mc:Choice>
  </mc:AlternateContent>
  <xr:revisionPtr revIDLastSave="0" documentId="8_{0F936EAF-D55D-4BFA-B850-BA9FFAFE46F5}" xr6:coauthVersionLast="47" xr6:coauthVersionMax="47" xr10:uidLastSave="{00000000-0000-0000-0000-000000000000}"/>
  <bookViews>
    <workbookView xWindow="-28920" yWindow="-1950" windowWidth="29040" windowHeight="15720" xr2:uid="{2260D13A-401B-4D69-ADDD-1AB7A185B214}"/>
  </bookViews>
  <sheets>
    <sheet name="Resumen FA (Mensual) 51" sheetId="1" r:id="rId1"/>
  </sheets>
  <externalReferences>
    <externalReference r:id="rId2"/>
  </externalReferences>
  <definedNames>
    <definedName name="Desc_EQ">[1]DBPCFA!$Q:$Q</definedName>
    <definedName name="Desc_Equipos">'[1]Inf. Diario 49'!$AC$3:$AC$152</definedName>
    <definedName name="Desc_MS">[1]DBPCFA!$Z:$Z</definedName>
    <definedName name="Descripción">OFFSET(Desc_Equipos,0,0,'[1]Inf. Diario 49'!$AC$1,1)</definedName>
    <definedName name="Dia_ID">OFFSET('[1]Inf. Diario 49'!$T$2:$T$34,0,0,'[1]Inf. Diario 49'!$U$2,1)</definedName>
    <definedName name="EQ_Cont">'[1]Equipo Contratista'!$A:$K</definedName>
    <definedName name="EQ_HAct">[1]DBPCFA!$R:$R</definedName>
    <definedName name="EQ_HInac">[1]DBPCFA!$S:$S</definedName>
    <definedName name="Equipos">'[1]Equipo Contratista'!$A$2:$K$151</definedName>
    <definedName name="Fecha_Inf_EQ">[1]DBPCFA!$O:$O</definedName>
    <definedName name="Fecha_Inf_MS">[1]DBPCFA!$X:$X</definedName>
    <definedName name="Fecha_Inf_PC">[1]DBPCFA!$C:$C</definedName>
    <definedName name="Loc_EQ">[1]DBPCFA!$L:$L</definedName>
    <definedName name="Loc_MS">[1]DBPCFA!$V:$V</definedName>
    <definedName name="Loc_PC">[1]DBPCFA!$A:$A</definedName>
    <definedName name="Mes_FA_PC">[1]DBPCFA!$D:$D</definedName>
    <definedName name="MY_FA">[1]DBPCFA!$AL:$AL</definedName>
    <definedName name="Nombre_Apellidos">'[1]Empleados Contratista'!$A$2:$A$51</definedName>
    <definedName name="Nombre_y_Apellidos">'[1]Inf. Diario 49'!$AB$3:$AB$52</definedName>
    <definedName name="Nombres">OFFSET(Nombre_y_Apellidos,0,0,'[1]Inf. Diario 49'!$AB$1,1)</definedName>
    <definedName name="Pag_CO">[1]DBPCFA!$AG:$AG</definedName>
    <definedName name="Pag_PC">[1]DBPCFA!$B:$B</definedName>
    <definedName name="_xlnm.Print_Area" localSheetId="0">'Resumen FA (Mensual) 51'!$A$1:$R$53,'Resumen FA (Mensual) 51'!$A$63:$R$124</definedName>
    <definedName name="Total_MS">[1]DBPCFA!$AD:$AD</definedName>
    <definedName name="Total_PC">[1]DBPCFA!$H:$H</definedName>
    <definedName name="Union_PC">[1]DBPCFA!$I:$I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1" i="1" l="1"/>
  <c r="H121" i="1"/>
  <c r="A121" i="1"/>
  <c r="M94" i="1"/>
  <c r="M93" i="1"/>
  <c r="M91" i="1"/>
  <c r="M92" i="1" s="1"/>
  <c r="M95" i="1" s="1"/>
  <c r="M100" i="1" s="1"/>
  <c r="C48" i="1"/>
  <c r="M36" i="1"/>
  <c r="M37" i="1" s="1"/>
  <c r="M35" i="1"/>
  <c r="M34" i="1"/>
  <c r="M33" i="1"/>
  <c r="M32" i="1"/>
  <c r="C10" i="1"/>
  <c r="M9" i="1"/>
  <c r="F8" i="1"/>
  <c r="O7" i="1"/>
  <c r="J7" i="1"/>
  <c r="F7" i="1"/>
  <c r="AA1" i="1"/>
  <c r="U1" i="1"/>
  <c r="M27" i="1" s="1"/>
  <c r="M80" i="1" s="1"/>
  <c r="M38" i="1" l="1"/>
  <c r="Z1" i="1"/>
  <c r="A17" i="1"/>
  <c r="A70" i="1" s="1"/>
  <c r="G18" i="1"/>
  <c r="G71" i="1" s="1"/>
  <c r="M19" i="1"/>
  <c r="M72" i="1" s="1"/>
  <c r="A21" i="1"/>
  <c r="A74" i="1" s="1"/>
  <c r="G22" i="1"/>
  <c r="G75" i="1" s="1"/>
  <c r="M23" i="1"/>
  <c r="M76" i="1" s="1"/>
  <c r="A25" i="1"/>
  <c r="A78" i="1" s="1"/>
  <c r="G26" i="1"/>
  <c r="G79" i="1" s="1"/>
  <c r="G17" i="1"/>
  <c r="G70" i="1" s="1"/>
  <c r="M18" i="1"/>
  <c r="M71" i="1" s="1"/>
  <c r="A20" i="1"/>
  <c r="A73" i="1" s="1"/>
  <c r="G21" i="1"/>
  <c r="G74" i="1" s="1"/>
  <c r="M22" i="1"/>
  <c r="M75" i="1" s="1"/>
  <c r="A24" i="1"/>
  <c r="A77" i="1" s="1"/>
  <c r="G25" i="1"/>
  <c r="G78" i="1" s="1"/>
  <c r="M26" i="1"/>
  <c r="M79" i="1" s="1"/>
  <c r="A18" i="1"/>
  <c r="A71" i="1" s="1"/>
  <c r="G19" i="1"/>
  <c r="G72" i="1" s="1"/>
  <c r="M20" i="1"/>
  <c r="M73" i="1" s="1"/>
  <c r="A22" i="1"/>
  <c r="A75" i="1" s="1"/>
  <c r="G23" i="1"/>
  <c r="G76" i="1" s="1"/>
  <c r="M24" i="1"/>
  <c r="M77" i="1" s="1"/>
  <c r="A26" i="1"/>
  <c r="A79" i="1" s="1"/>
  <c r="M17" i="1"/>
  <c r="M70" i="1" s="1"/>
  <c r="A19" i="1"/>
  <c r="A72" i="1" s="1"/>
  <c r="G20" i="1"/>
  <c r="G73" i="1" s="1"/>
  <c r="M21" i="1"/>
  <c r="M74" i="1" s="1"/>
  <c r="A23" i="1"/>
  <c r="A76" i="1" s="1"/>
  <c r="G24" i="1"/>
  <c r="G77" i="1" s="1"/>
  <c r="M25" i="1"/>
  <c r="M78" i="1" s="1"/>
  <c r="I79" i="1" l="1"/>
  <c r="K78" i="1"/>
  <c r="O76" i="1"/>
  <c r="Q75" i="1"/>
  <c r="C74" i="1"/>
  <c r="E73" i="1"/>
  <c r="I71" i="1"/>
  <c r="K70" i="1"/>
  <c r="O26" i="1"/>
  <c r="I25" i="1"/>
  <c r="C24" i="1"/>
  <c r="O22" i="1"/>
  <c r="I21" i="1"/>
  <c r="C20" i="1"/>
  <c r="O18" i="1"/>
  <c r="I17" i="1"/>
  <c r="I23" i="1"/>
  <c r="O78" i="1"/>
  <c r="Q77" i="1"/>
  <c r="C76" i="1"/>
  <c r="I73" i="1"/>
  <c r="K72" i="1"/>
  <c r="O70" i="1"/>
  <c r="O25" i="1"/>
  <c r="Q80" i="1"/>
  <c r="I78" i="1"/>
  <c r="K77" i="1"/>
  <c r="O75" i="1"/>
  <c r="Q74" i="1"/>
  <c r="C73" i="1"/>
  <c r="E72" i="1"/>
  <c r="I70" i="1"/>
  <c r="O80" i="1"/>
  <c r="E79" i="1"/>
  <c r="I77" i="1"/>
  <c r="K76" i="1"/>
  <c r="O74" i="1"/>
  <c r="Q73" i="1"/>
  <c r="C72" i="1"/>
  <c r="E71" i="1"/>
  <c r="C26" i="1"/>
  <c r="E75" i="1"/>
  <c r="O27" i="1"/>
  <c r="C79" i="1"/>
  <c r="E78" i="1"/>
  <c r="I76" i="1"/>
  <c r="K75" i="1"/>
  <c r="O73" i="1"/>
  <c r="Q72" i="1"/>
  <c r="C71" i="1"/>
  <c r="E70" i="1"/>
  <c r="I26" i="1"/>
  <c r="C25" i="1"/>
  <c r="O23" i="1"/>
  <c r="I22" i="1"/>
  <c r="C21" i="1"/>
  <c r="O19" i="1"/>
  <c r="I18" i="1"/>
  <c r="C17" i="1"/>
  <c r="Q79" i="1"/>
  <c r="C78" i="1"/>
  <c r="E77" i="1"/>
  <c r="I75" i="1"/>
  <c r="K74" i="1"/>
  <c r="O72" i="1"/>
  <c r="Q71" i="1"/>
  <c r="C70" i="1"/>
  <c r="O79" i="1"/>
  <c r="Q78" i="1"/>
  <c r="C77" i="1"/>
  <c r="E76" i="1"/>
  <c r="I74" i="1"/>
  <c r="K73" i="1"/>
  <c r="O71" i="1"/>
  <c r="Q70" i="1"/>
  <c r="O24" i="1"/>
  <c r="C22" i="1"/>
  <c r="O20" i="1"/>
  <c r="I19" i="1"/>
  <c r="C18" i="1"/>
  <c r="K79" i="1"/>
  <c r="O77" i="1"/>
  <c r="Q76" i="1"/>
  <c r="C75" i="1"/>
  <c r="E74" i="1"/>
  <c r="I72" i="1"/>
  <c r="K71" i="1"/>
  <c r="I24" i="1"/>
  <c r="C23" i="1"/>
  <c r="O21" i="1"/>
  <c r="I20" i="1"/>
  <c r="C19" i="1"/>
  <c r="O17" i="1"/>
  <c r="I81" i="1" l="1"/>
  <c r="I28" i="1"/>
  <c r="K81" i="1"/>
  <c r="O81" i="1"/>
  <c r="O28" i="1"/>
  <c r="Q81" i="1"/>
  <c r="C81" i="1"/>
  <c r="O82" i="1" s="1"/>
  <c r="C28" i="1"/>
  <c r="O29" i="1" s="1"/>
  <c r="M39" i="1" s="1"/>
  <c r="E81" i="1"/>
  <c r="M45" i="1" l="1"/>
  <c r="M50" i="1"/>
  <c r="M49" i="1"/>
  <c r="M40" i="1"/>
  <c r="M42" i="1" s="1"/>
  <c r="M46" i="1"/>
  <c r="M47" i="1"/>
  <c r="M84" i="1"/>
  <c r="Q82" i="1"/>
  <c r="M85" i="1" s="1"/>
  <c r="M43" i="1" l="1"/>
  <c r="M44" i="1"/>
  <c r="M86" i="1"/>
  <c r="M99" i="1" s="1"/>
  <c r="M51" i="1"/>
  <c r="M52" i="1" s="1"/>
  <c r="M53" i="1" l="1"/>
  <c r="M98" i="1" s="1"/>
  <c r="M101" i="1" s="1"/>
  <c r="M102" i="1" l="1"/>
  <c r="M103" i="1" s="1"/>
</calcChain>
</file>

<file path=xl/sharedStrings.xml><?xml version="1.0" encoding="utf-8"?>
<sst xmlns="http://schemas.openxmlformats.org/spreadsheetml/2006/main" count="168" uniqueCount="111">
  <si>
    <t>ESTADO LIBRE ASOCIADO DE PUERTO RICO</t>
  </si>
  <si>
    <t>Mes</t>
  </si>
  <si>
    <t>Año</t>
  </si>
  <si>
    <t>Res. ID</t>
  </si>
  <si>
    <t>Departamento de Transportación y Obras Públicas</t>
  </si>
  <si>
    <t>Enero</t>
  </si>
  <si>
    <t>AUTORIDAD DE CARRETERAS Y TRANSPORTACION</t>
  </si>
  <si>
    <t>Febrero</t>
  </si>
  <si>
    <t>Area de Construcción</t>
  </si>
  <si>
    <t>Marzo</t>
  </si>
  <si>
    <t>Abril</t>
  </si>
  <si>
    <t>RESUMEN DEL TRABAJO POR ADMINISTRACION DELEGADA</t>
  </si>
  <si>
    <t>Mayo</t>
  </si>
  <si>
    <t xml:space="preserve">Force Account Núm.  </t>
  </si>
  <si>
    <t xml:space="preserve">Partida Núm.  </t>
  </si>
  <si>
    <t xml:space="preserve">EWO Núm.  </t>
  </si>
  <si>
    <t>Junio</t>
  </si>
  <si>
    <t>Julio</t>
  </si>
  <si>
    <r>
      <t>Nombre y Número de Proyecto</t>
    </r>
    <r>
      <rPr>
        <u/>
        <sz val="11"/>
        <rFont val="Arial"/>
        <family val="2"/>
      </rPr>
      <t xml:space="preserve">     </t>
    </r>
  </si>
  <si>
    <r>
      <t>Fecha</t>
    </r>
    <r>
      <rPr>
        <u/>
        <sz val="11"/>
        <rFont val="Arial"/>
        <family val="2"/>
      </rPr>
      <t xml:space="preserve">  </t>
    </r>
  </si>
  <si>
    <t>Agosto</t>
  </si>
  <si>
    <r>
      <t>Contratista</t>
    </r>
    <r>
      <rPr>
        <u/>
        <sz val="11"/>
        <rFont val="Arial"/>
        <family val="2"/>
      </rPr>
      <t xml:space="preserve">     </t>
    </r>
  </si>
  <si>
    <r>
      <t>Mes y Año</t>
    </r>
    <r>
      <rPr>
        <u/>
        <sz val="11"/>
        <rFont val="Arial"/>
        <family val="2"/>
      </rPr>
      <t xml:space="preserve">  </t>
    </r>
  </si>
  <si>
    <t>-</t>
  </si>
  <si>
    <t>Septiembre</t>
  </si>
  <si>
    <t>Octubre</t>
  </si>
  <si>
    <t>A) MANO DE OBRA</t>
  </si>
  <si>
    <t>Noviembre</t>
  </si>
  <si>
    <t>Informe Diario de Nómina</t>
  </si>
  <si>
    <t>Diciembre</t>
  </si>
  <si>
    <t>Día</t>
  </si>
  <si>
    <t>de la</t>
  </si>
  <si>
    <t>del</t>
  </si>
  <si>
    <t>(A)</t>
  </si>
  <si>
    <t>(B)</t>
  </si>
  <si>
    <t>(C)</t>
  </si>
  <si>
    <t>Semana</t>
  </si>
  <si>
    <t>Monto</t>
  </si>
  <si>
    <t>======================================================</t>
  </si>
  <si>
    <t>Subtotal (A)</t>
  </si>
  <si>
    <t>Subtotal (B)</t>
  </si>
  <si>
    <t>Subtotal (C)</t>
  </si>
  <si>
    <t>Subtotal Mano de Obra</t>
  </si>
  <si>
    <t>RESUMEN DE COSTO DE MANO DE OBRA</t>
  </si>
  <si>
    <t>Para uso del liquidador</t>
  </si>
  <si>
    <t>a)  Subtotal Operadores (Unión Equipo Pesado)</t>
  </si>
  <si>
    <t>b)  Beneficios Marginales</t>
  </si>
  <si>
    <t>% de (a)</t>
  </si>
  <si>
    <t>c)  Subtotal Carpinteros (Unión de Carpinteros)</t>
  </si>
  <si>
    <t>d)  Beneficios Marginales</t>
  </si>
  <si>
    <t>% de (c)</t>
  </si>
  <si>
    <t>e)  Subtotal Personal Adicional</t>
  </si>
  <si>
    <t>f)  Beneficios Marginales</t>
  </si>
  <si>
    <t>% de (e)</t>
  </si>
  <si>
    <t>g)  Suma de (a, b, c, d, e, f)</t>
  </si>
  <si>
    <t>h)  Subtotal Mano de Obra</t>
  </si>
  <si>
    <t>I)  Beneficios Marginales</t>
  </si>
  <si>
    <t>% de (h)  (Contratistas sin Unión)</t>
  </si>
  <si>
    <t>j)  Gastos de Viaje y Dietas</t>
  </si>
  <si>
    <t>k)  Suma de (g+j) (con Unión) ó Suma de (h+I+j)(sin Unión)</t>
  </si>
  <si>
    <t>l)  Beneficio Industrial 20% de (k)</t>
  </si>
  <si>
    <t>m)  Suma de (k+l)</t>
  </si>
  <si>
    <t>n)  Fondo del Seguro del Estado</t>
  </si>
  <si>
    <t>% de (h)</t>
  </si>
  <si>
    <t>o)  Seguro Social</t>
  </si>
  <si>
    <t>p)  Seguro de Desempleo Estatal</t>
  </si>
  <si>
    <t>%    Federal</t>
  </si>
  <si>
    <t>%</t>
  </si>
  <si>
    <t>% de ( h )=</t>
  </si>
  <si>
    <t>q)  Seguro de Resp. Pública</t>
  </si>
  <si>
    <t>r)  Seguro de Incapacidad</t>
  </si>
  <si>
    <t>s)  Suma de (n, o, p, q, r)</t>
  </si>
  <si>
    <t>t)  Beneficio Industrial 10% de (s)</t>
  </si>
  <si>
    <t>(1) TOTAL DE MANO DE OBRA (m + s + t)</t>
  </si>
  <si>
    <t>B) MATERIALES Y/O SERVICIOS</t>
  </si>
  <si>
    <t>Informe Diario</t>
  </si>
  <si>
    <t>Materiales</t>
  </si>
  <si>
    <t>Servicios</t>
  </si>
  <si>
    <t>==============================================================</t>
  </si>
  <si>
    <t>Subtotal de Materiales y/o Servicios</t>
  </si>
  <si>
    <t>RESUMEN DE COSTO DE MATERIALES Y/O SERVICIOS</t>
  </si>
  <si>
    <t>a)  Subtotal de Materiales y/o Servicios</t>
  </si>
  <si>
    <t>b)  Beneficio Industrial</t>
  </si>
  <si>
    <t>(2)  TOTAL DE MATERIALES Y/O SERVICIOS (A+B)</t>
  </si>
  <si>
    <t>C)  EQUIPO</t>
  </si>
  <si>
    <t>Para llenar los subtotales de equipo, refierase a la hoja de Relación de Equipo del Trabajo por Administración Delegada, parte B.</t>
  </si>
  <si>
    <t>RESUMEN DE COSTO DE EQUIPO</t>
  </si>
  <si>
    <t>a)  Subtotal Renta de Equipo Activo + Inactivo (sin "operating cost")</t>
  </si>
  <si>
    <t>Subtotal (ii)</t>
  </si>
  <si>
    <t>b)  Beneficio Industrial 15% de (a)</t>
  </si>
  <si>
    <t>c)  Subtotal Renta de Equipo Activo</t>
  </si>
  <si>
    <t>Subtotal (mm)</t>
  </si>
  <si>
    <t>d)  Subtotal Renta de Equipo Inactivo</t>
  </si>
  <si>
    <t>Subtotal (gg)</t>
  </si>
  <si>
    <t>(3)  TOTAL DE EQUIPO (b + c + d)</t>
  </si>
  <si>
    <t>TOTALES</t>
  </si>
  <si>
    <t>1)  TOTAL MANO DE OBRA</t>
  </si>
  <si>
    <t>2)  TOTAL MATERIALES Y/O SERVICIOS</t>
  </si>
  <si>
    <t>3)  TOTAL DE EQUIPO</t>
  </si>
  <si>
    <t>4)  TOTAL (1 + 2  + 3)</t>
  </si>
  <si>
    <t>5)  FIANZAS DE EJECUCION Y PAGO</t>
  </si>
  <si>
    <t>por mil de (4)</t>
  </si>
  <si>
    <t>6)  COSTO TOTAL DEL TRABAJO POR                                                     ADMINISTRACION DELEGADA (4 + 5)</t>
  </si>
  <si>
    <t>COMENTARIOS  :</t>
  </si>
  <si>
    <t>Sometido por:</t>
  </si>
  <si>
    <t>Cotejado por:</t>
  </si>
  <si>
    <t>Aceptado por:</t>
  </si>
  <si>
    <t>Administrador de Proyecto</t>
  </si>
  <si>
    <t>Liquidador Oficial</t>
  </si>
  <si>
    <t>Contratista o Representante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</si>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</sst>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b/>
      <sz val="13"/>
      <color indexed="10"/>
      <name val="Arial"/>
      <family val="2"/>
    </font>
    <font>
      <b/>
      <sz val="10"/>
      <color indexed="10"/>
      <name val="Arial"/>
      <family val="2"/>
    </font>
    <font>
      <b/>
      <sz val="13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wrapText="1"/>
      <protection hidden="1"/>
    </xf>
    <xf numFmtId="0" fontId="1" fillId="0" borderId="0" xfId="0" applyFont="1" applyAlignment="1" applyProtection="1">
      <alignment wrapText="1"/>
      <protection hidden="1"/>
    </xf>
    <xf numFmtId="0" fontId="5" fillId="0" borderId="0" xfId="0" applyFont="1" applyProtection="1">
      <protection hidden="1"/>
    </xf>
    <xf numFmtId="0" fontId="1" fillId="0" borderId="1" xfId="0" applyFont="1" applyBorder="1" applyAlignment="1" applyProtection="1">
      <alignment wrapText="1"/>
      <protection hidden="1"/>
    </xf>
    <xf numFmtId="15" fontId="3" fillId="0" borderId="1" xfId="0" applyNumberFormat="1" applyFont="1" applyBorder="1" applyAlignment="1" applyProtection="1">
      <alignment horizontal="center"/>
      <protection hidden="1"/>
    </xf>
    <xf numFmtId="15" fontId="2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17" fontId="3" fillId="2" borderId="2" xfId="0" applyNumberFormat="1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left"/>
      <protection locked="0"/>
    </xf>
    <xf numFmtId="0" fontId="0" fillId="0" borderId="3" xfId="0" applyBorder="1" applyProtection="1"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5" xfId="0" applyBorder="1" applyProtection="1"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7" fillId="0" borderId="26" xfId="0" applyFont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/>
      <protection hidden="1"/>
    </xf>
    <xf numFmtId="164" fontId="7" fillId="0" borderId="28" xfId="0" applyNumberFormat="1" applyFont="1" applyBorder="1" applyAlignment="1" applyProtection="1">
      <alignment horizontal="center"/>
      <protection hidden="1"/>
    </xf>
    <xf numFmtId="164" fontId="7" fillId="0" borderId="2" xfId="0" applyNumberFormat="1" applyFont="1" applyBorder="1" applyAlignment="1" applyProtection="1">
      <alignment horizontal="center"/>
      <protection hidden="1"/>
    </xf>
    <xf numFmtId="0" fontId="7" fillId="0" borderId="29" xfId="0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164" fontId="7" fillId="0" borderId="30" xfId="0" applyNumberFormat="1" applyFont="1" applyBorder="1" applyAlignment="1" applyProtection="1">
      <alignment horizontal="center"/>
      <protection hidden="1"/>
    </xf>
    <xf numFmtId="0" fontId="8" fillId="0" borderId="26" xfId="0" quotePrefix="1" applyFont="1" applyBorder="1" applyAlignment="1" applyProtection="1">
      <alignment vertical="center"/>
      <protection hidden="1"/>
    </xf>
    <xf numFmtId="0" fontId="8" fillId="0" borderId="2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7" fillId="0" borderId="26" xfId="0" applyFont="1" applyBorder="1" applyProtection="1">
      <protection hidden="1"/>
    </xf>
    <xf numFmtId="0" fontId="7" fillId="0" borderId="2" xfId="0" applyFont="1" applyBorder="1" applyAlignment="1" applyProtection="1">
      <alignment horizontal="right"/>
      <protection hidden="1"/>
    </xf>
    <xf numFmtId="0" fontId="0" fillId="0" borderId="29" xfId="0" applyBorder="1" applyAlignment="1" applyProtection="1">
      <alignment horizontal="center"/>
      <protection hidden="1"/>
    </xf>
    <xf numFmtId="0" fontId="7" fillId="0" borderId="2" xfId="0" applyFont="1" applyBorder="1" applyProtection="1">
      <protection hidden="1"/>
    </xf>
    <xf numFmtId="0" fontId="7" fillId="0" borderId="29" xfId="0" applyFont="1" applyBorder="1" applyAlignment="1" applyProtection="1">
      <alignment horizontal="right"/>
      <protection hidden="1"/>
    </xf>
    <xf numFmtId="0" fontId="7" fillId="0" borderId="28" xfId="0" applyFont="1" applyBorder="1" applyProtection="1">
      <protection hidden="1"/>
    </xf>
    <xf numFmtId="0" fontId="0" fillId="0" borderId="30" xfId="0" applyBorder="1" applyAlignment="1" applyProtection="1">
      <alignment horizontal="center"/>
      <protection hidden="1"/>
    </xf>
    <xf numFmtId="0" fontId="1" fillId="0" borderId="31" xfId="0" applyFont="1" applyBorder="1" applyProtection="1">
      <protection hidden="1"/>
    </xf>
    <xf numFmtId="0" fontId="1" fillId="0" borderId="32" xfId="0" applyFont="1" applyBorder="1" applyProtection="1">
      <protection hidden="1"/>
    </xf>
    <xf numFmtId="0" fontId="7" fillId="0" borderId="33" xfId="0" applyFont="1" applyBorder="1" applyAlignment="1" applyProtection="1">
      <alignment horizontal="right"/>
      <protection hidden="1"/>
    </xf>
    <xf numFmtId="164" fontId="7" fillId="0" borderId="34" xfId="0" applyNumberFormat="1" applyFont="1" applyBorder="1" applyAlignment="1" applyProtection="1">
      <alignment horizontal="center"/>
      <protection hidden="1"/>
    </xf>
    <xf numFmtId="164" fontId="7" fillId="0" borderId="32" xfId="0" applyNumberFormat="1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36" xfId="0" applyBorder="1" applyProtection="1">
      <protection hidden="1"/>
    </xf>
    <xf numFmtId="0" fontId="0" fillId="0" borderId="4" xfId="0" applyBorder="1" applyProtection="1">
      <protection hidden="1"/>
    </xf>
    <xf numFmtId="0" fontId="5" fillId="0" borderId="6" xfId="0" applyFont="1" applyBorder="1" applyAlignment="1" applyProtection="1">
      <alignment horizontal="right"/>
      <protection hidden="1"/>
    </xf>
    <xf numFmtId="0" fontId="9" fillId="0" borderId="37" xfId="0" applyFont="1" applyBorder="1" applyProtection="1">
      <protection hidden="1"/>
    </xf>
    <xf numFmtId="0" fontId="0" fillId="0" borderId="1" xfId="0" applyBorder="1" applyProtection="1">
      <protection hidden="1"/>
    </xf>
    <xf numFmtId="164" fontId="9" fillId="0" borderId="38" xfId="0" applyNumberFormat="1" applyFont="1" applyBorder="1" applyAlignment="1" applyProtection="1">
      <alignment horizontal="center"/>
      <protection hidden="1"/>
    </xf>
    <xf numFmtId="164" fontId="9" fillId="0" borderId="8" xfId="0" applyNumberFormat="1" applyFont="1" applyBorder="1" applyAlignment="1" applyProtection="1">
      <alignment horizontal="center"/>
      <protection hidden="1"/>
    </xf>
    <xf numFmtId="164" fontId="0" fillId="0" borderId="39" xfId="0" applyNumberFormat="1" applyBorder="1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0" fillId="0" borderId="25" xfId="0" applyBorder="1" applyProtection="1">
      <protection hidden="1"/>
    </xf>
    <xf numFmtId="0" fontId="9" fillId="0" borderId="26" xfId="0" applyFont="1" applyBorder="1" applyProtection="1">
      <protection hidden="1"/>
    </xf>
    <xf numFmtId="0" fontId="0" fillId="0" borderId="2" xfId="0" applyBorder="1" applyProtection="1">
      <protection hidden="1"/>
    </xf>
    <xf numFmtId="2" fontId="10" fillId="2" borderId="2" xfId="0" applyNumberFormat="1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left"/>
      <protection hidden="1"/>
    </xf>
    <xf numFmtId="164" fontId="9" fillId="0" borderId="28" xfId="0" applyNumberFormat="1" applyFont="1" applyBorder="1" applyAlignment="1" applyProtection="1">
      <alignment horizontal="center"/>
      <protection hidden="1"/>
    </xf>
    <xf numFmtId="164" fontId="9" fillId="0" borderId="2" xfId="0" applyNumberFormat="1" applyFont="1" applyBorder="1" applyAlignment="1" applyProtection="1">
      <alignment horizontal="center"/>
      <protection hidden="1"/>
    </xf>
    <xf numFmtId="164" fontId="0" fillId="0" borderId="29" xfId="0" applyNumberFormat="1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30" xfId="0" applyBorder="1" applyProtection="1">
      <protection hidden="1"/>
    </xf>
    <xf numFmtId="0" fontId="9" fillId="0" borderId="2" xfId="0" applyFont="1" applyBorder="1" applyProtection="1">
      <protection hidden="1"/>
    </xf>
    <xf numFmtId="0" fontId="9" fillId="0" borderId="2" xfId="0" applyFont="1" applyBorder="1" applyAlignment="1" applyProtection="1">
      <alignment horizontal="center"/>
      <protection hidden="1"/>
    </xf>
    <xf numFmtId="2" fontId="10" fillId="2" borderId="2" xfId="0" applyNumberFormat="1" applyFont="1" applyFill="1" applyBorder="1" applyProtection="1">
      <protection locked="0"/>
    </xf>
    <xf numFmtId="164" fontId="10" fillId="2" borderId="28" xfId="0" applyNumberFormat="1" applyFont="1" applyFill="1" applyBorder="1" applyAlignment="1" applyProtection="1">
      <alignment horizontal="center"/>
      <protection locked="0"/>
    </xf>
    <xf numFmtId="164" fontId="10" fillId="2" borderId="2" xfId="0" applyNumberFormat="1" applyFont="1" applyFill="1" applyBorder="1" applyAlignment="1" applyProtection="1">
      <alignment horizontal="center"/>
      <protection locked="0"/>
    </xf>
    <xf numFmtId="0" fontId="11" fillId="2" borderId="29" xfId="0" applyFont="1" applyFill="1" applyBorder="1" applyAlignment="1" applyProtection="1">
      <alignment horizontal="center"/>
      <protection locked="0"/>
    </xf>
    <xf numFmtId="2" fontId="9" fillId="0" borderId="2" xfId="0" applyNumberFormat="1" applyFont="1" applyBorder="1" applyProtection="1">
      <protection hidden="1"/>
    </xf>
    <xf numFmtId="0" fontId="9" fillId="0" borderId="40" xfId="0" applyFont="1" applyBorder="1" applyProtection="1">
      <protection hidden="1"/>
    </xf>
    <xf numFmtId="0" fontId="10" fillId="2" borderId="0" xfId="0" applyFont="1" applyFill="1" applyProtection="1">
      <protection locked="0"/>
    </xf>
    <xf numFmtId="0" fontId="9" fillId="0" borderId="13" xfId="0" applyFont="1" applyBorder="1" applyAlignment="1" applyProtection="1">
      <alignment horizontal="center"/>
      <protection hidden="1"/>
    </xf>
    <xf numFmtId="0" fontId="10" fillId="2" borderId="13" xfId="0" applyFont="1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9" fillId="0" borderId="0" xfId="0" applyFont="1" applyProtection="1">
      <protection hidden="1"/>
    </xf>
    <xf numFmtId="164" fontId="9" fillId="0" borderId="12" xfId="0" applyNumberFormat="1" applyFont="1" applyBorder="1" applyAlignment="1" applyProtection="1">
      <alignment horizontal="center"/>
      <protection hidden="1"/>
    </xf>
    <xf numFmtId="164" fontId="9" fillId="0" borderId="13" xfId="0" applyNumberFormat="1" applyFont="1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10" fillId="2" borderId="1" xfId="0" applyFont="1" applyFill="1" applyBorder="1" applyProtection="1">
      <protection locked="0"/>
    </xf>
    <xf numFmtId="0" fontId="9" fillId="0" borderId="1" xfId="0" applyFont="1" applyBorder="1" applyProtection="1"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9" fillId="0" borderId="24" xfId="0" applyFont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4" fontId="10" fillId="2" borderId="2" xfId="0" applyNumberFormat="1" applyFont="1" applyFill="1" applyBorder="1" applyProtection="1">
      <protection locked="0"/>
    </xf>
    <xf numFmtId="0" fontId="9" fillId="0" borderId="41" xfId="0" applyFont="1" applyBorder="1" applyProtection="1">
      <protection hidden="1"/>
    </xf>
    <xf numFmtId="0" fontId="0" fillId="0" borderId="18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31" xfId="0" applyBorder="1" applyProtection="1">
      <protection hidden="1"/>
    </xf>
    <xf numFmtId="0" fontId="0" fillId="0" borderId="32" xfId="0" applyBorder="1" applyProtection="1">
      <protection hidden="1"/>
    </xf>
    <xf numFmtId="0" fontId="9" fillId="0" borderId="32" xfId="0" applyFont="1" applyBorder="1" applyAlignment="1" applyProtection="1">
      <alignment horizontal="right"/>
      <protection hidden="1"/>
    </xf>
    <xf numFmtId="164" fontId="9" fillId="0" borderId="34" xfId="0" applyNumberFormat="1" applyFont="1" applyBorder="1" applyAlignment="1" applyProtection="1">
      <alignment horizontal="center"/>
      <protection hidden="1"/>
    </xf>
    <xf numFmtId="164" fontId="9" fillId="0" borderId="32" xfId="0" applyNumberFormat="1" applyFon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9" fontId="1" fillId="0" borderId="0" xfId="1" applyAlignment="1" applyProtection="1">
      <protection hidden="1"/>
    </xf>
    <xf numFmtId="9" fontId="1" fillId="0" borderId="0" xfId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3" xfId="0" applyFont="1" applyBorder="1" applyProtection="1"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5" xfId="0" applyFont="1" applyBorder="1" applyAlignment="1" applyProtection="1">
      <alignment horizontal="center"/>
      <protection hidden="1"/>
    </xf>
    <xf numFmtId="0" fontId="12" fillId="0" borderId="6" xfId="0" applyFont="1" applyBorder="1" applyAlignment="1" applyProtection="1">
      <alignment horizontal="left"/>
      <protection hidden="1"/>
    </xf>
    <xf numFmtId="0" fontId="9" fillId="0" borderId="1" xfId="0" applyFont="1" applyBorder="1" applyAlignment="1" applyProtection="1">
      <alignment horizontal="left"/>
      <protection hidden="1"/>
    </xf>
    <xf numFmtId="0" fontId="9" fillId="0" borderId="23" xfId="0" applyFont="1" applyBorder="1" applyAlignment="1" applyProtection="1">
      <alignment horizontal="center"/>
      <protection hidden="1"/>
    </xf>
    <xf numFmtId="0" fontId="9" fillId="0" borderId="25" xfId="0" applyFont="1" applyBorder="1" applyAlignment="1" applyProtection="1">
      <alignment horizontal="left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12" xfId="0" applyFont="1" applyBorder="1" applyProtection="1"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4" xfId="0" applyFont="1" applyBorder="1" applyProtection="1"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Protection="1">
      <protection hidden="1"/>
    </xf>
    <xf numFmtId="0" fontId="1" fillId="0" borderId="16" xfId="0" applyFont="1" applyBorder="1" applyAlignment="1" applyProtection="1">
      <alignment horizontal="center"/>
      <protection hidden="1"/>
    </xf>
    <xf numFmtId="0" fontId="1" fillId="0" borderId="17" xfId="0" applyFont="1" applyBorder="1" applyAlignment="1" applyProtection="1">
      <alignment horizontal="center"/>
      <protection hidden="1"/>
    </xf>
    <xf numFmtId="0" fontId="1" fillId="0" borderId="18" xfId="0" applyFont="1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9" xfId="0" applyFont="1" applyBorder="1" applyProtection="1">
      <protection hidden="1"/>
    </xf>
    <xf numFmtId="0" fontId="1" fillId="0" borderId="20" xfId="0" applyFont="1" applyBorder="1" applyProtection="1">
      <protection hidden="1"/>
    </xf>
    <xf numFmtId="0" fontId="1" fillId="0" borderId="21" xfId="0" applyFont="1" applyBorder="1" applyAlignment="1" applyProtection="1">
      <alignment horizontal="center"/>
      <protection hidden="1"/>
    </xf>
    <xf numFmtId="0" fontId="1" fillId="0" borderId="22" xfId="0" applyFont="1" applyBorder="1" applyAlignment="1" applyProtection="1">
      <alignment horizontal="center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alignment horizontal="center" vertical="center"/>
      <protection hidden="1"/>
    </xf>
    <xf numFmtId="0" fontId="7" fillId="0" borderId="43" xfId="0" applyFont="1" applyBorder="1" applyAlignment="1" applyProtection="1">
      <alignment horizontal="center"/>
      <protection hidden="1"/>
    </xf>
    <xf numFmtId="164" fontId="7" fillId="0" borderId="27" xfId="0" applyNumberFormat="1" applyFont="1" applyBorder="1" applyAlignment="1" applyProtection="1">
      <alignment horizontal="center" vertical="center" shrinkToFit="1"/>
      <protection hidden="1"/>
    </xf>
    <xf numFmtId="0" fontId="0" fillId="0" borderId="27" xfId="0" applyBorder="1" applyAlignment="1" applyProtection="1">
      <alignment horizontal="center" vertical="center" shrinkToFit="1"/>
      <protection hidden="1"/>
    </xf>
    <xf numFmtId="0" fontId="0" fillId="0" borderId="28" xfId="0" applyBorder="1" applyAlignment="1" applyProtection="1">
      <alignment horizontal="center"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7" fillId="0" borderId="24" xfId="0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0" borderId="26" xfId="0" quotePrefix="1" applyFont="1" applyBorder="1" applyAlignment="1" applyProtection="1">
      <alignment horizontal="left" vertical="center"/>
      <protection hidden="1"/>
    </xf>
    <xf numFmtId="0" fontId="7" fillId="0" borderId="2" xfId="0" applyFont="1" applyBorder="1" applyAlignment="1" applyProtection="1">
      <alignment horizontal="left" vertical="center"/>
      <protection hidden="1"/>
    </xf>
    <xf numFmtId="0" fontId="7" fillId="0" borderId="29" xfId="0" applyFont="1" applyBorder="1" applyAlignment="1" applyProtection="1">
      <alignment horizontal="left" vertical="center"/>
      <protection hidden="1"/>
    </xf>
    <xf numFmtId="0" fontId="7" fillId="0" borderId="26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right" vertical="center"/>
      <protection hidden="1"/>
    </xf>
    <xf numFmtId="164" fontId="7" fillId="0" borderId="28" xfId="0" applyNumberFormat="1" applyFont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vertical="center"/>
      <protection hidden="1"/>
    </xf>
    <xf numFmtId="0" fontId="7" fillId="0" borderId="29" xfId="0" applyFont="1" applyBorder="1" applyAlignment="1" applyProtection="1">
      <alignment horizontal="right" vertical="center"/>
      <protection hidden="1"/>
    </xf>
    <xf numFmtId="0" fontId="7" fillId="0" borderId="28" xfId="0" applyFont="1" applyBorder="1" applyAlignment="1" applyProtection="1">
      <alignment vertical="center"/>
      <protection hidden="1"/>
    </xf>
    <xf numFmtId="0" fontId="0" fillId="0" borderId="30" xfId="0" applyBorder="1" applyAlignment="1" applyProtection="1">
      <alignment horizontal="center" vertical="center"/>
      <protection hidden="1"/>
    </xf>
    <xf numFmtId="0" fontId="7" fillId="0" borderId="31" xfId="0" applyFont="1" applyBorder="1" applyProtection="1">
      <protection hidden="1"/>
    </xf>
    <xf numFmtId="0" fontId="7" fillId="0" borderId="32" xfId="0" applyFont="1" applyBorder="1" applyProtection="1">
      <protection hidden="1"/>
    </xf>
    <xf numFmtId="164" fontId="7" fillId="0" borderId="27" xfId="0" applyNumberFormat="1" applyFont="1" applyBorder="1" applyAlignment="1" applyProtection="1">
      <alignment horizontal="center" vertical="center"/>
      <protection hidden="1"/>
    </xf>
    <xf numFmtId="164" fontId="7" fillId="0" borderId="44" xfId="0" applyNumberFormat="1" applyFont="1" applyBorder="1" applyAlignment="1" applyProtection="1">
      <alignment horizontal="center" vertical="center"/>
      <protection hidden="1"/>
    </xf>
    <xf numFmtId="0" fontId="0" fillId="0" borderId="45" xfId="0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/>
      <protection hidden="1"/>
    </xf>
    <xf numFmtId="0" fontId="12" fillId="0" borderId="4" xfId="0" applyFont="1" applyBorder="1" applyAlignment="1" applyProtection="1">
      <alignment horizontal="center"/>
      <protection hidden="1"/>
    </xf>
    <xf numFmtId="0" fontId="9" fillId="0" borderId="4" xfId="0" applyFont="1" applyBorder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9" fillId="0" borderId="7" xfId="0" applyFont="1" applyBorder="1" applyProtection="1">
      <protection hidden="1"/>
    </xf>
    <xf numFmtId="0" fontId="0" fillId="0" borderId="8" xfId="0" applyBorder="1" applyProtection="1">
      <protection hidden="1"/>
    </xf>
    <xf numFmtId="0" fontId="0" fillId="0" borderId="39" xfId="0" applyBorder="1" applyProtection="1">
      <protection hidden="1"/>
    </xf>
    <xf numFmtId="0" fontId="9" fillId="0" borderId="23" xfId="0" applyFont="1" applyBorder="1" applyProtection="1">
      <protection hidden="1"/>
    </xf>
    <xf numFmtId="0" fontId="9" fillId="0" borderId="9" xfId="0" applyFont="1" applyBorder="1" applyProtection="1">
      <protection hidden="1"/>
    </xf>
    <xf numFmtId="10" fontId="10" fillId="2" borderId="2" xfId="0" applyNumberFormat="1" applyFont="1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12" fillId="0" borderId="2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10" fillId="2" borderId="2" xfId="0" applyFont="1" applyFill="1" applyBorder="1" applyProtection="1">
      <protection locked="0"/>
    </xf>
    <xf numFmtId="0" fontId="12" fillId="0" borderId="29" xfId="0" applyFont="1" applyBorder="1" applyProtection="1">
      <protection hidden="1"/>
    </xf>
    <xf numFmtId="0" fontId="0" fillId="0" borderId="2" xfId="0" applyBorder="1" applyProtection="1">
      <protection hidden="1"/>
    </xf>
    <xf numFmtId="0" fontId="0" fillId="0" borderId="29" xfId="0" applyBorder="1" applyProtection="1">
      <protection hidden="1"/>
    </xf>
    <xf numFmtId="0" fontId="9" fillId="0" borderId="28" xfId="0" applyFont="1" applyBorder="1" applyProtection="1">
      <protection hidden="1"/>
    </xf>
    <xf numFmtId="0" fontId="9" fillId="0" borderId="30" xfId="0" applyFont="1" applyBorder="1" applyProtection="1">
      <protection hidden="1"/>
    </xf>
    <xf numFmtId="0" fontId="9" fillId="0" borderId="13" xfId="0" applyFont="1" applyBorder="1" applyProtection="1">
      <protection hidden="1"/>
    </xf>
    <xf numFmtId="0" fontId="12" fillId="0" borderId="13" xfId="0" applyFont="1" applyBorder="1" applyAlignment="1" applyProtection="1">
      <alignment horizontal="right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9" fillId="0" borderId="12" xfId="0" applyFont="1" applyBorder="1" applyProtection="1">
      <protection hidden="1"/>
    </xf>
    <xf numFmtId="0" fontId="9" fillId="0" borderId="15" xfId="0" applyFont="1" applyBorder="1" applyProtection="1">
      <protection hidden="1"/>
    </xf>
    <xf numFmtId="0" fontId="12" fillId="0" borderId="3" xfId="0" applyFont="1" applyBorder="1" applyProtection="1">
      <protection hidden="1"/>
    </xf>
    <xf numFmtId="0" fontId="12" fillId="0" borderId="4" xfId="0" applyFont="1" applyBorder="1" applyAlignment="1" applyProtection="1">
      <alignment horizontal="center"/>
      <protection hidden="1"/>
    </xf>
    <xf numFmtId="0" fontId="9" fillId="0" borderId="6" xfId="0" applyFont="1" applyBorder="1" applyProtection="1">
      <protection hidden="1"/>
    </xf>
    <xf numFmtId="0" fontId="9" fillId="0" borderId="46" xfId="0" applyFont="1" applyBorder="1" applyAlignment="1" applyProtection="1">
      <alignment wrapText="1"/>
      <protection hidden="1"/>
    </xf>
    <xf numFmtId="0" fontId="0" fillId="0" borderId="47" xfId="0" applyBorder="1" applyAlignment="1" applyProtection="1">
      <alignment wrapText="1"/>
      <protection hidden="1"/>
    </xf>
    <xf numFmtId="0" fontId="0" fillId="0" borderId="48" xfId="0" applyBorder="1" applyAlignment="1" applyProtection="1">
      <alignment wrapText="1"/>
      <protection hidden="1"/>
    </xf>
    <xf numFmtId="0" fontId="0" fillId="0" borderId="49" xfId="0" applyBorder="1" applyAlignment="1" applyProtection="1">
      <alignment wrapText="1"/>
      <protection hidden="1"/>
    </xf>
    <xf numFmtId="0" fontId="0" fillId="0" borderId="36" xfId="0" applyBorder="1" applyAlignment="1" applyProtection="1">
      <alignment wrapText="1"/>
      <protection hidden="1"/>
    </xf>
    <xf numFmtId="0" fontId="0" fillId="0" borderId="50" xfId="0" applyBorder="1" applyAlignment="1" applyProtection="1">
      <alignment wrapText="1"/>
      <protection hidden="1"/>
    </xf>
    <xf numFmtId="0" fontId="0" fillId="0" borderId="39" xfId="0" applyBorder="1" applyAlignment="1" applyProtection="1">
      <alignment horizontal="center"/>
      <protection hidden="1"/>
    </xf>
    <xf numFmtId="0" fontId="9" fillId="0" borderId="38" xfId="0" applyFont="1" applyBorder="1" applyAlignment="1" applyProtection="1">
      <alignment horizontal="left"/>
      <protection hidden="1"/>
    </xf>
    <xf numFmtId="0" fontId="9" fillId="0" borderId="25" xfId="0" applyFont="1" applyBorder="1" applyProtection="1">
      <protection hidden="1"/>
    </xf>
    <xf numFmtId="0" fontId="9" fillId="0" borderId="2" xfId="0" applyFont="1" applyBorder="1" applyAlignment="1" applyProtection="1">
      <alignment horizontal="right"/>
      <protection hidden="1"/>
    </xf>
    <xf numFmtId="0" fontId="9" fillId="0" borderId="28" xfId="0" applyFont="1" applyBorder="1" applyAlignment="1" applyProtection="1">
      <alignment horizontal="left"/>
      <protection hidden="1"/>
    </xf>
    <xf numFmtId="0" fontId="9" fillId="0" borderId="31" xfId="0" applyFont="1" applyBorder="1" applyProtection="1">
      <protection hidden="1"/>
    </xf>
    <xf numFmtId="0" fontId="9" fillId="0" borderId="32" xfId="0" applyFont="1" applyBorder="1" applyProtection="1">
      <protection hidden="1"/>
    </xf>
    <xf numFmtId="0" fontId="12" fillId="0" borderId="32" xfId="0" applyFont="1" applyBorder="1" applyAlignment="1" applyProtection="1">
      <alignment horizontal="right"/>
      <protection hidden="1"/>
    </xf>
    <xf numFmtId="0" fontId="9" fillId="0" borderId="34" xfId="0" applyFont="1" applyBorder="1" applyProtection="1">
      <protection hidden="1"/>
    </xf>
    <xf numFmtId="0" fontId="9" fillId="0" borderId="35" xfId="0" applyFont="1" applyBorder="1" applyProtection="1">
      <protection hidden="1"/>
    </xf>
    <xf numFmtId="0" fontId="9" fillId="0" borderId="6" xfId="0" applyFont="1" applyBorder="1" applyAlignment="1" applyProtection="1">
      <alignment horizontal="right"/>
      <protection hidden="1"/>
    </xf>
    <xf numFmtId="0" fontId="9" fillId="0" borderId="18" xfId="0" applyFont="1" applyBorder="1" applyProtection="1">
      <protection hidden="1"/>
    </xf>
    <xf numFmtId="0" fontId="9" fillId="0" borderId="20" xfId="0" applyFont="1" applyBorder="1" applyProtection="1">
      <protection hidden="1"/>
    </xf>
    <xf numFmtId="0" fontId="2" fillId="2" borderId="2" xfId="0" applyFont="1" applyFill="1" applyBorder="1" applyProtection="1">
      <protection locked="0"/>
    </xf>
    <xf numFmtId="0" fontId="9" fillId="0" borderId="10" xfId="0" applyFont="1" applyBorder="1" applyAlignment="1" applyProtection="1">
      <alignment wrapText="1"/>
      <protection hidden="1"/>
    </xf>
    <xf numFmtId="0" fontId="0" fillId="0" borderId="11" xfId="0" applyBorder="1" applyAlignment="1" applyProtection="1">
      <alignment wrapText="1"/>
      <protection hidden="1"/>
    </xf>
    <xf numFmtId="0" fontId="0" fillId="0" borderId="51" xfId="0" applyBorder="1" applyAlignment="1" applyProtection="1">
      <alignment wrapText="1"/>
      <protection hidden="1"/>
    </xf>
    <xf numFmtId="0" fontId="0" fillId="0" borderId="52" xfId="0" applyBorder="1" applyAlignment="1" applyProtection="1">
      <alignment wrapText="1"/>
      <protection hidden="1"/>
    </xf>
    <xf numFmtId="0" fontId="0" fillId="0" borderId="53" xfId="0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54" xfId="0" applyBorder="1" applyAlignment="1" applyProtection="1">
      <alignment horizontal="center"/>
      <protection hidden="1"/>
    </xf>
    <xf numFmtId="0" fontId="9" fillId="0" borderId="53" xfId="0" applyFont="1" applyBorder="1" applyProtection="1">
      <protection hidden="1"/>
    </xf>
    <xf numFmtId="0" fontId="9" fillId="0" borderId="36" xfId="0" applyFont="1" applyBorder="1" applyProtection="1">
      <protection hidden="1"/>
    </xf>
    <xf numFmtId="0" fontId="9" fillId="0" borderId="50" xfId="0" applyFont="1" applyBorder="1" applyProtection="1">
      <protection hidden="1"/>
    </xf>
    <xf numFmtId="0" fontId="0" fillId="0" borderId="47" xfId="0" applyBorder="1" applyProtection="1">
      <protection hidden="1"/>
    </xf>
    <xf numFmtId="0" fontId="1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0" fillId="2" borderId="46" xfId="0" applyFill="1" applyBorder="1" applyAlignment="1" applyProtection="1">
      <alignment horizontal="center"/>
      <protection locked="0"/>
    </xf>
    <xf numFmtId="0" fontId="0" fillId="2" borderId="47" xfId="0" applyFill="1" applyBorder="1" applyAlignment="1" applyProtection="1">
      <alignment horizontal="center"/>
      <protection locked="0"/>
    </xf>
    <xf numFmtId="0" fontId="0" fillId="2" borderId="48" xfId="0" applyFill="1" applyBorder="1" applyAlignment="1" applyProtection="1">
      <alignment horizontal="center"/>
      <protection locked="0"/>
    </xf>
    <xf numFmtId="0" fontId="0" fillId="2" borderId="41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49" xfId="0" applyFill="1" applyBorder="1" applyAlignment="1" applyProtection="1">
      <alignment horizontal="center"/>
      <protection locked="0"/>
    </xf>
    <xf numFmtId="0" fontId="0" fillId="2" borderId="36" xfId="0" applyFill="1" applyBorder="1" applyAlignment="1" applyProtection="1">
      <alignment horizontal="center"/>
      <protection locked="0"/>
    </xf>
    <xf numFmtId="0" fontId="0" fillId="2" borderId="50" xfId="0" applyFill="1" applyBorder="1" applyAlignment="1" applyProtection="1">
      <alignment horizontal="center"/>
      <protection locked="0"/>
    </xf>
    <xf numFmtId="0" fontId="1" fillId="0" borderId="13" xfId="0" applyFont="1" applyBorder="1" applyProtection="1">
      <protection hidden="1"/>
    </xf>
    <xf numFmtId="0" fontId="0" fillId="0" borderId="13" xfId="0" applyBorder="1" applyProtection="1">
      <protection hidden="1"/>
    </xf>
    <xf numFmtId="0" fontId="1" fillId="0" borderId="0" xfId="0" applyFont="1" applyAlignment="1" applyProtection="1">
      <alignment horizontal="right"/>
      <protection hidden="1"/>
    </xf>
  </cellXfs>
  <cellStyles count="2">
    <cellStyle name="Normal" xfId="0" builtinId="0"/>
    <cellStyle name="Percent" xfId="1" builtinId="5"/>
  </cellStyles>
  <dxfs count="3"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NUALES/Manual%20Documentacion/Anejos%20Manual/5.%20Formulario%20Force%20Account_V2.3.xlsm" TargetMode="External"/><Relationship Id="rId2" Type="http://schemas.openxmlformats.org/officeDocument/2006/relationships/externalLinkPath" Target="file:///G:\My%20Drive\M2A%20(GD)\CARRETERAS\DOCUMENTOS%20CARRETERAS\FORMAS%20Y%20DOCUMENTOS%20ACT\MANUALES\Manual%20Documentacion\Anejos%20Manual\5.%20Formulario%20Force%20Account_V2.3.xlsm" TargetMode="External"/><Relationship Id="rId1" Type="http://schemas.openxmlformats.org/officeDocument/2006/relationships/externalLinkPath" Target="/My%20Drive/M2A%20(GD)/CARRETERAS/DOCUMENTOS%20CARRETERAS/FORMAS%20Y%20DOCUMENTOS%20ACT/MANUALES/Manual%20Documentacion/Anejos%20Manual/5.%20Formulario%20Force%20Account_V2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rmación Force Account"/>
      <sheetName val="Empleados Contratista"/>
      <sheetName val="Equipo Contratista"/>
      <sheetName val="Resumen FA (Anual) 52"/>
      <sheetName val="Resumen FA (Mensual) 51"/>
      <sheetName val="Inf. Diario 49"/>
      <sheetName val="Equipo FA 50"/>
      <sheetName val="DBPCFA"/>
    </sheetNames>
    <sheetDataSet>
      <sheetData sheetId="0">
        <row r="2">
          <cell r="I2" t="b">
            <v>0</v>
          </cell>
        </row>
      </sheetData>
      <sheetData sheetId="1"/>
      <sheetData sheetId="2">
        <row r="1">
          <cell r="A1" t="str">
            <v>Desc + ID</v>
          </cell>
          <cell r="B1" t="str">
            <v>ID Num.</v>
          </cell>
          <cell r="C1" t="str">
            <v>Descripción</v>
          </cell>
          <cell r="D1" t="str">
            <v>Modelo</v>
          </cell>
          <cell r="E1" t="str">
            <v>Año</v>
          </cell>
          <cell r="F1" t="str">
            <v>Capacidad</v>
          </cell>
          <cell r="G1" t="str">
            <v>Diesel/     Gasolina</v>
          </cell>
          <cell r="H1" t="str">
            <v>Alquilado/   Propio</v>
          </cell>
          <cell r="I1" t="str">
            <v>Renta Mensual</v>
          </cell>
          <cell r="J1" t="str">
            <v>Factor de Zona</v>
          </cell>
          <cell r="K1" t="str">
            <v>Costo Operacional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</sheetData>
      <sheetData sheetId="3"/>
      <sheetData sheetId="4"/>
      <sheetData sheetId="5">
        <row r="1">
          <cell r="AB1">
            <v>0</v>
          </cell>
          <cell r="AC1">
            <v>0</v>
          </cell>
        </row>
        <row r="2">
          <cell r="T2" t="str">
            <v>Seleccione Fecha</v>
          </cell>
          <cell r="U2">
            <v>32</v>
          </cell>
        </row>
        <row r="3">
          <cell r="T3" t="e">
            <v>#VALUE!</v>
          </cell>
          <cell r="AB3">
            <v>0</v>
          </cell>
          <cell r="AC3">
            <v>0</v>
          </cell>
        </row>
        <row r="4">
          <cell r="T4" t="e">
            <v>#VALUE!</v>
          </cell>
          <cell r="AB4">
            <v>0</v>
          </cell>
          <cell r="AC4">
            <v>0</v>
          </cell>
        </row>
        <row r="5">
          <cell r="T5" t="e">
            <v>#VALUE!</v>
          </cell>
          <cell r="AB5">
            <v>0</v>
          </cell>
          <cell r="AC5">
            <v>0</v>
          </cell>
        </row>
        <row r="6">
          <cell r="T6" t="e">
            <v>#VALUE!</v>
          </cell>
          <cell r="AB6">
            <v>0</v>
          </cell>
          <cell r="AC6">
            <v>0</v>
          </cell>
        </row>
        <row r="7">
          <cell r="T7" t="e">
            <v>#VALUE!</v>
          </cell>
          <cell r="AB7">
            <v>0</v>
          </cell>
          <cell r="AC7">
            <v>0</v>
          </cell>
        </row>
        <row r="8">
          <cell r="T8" t="e">
            <v>#VALUE!</v>
          </cell>
          <cell r="AB8">
            <v>0</v>
          </cell>
          <cell r="AC8">
            <v>0</v>
          </cell>
        </row>
        <row r="9">
          <cell r="T9" t="e">
            <v>#VALUE!</v>
          </cell>
          <cell r="AB9">
            <v>0</v>
          </cell>
          <cell r="AC9">
            <v>0</v>
          </cell>
        </row>
        <row r="10">
          <cell r="T10" t="e">
            <v>#VALUE!</v>
          </cell>
          <cell r="AB10">
            <v>0</v>
          </cell>
          <cell r="AC10">
            <v>0</v>
          </cell>
        </row>
        <row r="11">
          <cell r="T11" t="e">
            <v>#VALUE!</v>
          </cell>
          <cell r="AB11">
            <v>0</v>
          </cell>
          <cell r="AC11">
            <v>0</v>
          </cell>
        </row>
        <row r="12">
          <cell r="T12" t="e">
            <v>#VALUE!</v>
          </cell>
          <cell r="AB12">
            <v>0</v>
          </cell>
          <cell r="AC12">
            <v>0</v>
          </cell>
        </row>
        <row r="13">
          <cell r="T13" t="e">
            <v>#VALUE!</v>
          </cell>
          <cell r="AB13">
            <v>0</v>
          </cell>
          <cell r="AC13">
            <v>0</v>
          </cell>
        </row>
        <row r="14">
          <cell r="T14" t="e">
            <v>#VALUE!</v>
          </cell>
          <cell r="AB14">
            <v>0</v>
          </cell>
          <cell r="AC14">
            <v>0</v>
          </cell>
        </row>
        <row r="15">
          <cell r="T15" t="e">
            <v>#VALUE!</v>
          </cell>
          <cell r="AB15">
            <v>0</v>
          </cell>
          <cell r="AC15">
            <v>0</v>
          </cell>
        </row>
        <row r="16">
          <cell r="T16" t="e">
            <v>#VALUE!</v>
          </cell>
          <cell r="AB16">
            <v>0</v>
          </cell>
          <cell r="AC16">
            <v>0</v>
          </cell>
        </row>
        <row r="17">
          <cell r="T17" t="e">
            <v>#VALUE!</v>
          </cell>
          <cell r="AB17">
            <v>0</v>
          </cell>
          <cell r="AC17">
            <v>0</v>
          </cell>
        </row>
        <row r="18">
          <cell r="T18" t="e">
            <v>#VALUE!</v>
          </cell>
          <cell r="AB18">
            <v>0</v>
          </cell>
          <cell r="AC18">
            <v>0</v>
          </cell>
        </row>
        <row r="19">
          <cell r="T19" t="e">
            <v>#VALUE!</v>
          </cell>
          <cell r="AB19">
            <v>0</v>
          </cell>
          <cell r="AC19">
            <v>0</v>
          </cell>
        </row>
        <row r="20">
          <cell r="T20" t="e">
            <v>#VALUE!</v>
          </cell>
          <cell r="AB20">
            <v>0</v>
          </cell>
          <cell r="AC20">
            <v>0</v>
          </cell>
        </row>
        <row r="21">
          <cell r="T21" t="e">
            <v>#VALUE!</v>
          </cell>
          <cell r="AB21">
            <v>0</v>
          </cell>
          <cell r="AC21">
            <v>0</v>
          </cell>
        </row>
        <row r="22">
          <cell r="T22" t="e">
            <v>#VALUE!</v>
          </cell>
          <cell r="AB22">
            <v>0</v>
          </cell>
          <cell r="AC22">
            <v>0</v>
          </cell>
        </row>
        <row r="23">
          <cell r="T23" t="e">
            <v>#VALUE!</v>
          </cell>
          <cell r="AB23">
            <v>0</v>
          </cell>
          <cell r="AC23">
            <v>0</v>
          </cell>
        </row>
        <row r="24">
          <cell r="T24" t="e">
            <v>#VALUE!</v>
          </cell>
          <cell r="AB24">
            <v>0</v>
          </cell>
          <cell r="AC24">
            <v>0</v>
          </cell>
        </row>
        <row r="25">
          <cell r="T25" t="e">
            <v>#VALUE!</v>
          </cell>
          <cell r="AB25">
            <v>0</v>
          </cell>
          <cell r="AC25">
            <v>0</v>
          </cell>
        </row>
        <row r="26">
          <cell r="T26" t="e">
            <v>#VALUE!</v>
          </cell>
          <cell r="AB26">
            <v>0</v>
          </cell>
          <cell r="AC26">
            <v>0</v>
          </cell>
        </row>
        <row r="27">
          <cell r="T27" t="e">
            <v>#VALUE!</v>
          </cell>
          <cell r="AB27">
            <v>0</v>
          </cell>
          <cell r="AC27">
            <v>0</v>
          </cell>
        </row>
        <row r="28">
          <cell r="T28" t="e">
            <v>#VALUE!</v>
          </cell>
          <cell r="AB28">
            <v>0</v>
          </cell>
          <cell r="AC28">
            <v>0</v>
          </cell>
        </row>
        <row r="29">
          <cell r="T29" t="e">
            <v>#VALUE!</v>
          </cell>
          <cell r="AB29">
            <v>0</v>
          </cell>
          <cell r="AC29">
            <v>0</v>
          </cell>
        </row>
        <row r="30">
          <cell r="T30" t="e">
            <v>#VALUE!</v>
          </cell>
          <cell r="AB30">
            <v>0</v>
          </cell>
          <cell r="AC30">
            <v>0</v>
          </cell>
        </row>
        <row r="31">
          <cell r="T31" t="e">
            <v>#VALUE!</v>
          </cell>
          <cell r="AB31">
            <v>0</v>
          </cell>
          <cell r="AC31">
            <v>0</v>
          </cell>
        </row>
        <row r="32">
          <cell r="T32" t="e">
            <v>#VALUE!</v>
          </cell>
          <cell r="AB32">
            <v>0</v>
          </cell>
          <cell r="AC32">
            <v>0</v>
          </cell>
        </row>
        <row r="33">
          <cell r="T33" t="e">
            <v>#VALUE!</v>
          </cell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0</v>
          </cell>
          <cell r="AC36">
            <v>0</v>
          </cell>
        </row>
        <row r="37">
          <cell r="AB37">
            <v>0</v>
          </cell>
          <cell r="AC37">
            <v>0</v>
          </cell>
        </row>
        <row r="38">
          <cell r="AB38">
            <v>0</v>
          </cell>
          <cell r="AC38">
            <v>0</v>
          </cell>
        </row>
        <row r="39">
          <cell r="AB39">
            <v>0</v>
          </cell>
          <cell r="AC39">
            <v>0</v>
          </cell>
        </row>
        <row r="40">
          <cell r="AB40">
            <v>0</v>
          </cell>
          <cell r="AC40">
            <v>0</v>
          </cell>
        </row>
        <row r="41">
          <cell r="AB41">
            <v>0</v>
          </cell>
          <cell r="AC41">
            <v>0</v>
          </cell>
        </row>
        <row r="42">
          <cell r="AB42">
            <v>0</v>
          </cell>
          <cell r="AC42">
            <v>0</v>
          </cell>
        </row>
        <row r="43">
          <cell r="AB43">
            <v>0</v>
          </cell>
          <cell r="AC43">
            <v>0</v>
          </cell>
        </row>
        <row r="44">
          <cell r="AB44">
            <v>0</v>
          </cell>
          <cell r="AC44">
            <v>0</v>
          </cell>
        </row>
        <row r="45">
          <cell r="AB45">
            <v>0</v>
          </cell>
          <cell r="AC45">
            <v>0</v>
          </cell>
        </row>
        <row r="46">
          <cell r="AB46">
            <v>0</v>
          </cell>
          <cell r="AC46">
            <v>0</v>
          </cell>
        </row>
        <row r="47">
          <cell r="AB47">
            <v>0</v>
          </cell>
          <cell r="AC47">
            <v>0</v>
          </cell>
        </row>
        <row r="48">
          <cell r="AB48">
            <v>0</v>
          </cell>
          <cell r="AC48">
            <v>0</v>
          </cell>
        </row>
        <row r="49">
          <cell r="AB49">
            <v>0</v>
          </cell>
          <cell r="AC49">
            <v>0</v>
          </cell>
        </row>
        <row r="50">
          <cell r="AB50">
            <v>0</v>
          </cell>
          <cell r="AC50">
            <v>0</v>
          </cell>
        </row>
        <row r="51">
          <cell r="AB51">
            <v>0</v>
          </cell>
          <cell r="AC51">
            <v>0</v>
          </cell>
        </row>
        <row r="52">
          <cell r="AB52">
            <v>0</v>
          </cell>
          <cell r="AC52">
            <v>0</v>
          </cell>
        </row>
        <row r="53">
          <cell r="AC53">
            <v>0</v>
          </cell>
        </row>
        <row r="54">
          <cell r="AC54">
            <v>0</v>
          </cell>
        </row>
        <row r="55">
          <cell r="AC55">
            <v>0</v>
          </cell>
        </row>
        <row r="56">
          <cell r="AC56">
            <v>0</v>
          </cell>
        </row>
        <row r="57">
          <cell r="AC57">
            <v>0</v>
          </cell>
        </row>
        <row r="58">
          <cell r="AC58">
            <v>0</v>
          </cell>
        </row>
        <row r="59">
          <cell r="AC59">
            <v>0</v>
          </cell>
        </row>
        <row r="60">
          <cell r="AC60">
            <v>0</v>
          </cell>
        </row>
        <row r="61">
          <cell r="AC61">
            <v>0</v>
          </cell>
        </row>
        <row r="62">
          <cell r="AC62">
            <v>0</v>
          </cell>
        </row>
        <row r="63">
          <cell r="AC63">
            <v>0</v>
          </cell>
        </row>
        <row r="64">
          <cell r="AC64">
            <v>0</v>
          </cell>
        </row>
        <row r="65">
          <cell r="AC65">
            <v>0</v>
          </cell>
        </row>
        <row r="66">
          <cell r="AC66">
            <v>0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2">
          <cell r="AC82">
            <v>0</v>
          </cell>
        </row>
        <row r="83">
          <cell r="AC83">
            <v>0</v>
          </cell>
        </row>
        <row r="84">
          <cell r="AC84">
            <v>0</v>
          </cell>
        </row>
        <row r="85">
          <cell r="AC85">
            <v>0</v>
          </cell>
        </row>
        <row r="86">
          <cell r="AC86">
            <v>0</v>
          </cell>
        </row>
        <row r="87">
          <cell r="AC87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  <row r="103">
          <cell r="AC103">
            <v>0</v>
          </cell>
        </row>
        <row r="104">
          <cell r="AC104">
            <v>0</v>
          </cell>
        </row>
        <row r="105">
          <cell r="AC105">
            <v>0</v>
          </cell>
        </row>
        <row r="106">
          <cell r="AC106">
            <v>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AC109">
            <v>0</v>
          </cell>
        </row>
        <row r="110">
          <cell r="AC110">
            <v>0</v>
          </cell>
        </row>
        <row r="111">
          <cell r="AC111">
            <v>0</v>
          </cell>
        </row>
        <row r="112">
          <cell r="AC112">
            <v>0</v>
          </cell>
        </row>
        <row r="113">
          <cell r="AC113">
            <v>0</v>
          </cell>
        </row>
        <row r="114">
          <cell r="AC114">
            <v>0</v>
          </cell>
        </row>
        <row r="115">
          <cell r="AC115">
            <v>0</v>
          </cell>
        </row>
        <row r="116">
          <cell r="AC116">
            <v>0</v>
          </cell>
        </row>
        <row r="117">
          <cell r="AC117">
            <v>0</v>
          </cell>
        </row>
        <row r="118">
          <cell r="AC118">
            <v>0</v>
          </cell>
        </row>
        <row r="119">
          <cell r="AC119">
            <v>0</v>
          </cell>
        </row>
        <row r="120">
          <cell r="AC120">
            <v>0</v>
          </cell>
        </row>
        <row r="121">
          <cell r="AC121">
            <v>0</v>
          </cell>
        </row>
        <row r="122">
          <cell r="AC122">
            <v>0</v>
          </cell>
        </row>
        <row r="123">
          <cell r="AC123">
            <v>0</v>
          </cell>
        </row>
        <row r="124">
          <cell r="AC124">
            <v>0</v>
          </cell>
        </row>
        <row r="125">
          <cell r="AC125">
            <v>0</v>
          </cell>
        </row>
        <row r="126">
          <cell r="AC126">
            <v>0</v>
          </cell>
        </row>
        <row r="127">
          <cell r="AC127">
            <v>0</v>
          </cell>
        </row>
        <row r="128">
          <cell r="AC128">
            <v>0</v>
          </cell>
        </row>
        <row r="129">
          <cell r="AC129">
            <v>0</v>
          </cell>
        </row>
        <row r="130">
          <cell r="AC130">
            <v>0</v>
          </cell>
        </row>
        <row r="131">
          <cell r="AC131">
            <v>0</v>
          </cell>
        </row>
        <row r="132">
          <cell r="AC132">
            <v>0</v>
          </cell>
        </row>
        <row r="133">
          <cell r="AC133">
            <v>0</v>
          </cell>
        </row>
        <row r="134">
          <cell r="AC134">
            <v>0</v>
          </cell>
        </row>
        <row r="135">
          <cell r="AC135">
            <v>0</v>
          </cell>
        </row>
        <row r="136">
          <cell r="AC136">
            <v>0</v>
          </cell>
        </row>
        <row r="137">
          <cell r="AC137">
            <v>0</v>
          </cell>
        </row>
        <row r="138">
          <cell r="AC138">
            <v>0</v>
          </cell>
        </row>
        <row r="139">
          <cell r="AC139">
            <v>0</v>
          </cell>
        </row>
        <row r="140">
          <cell r="AC140">
            <v>0</v>
          </cell>
        </row>
        <row r="141">
          <cell r="AC141">
            <v>0</v>
          </cell>
        </row>
        <row r="142">
          <cell r="AC142">
            <v>0</v>
          </cell>
        </row>
        <row r="143">
          <cell r="AC143">
            <v>0</v>
          </cell>
        </row>
        <row r="144">
          <cell r="AC144">
            <v>0</v>
          </cell>
        </row>
        <row r="145">
          <cell r="AC145">
            <v>0</v>
          </cell>
        </row>
        <row r="146">
          <cell r="AC146">
            <v>0</v>
          </cell>
        </row>
        <row r="147">
          <cell r="AC147">
            <v>0</v>
          </cell>
        </row>
        <row r="148">
          <cell r="AC148">
            <v>0</v>
          </cell>
        </row>
        <row r="149">
          <cell r="AC149">
            <v>0</v>
          </cell>
        </row>
        <row r="150">
          <cell r="AC150">
            <v>0</v>
          </cell>
        </row>
        <row r="151">
          <cell r="AC151">
            <v>0</v>
          </cell>
        </row>
        <row r="152">
          <cell r="AC152">
            <v>0</v>
          </cell>
        </row>
      </sheetData>
      <sheetData sheetId="6">
        <row r="47">
          <cell r="N47">
            <v>0</v>
          </cell>
          <cell r="T47">
            <v>0</v>
          </cell>
          <cell r="AF47">
            <v>0</v>
          </cell>
        </row>
        <row r="97">
          <cell r="N97">
            <v>0</v>
          </cell>
          <cell r="T97">
            <v>0</v>
          </cell>
          <cell r="AF97">
            <v>0</v>
          </cell>
        </row>
        <row r="147">
          <cell r="N147">
            <v>0</v>
          </cell>
          <cell r="T147">
            <v>0</v>
          </cell>
          <cell r="AF147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D214-E144-4531-9C6F-2C1F628D1CC7}">
  <sheetPr codeName="Sheet2"/>
  <dimension ref="A1:AA124"/>
  <sheetViews>
    <sheetView showGridLines="0" showRowColHeaders="0" tabSelected="1" view="pageBreakPreview" topLeftCell="A86" zoomScaleNormal="100" workbookViewId="0">
      <selection sqref="A1:R1"/>
    </sheetView>
  </sheetViews>
  <sheetFormatPr defaultColWidth="0" defaultRowHeight="13.2" zeroHeight="1" x14ac:dyDescent="0.25"/>
  <cols>
    <col min="1" max="3" width="7.88671875" style="2" customWidth="1"/>
    <col min="4" max="5" width="4.109375" style="2" customWidth="1"/>
    <col min="6" max="9" width="7.88671875" style="2" customWidth="1"/>
    <col min="10" max="11" width="4.109375" style="2" customWidth="1"/>
    <col min="12" max="15" width="7.88671875" style="2" customWidth="1"/>
    <col min="16" max="17" width="4.109375" style="2" customWidth="1"/>
    <col min="18" max="18" width="7.88671875" style="2" customWidth="1"/>
    <col min="19" max="19" width="1.5546875" style="2" customWidth="1"/>
    <col min="20" max="21" width="10.5546875" style="2" hidden="1" customWidth="1"/>
    <col min="22" max="24" width="10.5546875" style="5" hidden="1" customWidth="1"/>
    <col min="25" max="27" width="8.88671875" style="2" hidden="1" customWidth="1"/>
    <col min="28" max="16384" width="10.5546875" style="2" hidden="1"/>
  </cols>
  <sheetData>
    <row r="1" spans="1:27" ht="17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s="3">
        <f>VLOOKUP(N10,V1:W13,2,FALSE)</f>
        <v>0</v>
      </c>
      <c r="V1" s="4" t="s">
        <v>1</v>
      </c>
      <c r="W1" s="4">
        <v>0</v>
      </c>
      <c r="X1" s="4" t="s">
        <v>2</v>
      </c>
      <c r="Y1" s="2" t="s">
        <v>3</v>
      </c>
      <c r="Z1" s="5" t="str">
        <f>Q10&amp;TEXT(U1,"00")</f>
        <v>Año00</v>
      </c>
      <c r="AA1" s="2" t="b">
        <f>IF(AND(N10&lt;&gt;"Mes",Q10&lt;&gt;"Año"),TRUE,FALSE)</f>
        <v>0</v>
      </c>
    </row>
    <row r="2" spans="1:27" ht="12" customHeight="1" x14ac:dyDescent="0.25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V2" s="4" t="s">
        <v>5</v>
      </c>
      <c r="W2" s="4">
        <v>1</v>
      </c>
      <c r="X2" s="5">
        <v>2016</v>
      </c>
    </row>
    <row r="3" spans="1:27" ht="12" customHeight="1" x14ac:dyDescent="0.25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V3" s="4" t="s">
        <v>7</v>
      </c>
      <c r="W3" s="4">
        <v>2</v>
      </c>
      <c r="X3" s="5">
        <v>2017</v>
      </c>
    </row>
    <row r="4" spans="1:27" ht="12" customHeight="1" x14ac:dyDescent="0.25">
      <c r="A4" s="1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V4" s="4" t="s">
        <v>9</v>
      </c>
      <c r="W4" s="4">
        <v>3</v>
      </c>
      <c r="X4" s="5">
        <v>2018</v>
      </c>
    </row>
    <row r="5" spans="1:27" ht="17.100000000000001" customHeight="1" x14ac:dyDescent="0.25">
      <c r="V5" s="4" t="s">
        <v>10</v>
      </c>
      <c r="W5" s="4">
        <v>4</v>
      </c>
      <c r="X5" s="5">
        <v>2019</v>
      </c>
    </row>
    <row r="6" spans="1:27" ht="20.100000000000001" customHeight="1" x14ac:dyDescent="0.3">
      <c r="B6" s="7"/>
      <c r="C6" s="7"/>
      <c r="D6" s="7"/>
      <c r="E6" s="7"/>
      <c r="F6" s="7"/>
      <c r="G6" s="8"/>
      <c r="H6" s="7"/>
      <c r="I6" s="9" t="s">
        <v>11</v>
      </c>
      <c r="J6" s="7"/>
      <c r="K6" s="7"/>
      <c r="L6" s="7"/>
      <c r="M6" s="7"/>
      <c r="N6" s="7"/>
      <c r="O6" s="7"/>
      <c r="P6" s="7"/>
      <c r="Q6" s="7"/>
      <c r="R6" s="7"/>
      <c r="V6" s="4" t="s">
        <v>12</v>
      </c>
      <c r="W6" s="4">
        <v>5</v>
      </c>
      <c r="X6" s="5">
        <v>2020</v>
      </c>
    </row>
    <row r="7" spans="1:27" ht="20.100000000000001" customHeight="1" x14ac:dyDescent="0.3">
      <c r="B7" s="7"/>
      <c r="D7" s="7"/>
      <c r="E7" s="10" t="s">
        <v>13</v>
      </c>
      <c r="F7" s="11">
        <f>'[1]Información Force Account'!B7</f>
        <v>0</v>
      </c>
      <c r="G7" s="7"/>
      <c r="I7" s="10" t="s">
        <v>14</v>
      </c>
      <c r="J7" s="12">
        <f>'[1]Información Force Account'!B8</f>
        <v>0</v>
      </c>
      <c r="K7" s="12"/>
      <c r="M7" s="7"/>
      <c r="N7" s="10" t="s">
        <v>15</v>
      </c>
      <c r="O7" s="11">
        <f>'[1]Información Force Account'!B9</f>
        <v>0</v>
      </c>
      <c r="P7" s="7"/>
      <c r="Q7" s="7"/>
      <c r="R7" s="7"/>
      <c r="V7" s="4" t="s">
        <v>16</v>
      </c>
      <c r="W7" s="4">
        <v>6</v>
      </c>
      <c r="X7" s="5">
        <v>2021</v>
      </c>
    </row>
    <row r="8" spans="1:27" ht="20.100000000000001" customHeight="1" x14ac:dyDescent="0.25">
      <c r="F8" s="13" t="str">
        <f>'[1]Información Force Account'!B2 &amp; "  (" &amp; '[1]Información Force Account'!B1 &amp; ")"</f>
        <v xml:space="preserve">  ()</v>
      </c>
      <c r="G8" s="14"/>
      <c r="H8" s="14"/>
      <c r="I8" s="14"/>
      <c r="J8" s="14"/>
      <c r="K8" s="15"/>
      <c r="V8" s="4" t="s">
        <v>17</v>
      </c>
      <c r="W8" s="4">
        <v>7</v>
      </c>
      <c r="X8" s="5">
        <v>2022</v>
      </c>
    </row>
    <row r="9" spans="1:27" ht="20.100000000000001" customHeight="1" x14ac:dyDescent="0.3">
      <c r="A9" s="16" t="s">
        <v>18</v>
      </c>
      <c r="F9" s="17"/>
      <c r="G9" s="17"/>
      <c r="H9" s="17"/>
      <c r="I9" s="17"/>
      <c r="J9" s="17"/>
      <c r="K9" s="15"/>
      <c r="L9" s="16" t="s">
        <v>19</v>
      </c>
      <c r="M9" s="18">
        <f ca="1">TODAY()</f>
        <v>46097</v>
      </c>
      <c r="N9" s="19"/>
      <c r="O9" s="19"/>
      <c r="P9" s="19"/>
      <c r="Q9" s="19"/>
      <c r="R9" s="19"/>
      <c r="V9" s="4" t="s">
        <v>20</v>
      </c>
      <c r="W9" s="4">
        <v>8</v>
      </c>
      <c r="X9" s="5">
        <v>2023</v>
      </c>
    </row>
    <row r="10" spans="1:27" ht="20.100000000000001" customHeight="1" x14ac:dyDescent="0.3">
      <c r="A10" s="16" t="s">
        <v>21</v>
      </c>
      <c r="B10" s="20"/>
      <c r="C10" s="21">
        <f>'[1]Información Force Account'!B4</f>
        <v>0</v>
      </c>
      <c r="D10" s="21"/>
      <c r="E10" s="21"/>
      <c r="F10" s="21"/>
      <c r="G10" s="21"/>
      <c r="H10" s="21"/>
      <c r="I10" s="21"/>
      <c r="J10" s="21"/>
      <c r="K10" s="22"/>
      <c r="L10" s="16" t="s">
        <v>22</v>
      </c>
      <c r="N10" s="23" t="s">
        <v>1</v>
      </c>
      <c r="O10" s="23"/>
      <c r="P10" s="24" t="s">
        <v>23</v>
      </c>
      <c r="Q10" s="25" t="s">
        <v>2</v>
      </c>
      <c r="R10" s="25"/>
      <c r="V10" s="4" t="s">
        <v>24</v>
      </c>
      <c r="W10" s="4">
        <v>9</v>
      </c>
      <c r="X10" s="5">
        <v>2024</v>
      </c>
    </row>
    <row r="11" spans="1:27" ht="20.100000000000001" customHeight="1" thickBot="1" x14ac:dyDescent="0.3">
      <c r="V11" s="4" t="s">
        <v>25</v>
      </c>
      <c r="W11" s="4">
        <v>10</v>
      </c>
      <c r="X11" s="5">
        <v>2025</v>
      </c>
    </row>
    <row r="12" spans="1:27" ht="20.100000000000001" customHeight="1" thickBot="1" x14ac:dyDescent="0.35">
      <c r="A12" s="26"/>
      <c r="B12" s="27"/>
      <c r="C12" s="27"/>
      <c r="D12" s="27"/>
      <c r="E12" s="27"/>
      <c r="F12" s="27"/>
      <c r="G12" s="27"/>
      <c r="H12" s="27"/>
      <c r="I12" s="28" t="s">
        <v>26</v>
      </c>
      <c r="J12" s="27"/>
      <c r="K12" s="27"/>
      <c r="L12" s="27"/>
      <c r="M12" s="27"/>
      <c r="N12" s="27"/>
      <c r="O12" s="27"/>
      <c r="P12" s="27"/>
      <c r="Q12" s="27"/>
      <c r="R12" s="29"/>
      <c r="V12" s="4" t="s">
        <v>27</v>
      </c>
      <c r="W12" s="4">
        <v>11</v>
      </c>
      <c r="X12" s="5">
        <v>2026</v>
      </c>
    </row>
    <row r="13" spans="1:27" ht="20.100000000000001" customHeight="1" x14ac:dyDescent="0.25">
      <c r="A13" s="30" t="s">
        <v>28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2"/>
      <c r="V13" s="4" t="s">
        <v>29</v>
      </c>
      <c r="W13" s="4">
        <v>12</v>
      </c>
      <c r="X13" s="5">
        <v>2027</v>
      </c>
    </row>
    <row r="14" spans="1:27" ht="20.100000000000001" customHeight="1" x14ac:dyDescent="0.25">
      <c r="A14" s="33" t="s">
        <v>30</v>
      </c>
      <c r="B14" s="34" t="s">
        <v>30</v>
      </c>
      <c r="C14" s="35"/>
      <c r="D14" s="36"/>
      <c r="E14" s="36"/>
      <c r="F14" s="37"/>
      <c r="G14" s="34" t="s">
        <v>30</v>
      </c>
      <c r="H14" s="34" t="s">
        <v>30</v>
      </c>
      <c r="I14" s="35"/>
      <c r="J14" s="38"/>
      <c r="K14" s="38"/>
      <c r="L14" s="37"/>
      <c r="M14" s="34" t="s">
        <v>30</v>
      </c>
      <c r="N14" s="34" t="s">
        <v>30</v>
      </c>
      <c r="O14" s="35"/>
      <c r="P14" s="38"/>
      <c r="Q14" s="38"/>
      <c r="R14" s="39"/>
      <c r="X14" s="5">
        <v>2028</v>
      </c>
    </row>
    <row r="15" spans="1:27" ht="20.100000000000001" customHeight="1" x14ac:dyDescent="0.25">
      <c r="A15" s="40" t="s">
        <v>31</v>
      </c>
      <c r="B15" s="41" t="s">
        <v>32</v>
      </c>
      <c r="C15" s="42" t="s">
        <v>33</v>
      </c>
      <c r="D15" s="43"/>
      <c r="E15" s="43"/>
      <c r="F15" s="44"/>
      <c r="G15" s="41" t="s">
        <v>31</v>
      </c>
      <c r="H15" s="41" t="s">
        <v>32</v>
      </c>
      <c r="I15" s="42" t="s">
        <v>34</v>
      </c>
      <c r="J15" s="43"/>
      <c r="K15" s="43"/>
      <c r="L15" s="44"/>
      <c r="M15" s="41" t="s">
        <v>31</v>
      </c>
      <c r="N15" s="41" t="s">
        <v>32</v>
      </c>
      <c r="O15" s="42" t="s">
        <v>35</v>
      </c>
      <c r="P15" s="43"/>
      <c r="Q15" s="43"/>
      <c r="R15" s="45"/>
      <c r="X15" s="5">
        <v>2029</v>
      </c>
    </row>
    <row r="16" spans="1:27" ht="20.100000000000001" customHeight="1" x14ac:dyDescent="0.25">
      <c r="A16" s="46" t="s">
        <v>36</v>
      </c>
      <c r="B16" s="47" t="s">
        <v>1</v>
      </c>
      <c r="C16" s="48" t="s">
        <v>37</v>
      </c>
      <c r="D16" s="49"/>
      <c r="E16" s="49"/>
      <c r="F16" s="50"/>
      <c r="G16" s="41" t="s">
        <v>36</v>
      </c>
      <c r="H16" s="47" t="s">
        <v>1</v>
      </c>
      <c r="I16" s="48" t="s">
        <v>37</v>
      </c>
      <c r="J16" s="49"/>
      <c r="K16" s="49"/>
      <c r="L16" s="50"/>
      <c r="M16" s="47" t="s">
        <v>36</v>
      </c>
      <c r="N16" s="47" t="s">
        <v>1</v>
      </c>
      <c r="O16" s="48" t="s">
        <v>37</v>
      </c>
      <c r="P16" s="49"/>
      <c r="Q16" s="49"/>
      <c r="R16" s="51"/>
      <c r="X16" s="5">
        <v>2030</v>
      </c>
    </row>
    <row r="17" spans="1:18" ht="20.100000000000001" customHeight="1" x14ac:dyDescent="0.25">
      <c r="A17" s="52" t="str">
        <f t="shared" ref="A17:A26" si="0">IFERROR(CHOOSE(WEEKDAY(DATE($Q$10,$U$1,B17)),"D","L","K","M","J","V","S"),"")</f>
        <v/>
      </c>
      <c r="B17" s="53">
        <v>1</v>
      </c>
      <c r="C17" s="54" t="str">
        <f t="shared" ref="C17:C26" si="1">IF(SUMIF(Fecha_Inf_PC,$Z$1&amp;TEXT(B17,"00"),Total_PC)&gt;0,SUMIF(Fecha_Inf_PC,$Z$1&amp;TEXT(B17,"00"),Total_PC),"")</f>
        <v/>
      </c>
      <c r="D17" s="55"/>
      <c r="E17" s="55"/>
      <c r="F17" s="55"/>
      <c r="G17" s="53" t="str">
        <f t="shared" ref="G17:G26" si="2">IFERROR(CHOOSE(WEEKDAY(DATE($Q$10,$U$1,H17)),"D","L","K","M","J","V","S"),"")</f>
        <v/>
      </c>
      <c r="H17" s="56">
        <v>11</v>
      </c>
      <c r="I17" s="54" t="str">
        <f t="shared" ref="I17:I26" si="3">IF(SUMIF(Fecha_Inf_PC,$Z$1&amp;TEXT(H17,"00"),Total_PC)&gt;0,SUMIF(Fecha_Inf_PC,$Z$1&amp;TEXT(H17,"00"),Total_PC),"")</f>
        <v/>
      </c>
      <c r="J17" s="55"/>
      <c r="K17" s="55"/>
      <c r="L17" s="55"/>
      <c r="M17" s="53" t="str">
        <f t="shared" ref="M17:M27" si="4">IFERROR(CHOOSE(WEEKDAY(DATE($Q$10,$U$1,N17)),"D","L","K","M","J","V","S"),"")</f>
        <v/>
      </c>
      <c r="N17" s="57">
        <v>21</v>
      </c>
      <c r="O17" s="54" t="str">
        <f t="shared" ref="O17:O27" si="5">IF(SUMIF(Fecha_Inf_PC,$Z$1&amp;TEXT(N17,"00"),Total_PC)&gt;0,SUMIF(Fecha_Inf_PC,$Z$1&amp;TEXT(N17,"00"),Total_PC),"")</f>
        <v/>
      </c>
      <c r="P17" s="55"/>
      <c r="Q17" s="55"/>
      <c r="R17" s="58"/>
    </row>
    <row r="18" spans="1:18" ht="20.100000000000001" customHeight="1" x14ac:dyDescent="0.25">
      <c r="A18" s="52" t="str">
        <f t="shared" si="0"/>
        <v/>
      </c>
      <c r="B18" s="53">
        <v>2</v>
      </c>
      <c r="C18" s="54" t="str">
        <f t="shared" si="1"/>
        <v/>
      </c>
      <c r="D18" s="55"/>
      <c r="E18" s="55"/>
      <c r="F18" s="55"/>
      <c r="G18" s="53" t="str">
        <f t="shared" si="2"/>
        <v/>
      </c>
      <c r="H18" s="56">
        <v>12</v>
      </c>
      <c r="I18" s="54" t="str">
        <f t="shared" si="3"/>
        <v/>
      </c>
      <c r="J18" s="55"/>
      <c r="K18" s="55"/>
      <c r="L18" s="55"/>
      <c r="M18" s="53" t="str">
        <f t="shared" si="4"/>
        <v/>
      </c>
      <c r="N18" s="56">
        <v>22</v>
      </c>
      <c r="O18" s="54" t="str">
        <f t="shared" si="5"/>
        <v/>
      </c>
      <c r="P18" s="55"/>
      <c r="Q18" s="55"/>
      <c r="R18" s="58"/>
    </row>
    <row r="19" spans="1:18" ht="20.100000000000001" customHeight="1" x14ac:dyDescent="0.25">
      <c r="A19" s="52" t="str">
        <f t="shared" si="0"/>
        <v/>
      </c>
      <c r="B19" s="53">
        <v>3</v>
      </c>
      <c r="C19" s="54" t="str">
        <f t="shared" si="1"/>
        <v/>
      </c>
      <c r="D19" s="55"/>
      <c r="E19" s="55"/>
      <c r="F19" s="55"/>
      <c r="G19" s="53" t="str">
        <f t="shared" si="2"/>
        <v/>
      </c>
      <c r="H19" s="56">
        <v>13</v>
      </c>
      <c r="I19" s="54" t="str">
        <f t="shared" si="3"/>
        <v/>
      </c>
      <c r="J19" s="55"/>
      <c r="K19" s="55"/>
      <c r="L19" s="55"/>
      <c r="M19" s="53" t="str">
        <f t="shared" si="4"/>
        <v/>
      </c>
      <c r="N19" s="57">
        <v>23</v>
      </c>
      <c r="O19" s="54" t="str">
        <f t="shared" si="5"/>
        <v/>
      </c>
      <c r="P19" s="55"/>
      <c r="Q19" s="55"/>
      <c r="R19" s="58"/>
    </row>
    <row r="20" spans="1:18" ht="20.100000000000001" customHeight="1" x14ac:dyDescent="0.25">
      <c r="A20" s="52" t="str">
        <f t="shared" si="0"/>
        <v/>
      </c>
      <c r="B20" s="53">
        <v>4</v>
      </c>
      <c r="C20" s="54" t="str">
        <f t="shared" si="1"/>
        <v/>
      </c>
      <c r="D20" s="55"/>
      <c r="E20" s="55"/>
      <c r="F20" s="55"/>
      <c r="G20" s="53" t="str">
        <f t="shared" si="2"/>
        <v/>
      </c>
      <c r="H20" s="56">
        <v>14</v>
      </c>
      <c r="I20" s="54" t="str">
        <f t="shared" si="3"/>
        <v/>
      </c>
      <c r="J20" s="55"/>
      <c r="K20" s="55"/>
      <c r="L20" s="55"/>
      <c r="M20" s="53" t="str">
        <f t="shared" si="4"/>
        <v/>
      </c>
      <c r="N20" s="56">
        <v>24</v>
      </c>
      <c r="O20" s="54" t="str">
        <f t="shared" si="5"/>
        <v/>
      </c>
      <c r="P20" s="55"/>
      <c r="Q20" s="55"/>
      <c r="R20" s="58"/>
    </row>
    <row r="21" spans="1:18" ht="20.100000000000001" customHeight="1" x14ac:dyDescent="0.25">
      <c r="A21" s="52" t="str">
        <f t="shared" si="0"/>
        <v/>
      </c>
      <c r="B21" s="53">
        <v>5</v>
      </c>
      <c r="C21" s="54" t="str">
        <f t="shared" si="1"/>
        <v/>
      </c>
      <c r="D21" s="55"/>
      <c r="E21" s="55"/>
      <c r="F21" s="55"/>
      <c r="G21" s="53" t="str">
        <f t="shared" si="2"/>
        <v/>
      </c>
      <c r="H21" s="56">
        <v>15</v>
      </c>
      <c r="I21" s="54" t="str">
        <f t="shared" si="3"/>
        <v/>
      </c>
      <c r="J21" s="55"/>
      <c r="K21" s="55"/>
      <c r="L21" s="55"/>
      <c r="M21" s="53" t="str">
        <f t="shared" si="4"/>
        <v/>
      </c>
      <c r="N21" s="57">
        <v>25</v>
      </c>
      <c r="O21" s="54" t="str">
        <f t="shared" si="5"/>
        <v/>
      </c>
      <c r="P21" s="55"/>
      <c r="Q21" s="55"/>
      <c r="R21" s="58"/>
    </row>
    <row r="22" spans="1:18" ht="20.100000000000001" customHeight="1" x14ac:dyDescent="0.25">
      <c r="A22" s="52" t="str">
        <f t="shared" si="0"/>
        <v/>
      </c>
      <c r="B22" s="53">
        <v>6</v>
      </c>
      <c r="C22" s="54" t="str">
        <f t="shared" si="1"/>
        <v/>
      </c>
      <c r="D22" s="55"/>
      <c r="E22" s="55"/>
      <c r="F22" s="55"/>
      <c r="G22" s="53" t="str">
        <f t="shared" si="2"/>
        <v/>
      </c>
      <c r="H22" s="56">
        <v>16</v>
      </c>
      <c r="I22" s="54" t="str">
        <f t="shared" si="3"/>
        <v/>
      </c>
      <c r="J22" s="55"/>
      <c r="K22" s="55"/>
      <c r="L22" s="55"/>
      <c r="M22" s="53" t="str">
        <f t="shared" si="4"/>
        <v/>
      </c>
      <c r="N22" s="56">
        <v>26</v>
      </c>
      <c r="O22" s="54" t="str">
        <f t="shared" si="5"/>
        <v/>
      </c>
      <c r="P22" s="55"/>
      <c r="Q22" s="55"/>
      <c r="R22" s="58"/>
    </row>
    <row r="23" spans="1:18" ht="20.100000000000001" customHeight="1" x14ac:dyDescent="0.25">
      <c r="A23" s="52" t="str">
        <f t="shared" si="0"/>
        <v/>
      </c>
      <c r="B23" s="53">
        <v>7</v>
      </c>
      <c r="C23" s="54" t="str">
        <f t="shared" si="1"/>
        <v/>
      </c>
      <c r="D23" s="55"/>
      <c r="E23" s="55"/>
      <c r="F23" s="55"/>
      <c r="G23" s="53" t="str">
        <f t="shared" si="2"/>
        <v/>
      </c>
      <c r="H23" s="56">
        <v>17</v>
      </c>
      <c r="I23" s="54" t="str">
        <f t="shared" si="3"/>
        <v/>
      </c>
      <c r="J23" s="55"/>
      <c r="K23" s="55"/>
      <c r="L23" s="55"/>
      <c r="M23" s="53" t="str">
        <f t="shared" si="4"/>
        <v/>
      </c>
      <c r="N23" s="57">
        <v>27</v>
      </c>
      <c r="O23" s="54" t="str">
        <f t="shared" si="5"/>
        <v/>
      </c>
      <c r="P23" s="55"/>
      <c r="Q23" s="55"/>
      <c r="R23" s="58"/>
    </row>
    <row r="24" spans="1:18" ht="20.100000000000001" customHeight="1" x14ac:dyDescent="0.25">
      <c r="A24" s="52" t="str">
        <f t="shared" si="0"/>
        <v/>
      </c>
      <c r="B24" s="53">
        <v>8</v>
      </c>
      <c r="C24" s="54" t="str">
        <f t="shared" si="1"/>
        <v/>
      </c>
      <c r="D24" s="55"/>
      <c r="E24" s="55"/>
      <c r="F24" s="55"/>
      <c r="G24" s="53" t="str">
        <f t="shared" si="2"/>
        <v/>
      </c>
      <c r="H24" s="56">
        <v>18</v>
      </c>
      <c r="I24" s="54" t="str">
        <f t="shared" si="3"/>
        <v/>
      </c>
      <c r="J24" s="55"/>
      <c r="K24" s="55"/>
      <c r="L24" s="55"/>
      <c r="M24" s="53" t="str">
        <f t="shared" si="4"/>
        <v/>
      </c>
      <c r="N24" s="56">
        <v>28</v>
      </c>
      <c r="O24" s="54" t="str">
        <f t="shared" si="5"/>
        <v/>
      </c>
      <c r="P24" s="55"/>
      <c r="Q24" s="55"/>
      <c r="R24" s="58"/>
    </row>
    <row r="25" spans="1:18" ht="20.100000000000001" customHeight="1" x14ac:dyDescent="0.25">
      <c r="A25" s="52" t="str">
        <f t="shared" si="0"/>
        <v/>
      </c>
      <c r="B25" s="53">
        <v>9</v>
      </c>
      <c r="C25" s="54" t="str">
        <f t="shared" si="1"/>
        <v/>
      </c>
      <c r="D25" s="55"/>
      <c r="E25" s="55"/>
      <c r="F25" s="55"/>
      <c r="G25" s="53" t="str">
        <f t="shared" si="2"/>
        <v/>
      </c>
      <c r="H25" s="56">
        <v>19</v>
      </c>
      <c r="I25" s="54" t="str">
        <f t="shared" si="3"/>
        <v/>
      </c>
      <c r="J25" s="55"/>
      <c r="K25" s="55"/>
      <c r="L25" s="55"/>
      <c r="M25" s="53" t="str">
        <f t="shared" si="4"/>
        <v/>
      </c>
      <c r="N25" s="57">
        <v>29</v>
      </c>
      <c r="O25" s="54" t="str">
        <f t="shared" si="5"/>
        <v/>
      </c>
      <c r="P25" s="55"/>
      <c r="Q25" s="55"/>
      <c r="R25" s="58"/>
    </row>
    <row r="26" spans="1:18" ht="20.100000000000001" customHeight="1" x14ac:dyDescent="0.25">
      <c r="A26" s="52" t="str">
        <f t="shared" si="0"/>
        <v/>
      </c>
      <c r="B26" s="53">
        <v>10</v>
      </c>
      <c r="C26" s="54" t="str">
        <f t="shared" si="1"/>
        <v/>
      </c>
      <c r="D26" s="55"/>
      <c r="E26" s="55"/>
      <c r="F26" s="55"/>
      <c r="G26" s="53" t="str">
        <f t="shared" si="2"/>
        <v/>
      </c>
      <c r="H26" s="56">
        <v>20</v>
      </c>
      <c r="I26" s="54" t="str">
        <f t="shared" si="3"/>
        <v/>
      </c>
      <c r="J26" s="55"/>
      <c r="K26" s="55"/>
      <c r="L26" s="55"/>
      <c r="M26" s="53" t="str">
        <f t="shared" si="4"/>
        <v/>
      </c>
      <c r="N26" s="56">
        <v>30</v>
      </c>
      <c r="O26" s="54" t="str">
        <f t="shared" si="5"/>
        <v/>
      </c>
      <c r="P26" s="55"/>
      <c r="Q26" s="55"/>
      <c r="R26" s="58"/>
    </row>
    <row r="27" spans="1:18" ht="20.100000000000001" customHeight="1" x14ac:dyDescent="0.25">
      <c r="A27" s="59" t="s">
        <v>38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1"/>
      <c r="M27" s="53" t="str">
        <f t="shared" si="4"/>
        <v/>
      </c>
      <c r="N27" s="57">
        <v>31</v>
      </c>
      <c r="O27" s="54" t="str">
        <f t="shared" si="5"/>
        <v/>
      </c>
      <c r="P27" s="55"/>
      <c r="Q27" s="55"/>
      <c r="R27" s="58"/>
    </row>
    <row r="28" spans="1:18" ht="20.100000000000001" customHeight="1" x14ac:dyDescent="0.25">
      <c r="A28" s="62"/>
      <c r="B28" s="63" t="s">
        <v>39</v>
      </c>
      <c r="C28" s="54">
        <f>SUM(C17:F26)</f>
        <v>0</v>
      </c>
      <c r="D28" s="55"/>
      <c r="E28" s="55"/>
      <c r="F28" s="64"/>
      <c r="G28" s="65"/>
      <c r="H28" s="66" t="s">
        <v>40</v>
      </c>
      <c r="I28" s="54">
        <f>SUM(I17:L26)</f>
        <v>0</v>
      </c>
      <c r="J28" s="55"/>
      <c r="K28" s="55"/>
      <c r="L28" s="64"/>
      <c r="M28" s="67"/>
      <c r="N28" s="66" t="s">
        <v>41</v>
      </c>
      <c r="O28" s="54">
        <f>SUM(O17:R27)</f>
        <v>0</v>
      </c>
      <c r="P28" s="55"/>
      <c r="Q28" s="55"/>
      <c r="R28" s="68"/>
    </row>
    <row r="29" spans="1:18" ht="20.100000000000001" customHeight="1" thickBot="1" x14ac:dyDescent="0.3">
      <c r="A29" s="69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1" t="s">
        <v>42</v>
      </c>
      <c r="O29" s="72">
        <f>C28+I28+O28</f>
        <v>0</v>
      </c>
      <c r="P29" s="73"/>
      <c r="Q29" s="73"/>
      <c r="R29" s="74"/>
    </row>
    <row r="30" spans="1:18" ht="20.100000000000001" customHeight="1" thickBot="1" x14ac:dyDescent="0.3">
      <c r="A30" s="75"/>
    </row>
    <row r="31" spans="1:18" ht="20.100000000000001" customHeight="1" thickBot="1" x14ac:dyDescent="0.35">
      <c r="A31" s="26"/>
      <c r="B31" s="76"/>
      <c r="C31" s="76"/>
      <c r="D31" s="76"/>
      <c r="E31" s="76"/>
      <c r="F31" s="76"/>
      <c r="G31" s="76"/>
      <c r="H31" s="76"/>
      <c r="I31" s="28" t="s">
        <v>43</v>
      </c>
      <c r="J31" s="76"/>
      <c r="K31" s="76"/>
      <c r="L31" s="76"/>
      <c r="M31" s="76"/>
      <c r="N31" s="76"/>
      <c r="O31" s="76"/>
      <c r="P31" s="76"/>
      <c r="Q31" s="76"/>
      <c r="R31" s="77" t="s">
        <v>44</v>
      </c>
    </row>
    <row r="32" spans="1:18" ht="20.100000000000001" customHeight="1" x14ac:dyDescent="0.3">
      <c r="A32" s="78" t="s">
        <v>45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80" t="str">
        <f>IF('[1]Información Force Account'!I2,SUMIFS(Total_PC,Union_PC,"Operadores",Mes_FA_PC,$U$1),"")</f>
        <v/>
      </c>
      <c r="N32" s="81"/>
      <c r="O32" s="82"/>
      <c r="P32" s="83"/>
      <c r="Q32" s="79"/>
      <c r="R32" s="84"/>
    </row>
    <row r="33" spans="1:18" ht="20.100000000000001" customHeight="1" x14ac:dyDescent="0.3">
      <c r="A33" s="85" t="s">
        <v>46</v>
      </c>
      <c r="B33" s="86"/>
      <c r="C33" s="86"/>
      <c r="F33" s="87">
        <v>0</v>
      </c>
      <c r="G33" s="88" t="s">
        <v>47</v>
      </c>
      <c r="H33" s="86"/>
      <c r="I33" s="86"/>
      <c r="J33" s="86"/>
      <c r="K33" s="86"/>
      <c r="L33" s="86"/>
      <c r="M33" s="89" t="str">
        <f>IFERROR(IF(F33="n/a",0,M32*F33/100),"")</f>
        <v/>
      </c>
      <c r="N33" s="90"/>
      <c r="O33" s="91"/>
      <c r="P33" s="92"/>
      <c r="Q33" s="86"/>
      <c r="R33" s="93"/>
    </row>
    <row r="34" spans="1:18" ht="20.100000000000001" customHeight="1" x14ac:dyDescent="0.3">
      <c r="A34" s="85" t="s">
        <v>48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9" t="str">
        <f>IF('[1]Información Force Account'!I2,SUMIFS(Total_PC,Union_PC,"Carpinteros",Mes_FA_PC,$U$1),"")</f>
        <v/>
      </c>
      <c r="N34" s="90"/>
      <c r="O34" s="91"/>
      <c r="P34" s="92"/>
      <c r="Q34" s="86"/>
      <c r="R34" s="93"/>
    </row>
    <row r="35" spans="1:18" ht="20.100000000000001" customHeight="1" x14ac:dyDescent="0.3">
      <c r="A35" s="85" t="s">
        <v>49</v>
      </c>
      <c r="B35" s="86"/>
      <c r="C35" s="86"/>
      <c r="F35" s="87">
        <v>0</v>
      </c>
      <c r="G35" s="88" t="s">
        <v>50</v>
      </c>
      <c r="H35" s="86"/>
      <c r="I35" s="86"/>
      <c r="J35" s="86"/>
      <c r="K35" s="86"/>
      <c r="L35" s="86"/>
      <c r="M35" s="89" t="str">
        <f>IFERROR(IF(F35="n/a",0,M34*F35/100),"")</f>
        <v/>
      </c>
      <c r="N35" s="90"/>
      <c r="O35" s="91"/>
      <c r="P35" s="92"/>
      <c r="Q35" s="86"/>
      <c r="R35" s="93"/>
    </row>
    <row r="36" spans="1:18" ht="20.100000000000001" customHeight="1" x14ac:dyDescent="0.3">
      <c r="A36" s="85" t="s">
        <v>51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9" t="str">
        <f>IF('[1]Información Force Account'!I2,SUMIFS(Total_PC,Union_PC,"NU",Mes_FA_PC,$U$1),"")</f>
        <v/>
      </c>
      <c r="N36" s="90"/>
      <c r="O36" s="91"/>
      <c r="P36" s="92"/>
      <c r="Q36" s="86"/>
      <c r="R36" s="93"/>
    </row>
    <row r="37" spans="1:18" ht="20.100000000000001" customHeight="1" x14ac:dyDescent="0.3">
      <c r="A37" s="85" t="s">
        <v>52</v>
      </c>
      <c r="B37" s="86"/>
      <c r="C37" s="86"/>
      <c r="F37" s="87">
        <v>0</v>
      </c>
      <c r="G37" s="94" t="s">
        <v>53</v>
      </c>
      <c r="H37" s="86"/>
      <c r="I37" s="86"/>
      <c r="J37" s="86"/>
      <c r="K37" s="86"/>
      <c r="L37" s="86"/>
      <c r="M37" s="89" t="str">
        <f>IFERROR(IF(F37="n/a",0,M36*F37/100),"")</f>
        <v/>
      </c>
      <c r="N37" s="90"/>
      <c r="O37" s="91"/>
      <c r="P37" s="92"/>
      <c r="Q37" s="86"/>
      <c r="R37" s="93"/>
    </row>
    <row r="38" spans="1:18" ht="20.100000000000001" customHeight="1" x14ac:dyDescent="0.3">
      <c r="A38" s="85" t="s">
        <v>54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9" t="str">
        <f>IF(SUM(M32:O37)&gt;0,SUM(M32:O37),"")</f>
        <v/>
      </c>
      <c r="N38" s="95"/>
      <c r="O38" s="64"/>
      <c r="P38" s="92"/>
      <c r="Q38" s="86"/>
      <c r="R38" s="93"/>
    </row>
    <row r="39" spans="1:18" ht="20.100000000000001" customHeight="1" x14ac:dyDescent="0.3">
      <c r="A39" s="85" t="s">
        <v>55</v>
      </c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9">
        <f>O29</f>
        <v>0</v>
      </c>
      <c r="N39" s="90"/>
      <c r="O39" s="64"/>
      <c r="P39" s="92"/>
      <c r="Q39" s="86"/>
      <c r="R39" s="93"/>
    </row>
    <row r="40" spans="1:18" ht="20.100000000000001" customHeight="1" x14ac:dyDescent="0.3">
      <c r="A40" s="85" t="s">
        <v>56</v>
      </c>
      <c r="B40" s="86"/>
      <c r="C40" s="86"/>
      <c r="F40" s="96">
        <v>0</v>
      </c>
      <c r="G40" s="94" t="s">
        <v>57</v>
      </c>
      <c r="H40" s="86"/>
      <c r="I40" s="86"/>
      <c r="J40" s="86"/>
      <c r="K40" s="86"/>
      <c r="L40" s="86"/>
      <c r="M40" s="89">
        <f>F40*M39/100</f>
        <v>0</v>
      </c>
      <c r="N40" s="90"/>
      <c r="O40" s="64"/>
      <c r="P40" s="92"/>
      <c r="Q40" s="86"/>
      <c r="R40" s="93"/>
    </row>
    <row r="41" spans="1:18" ht="20.100000000000001" customHeight="1" x14ac:dyDescent="0.3">
      <c r="A41" s="85" t="s">
        <v>58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97">
        <v>0</v>
      </c>
      <c r="N41" s="98"/>
      <c r="O41" s="99"/>
      <c r="P41" s="92"/>
      <c r="Q41" s="86"/>
      <c r="R41" s="93"/>
    </row>
    <row r="42" spans="1:18" ht="20.100000000000001" customHeight="1" x14ac:dyDescent="0.3">
      <c r="A42" s="85" t="s">
        <v>59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9">
        <f>IF('[1]Información Force Account'!I2,'Resumen FA (Mensual) 51'!M38+'Resumen FA (Mensual) 51'!M41,SUM('Resumen FA (Mensual) 51'!M39:O41))</f>
        <v>0</v>
      </c>
      <c r="N42" s="90"/>
      <c r="O42" s="64"/>
      <c r="P42" s="92"/>
      <c r="Q42" s="86"/>
      <c r="R42" s="93"/>
    </row>
    <row r="43" spans="1:18" ht="20.100000000000001" customHeight="1" x14ac:dyDescent="0.3">
      <c r="A43" s="85" t="s">
        <v>60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9">
        <f>0.2*M42</f>
        <v>0</v>
      </c>
      <c r="N43" s="90"/>
      <c r="O43" s="64"/>
      <c r="P43" s="92"/>
      <c r="Q43" s="86"/>
      <c r="R43" s="93"/>
    </row>
    <row r="44" spans="1:18" ht="20.100000000000001" customHeight="1" x14ac:dyDescent="0.3">
      <c r="A44" s="85" t="s">
        <v>61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9">
        <f>SUM(M42:M43)</f>
        <v>0</v>
      </c>
      <c r="N44" s="90"/>
      <c r="O44" s="64"/>
      <c r="P44" s="92"/>
      <c r="Q44" s="86"/>
      <c r="R44" s="93"/>
    </row>
    <row r="45" spans="1:18" ht="20.100000000000001" customHeight="1" x14ac:dyDescent="0.3">
      <c r="A45" s="85" t="s">
        <v>62</v>
      </c>
      <c r="B45" s="86"/>
      <c r="C45" s="86"/>
      <c r="D45" s="36"/>
      <c r="G45" s="96">
        <v>0</v>
      </c>
      <c r="H45" s="94" t="s">
        <v>63</v>
      </c>
      <c r="I45" s="86"/>
      <c r="J45" s="86"/>
      <c r="K45" s="86"/>
      <c r="L45" s="86"/>
      <c r="M45" s="89">
        <f>G45*M39/100</f>
        <v>0</v>
      </c>
      <c r="N45" s="90"/>
      <c r="O45" s="64"/>
      <c r="P45" s="92"/>
      <c r="Q45" s="86"/>
      <c r="R45" s="93"/>
    </row>
    <row r="46" spans="1:18" ht="20.100000000000001" customHeight="1" x14ac:dyDescent="0.3">
      <c r="A46" s="85" t="s">
        <v>64</v>
      </c>
      <c r="B46" s="86"/>
      <c r="C46" s="86"/>
      <c r="D46" s="86"/>
      <c r="E46" s="86"/>
      <c r="F46" s="86"/>
      <c r="G46" s="96">
        <v>7.65</v>
      </c>
      <c r="H46" s="100" t="s">
        <v>63</v>
      </c>
      <c r="I46" s="86"/>
      <c r="J46" s="86"/>
      <c r="K46" s="86"/>
      <c r="L46" s="86"/>
      <c r="M46" s="89">
        <f>G46*M39/100</f>
        <v>0</v>
      </c>
      <c r="N46" s="90"/>
      <c r="O46" s="64"/>
      <c r="P46" s="92"/>
      <c r="Q46" s="86"/>
      <c r="R46" s="93"/>
    </row>
    <row r="47" spans="1:18" ht="20.100000000000001" customHeight="1" x14ac:dyDescent="0.3">
      <c r="A47" s="101" t="s">
        <v>65</v>
      </c>
      <c r="B47" s="36"/>
      <c r="C47" s="36"/>
      <c r="G47" s="102">
        <v>5.4</v>
      </c>
      <c r="H47" s="103" t="s">
        <v>66</v>
      </c>
      <c r="I47" s="103"/>
      <c r="J47" s="104">
        <v>0.8</v>
      </c>
      <c r="K47" s="105"/>
      <c r="L47" s="106" t="s">
        <v>67</v>
      </c>
      <c r="M47" s="107">
        <f>C48*M39/100</f>
        <v>0</v>
      </c>
      <c r="N47" s="108"/>
      <c r="O47" s="109"/>
      <c r="P47" s="35"/>
      <c r="Q47" s="36"/>
      <c r="R47" s="39"/>
    </row>
    <row r="48" spans="1:18" ht="20.100000000000001" customHeight="1" x14ac:dyDescent="0.3">
      <c r="A48" s="78" t="s">
        <v>68</v>
      </c>
      <c r="B48" s="79"/>
      <c r="C48" s="110">
        <f>G47+J47</f>
        <v>6.2</v>
      </c>
      <c r="D48" s="111" t="s">
        <v>67</v>
      </c>
      <c r="E48" s="111"/>
      <c r="F48" s="79"/>
      <c r="G48" s="79"/>
      <c r="H48" s="112"/>
      <c r="I48" s="112"/>
      <c r="J48" s="79"/>
      <c r="K48" s="79"/>
      <c r="L48" s="113"/>
      <c r="M48" s="48"/>
      <c r="N48" s="114"/>
      <c r="O48" s="115"/>
      <c r="P48" s="83"/>
      <c r="Q48" s="79"/>
      <c r="R48" s="84"/>
    </row>
    <row r="49" spans="1:24" ht="20.100000000000001" customHeight="1" x14ac:dyDescent="0.3">
      <c r="A49" s="85" t="s">
        <v>69</v>
      </c>
      <c r="B49" s="86"/>
      <c r="C49" s="86"/>
      <c r="D49" s="86"/>
      <c r="E49" s="86"/>
      <c r="F49" s="86"/>
      <c r="G49" s="116">
        <v>0</v>
      </c>
      <c r="H49" s="94" t="s">
        <v>63</v>
      </c>
      <c r="I49" s="86"/>
      <c r="J49" s="86"/>
      <c r="K49" s="86"/>
      <c r="L49" s="86"/>
      <c r="M49" s="89">
        <f>G49*M39/100</f>
        <v>0</v>
      </c>
      <c r="N49" s="90"/>
      <c r="O49" s="64"/>
      <c r="P49" s="92"/>
      <c r="Q49" s="86"/>
      <c r="R49" s="93"/>
    </row>
    <row r="50" spans="1:24" ht="20.100000000000001" customHeight="1" x14ac:dyDescent="0.3">
      <c r="A50" s="85" t="s">
        <v>70</v>
      </c>
      <c r="B50" s="86"/>
      <c r="C50" s="86"/>
      <c r="F50" s="86"/>
      <c r="G50" s="116">
        <v>0</v>
      </c>
      <c r="H50" s="94" t="s">
        <v>63</v>
      </c>
      <c r="I50" s="86"/>
      <c r="J50" s="86"/>
      <c r="K50" s="86"/>
      <c r="L50" s="86"/>
      <c r="M50" s="89">
        <f>G50*M39/100</f>
        <v>0</v>
      </c>
      <c r="N50" s="90"/>
      <c r="O50" s="64"/>
      <c r="P50" s="92"/>
      <c r="Q50" s="86"/>
      <c r="R50" s="93"/>
    </row>
    <row r="51" spans="1:24" ht="20.100000000000001" customHeight="1" x14ac:dyDescent="0.3">
      <c r="A51" s="85" t="s">
        <v>71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9">
        <f>SUM(M45:N50)</f>
        <v>0</v>
      </c>
      <c r="N51" s="90"/>
      <c r="O51" s="64"/>
      <c r="P51" s="92"/>
      <c r="Q51" s="86"/>
      <c r="R51" s="93"/>
    </row>
    <row r="52" spans="1:24" ht="20.100000000000001" customHeight="1" x14ac:dyDescent="0.3">
      <c r="A52" s="117" t="s">
        <v>72</v>
      </c>
      <c r="B52" s="86"/>
      <c r="M52" s="89">
        <f>0.1*M51</f>
        <v>0</v>
      </c>
      <c r="N52" s="90"/>
      <c r="O52" s="64"/>
      <c r="P52" s="118"/>
      <c r="R52" s="119"/>
    </row>
    <row r="53" spans="1:24" ht="20.100000000000001" customHeight="1" thickBot="1" x14ac:dyDescent="0.35">
      <c r="A53" s="120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2" t="s">
        <v>73</v>
      </c>
      <c r="M53" s="123">
        <f>M44+M51+M52</f>
        <v>0</v>
      </c>
      <c r="N53" s="124"/>
      <c r="O53" s="125"/>
      <c r="P53" s="126"/>
      <c r="Q53" s="121"/>
      <c r="R53" s="127"/>
    </row>
    <row r="54" spans="1:24" x14ac:dyDescent="0.25"/>
    <row r="55" spans="1:24" x14ac:dyDescent="0.25">
      <c r="L55" s="128"/>
    </row>
    <row r="56" spans="1:24" x14ac:dyDescent="0.25"/>
    <row r="57" spans="1:24" x14ac:dyDescent="0.25">
      <c r="H57" s="129"/>
    </row>
    <row r="58" spans="1:24" x14ac:dyDescent="0.25"/>
    <row r="59" spans="1:24" x14ac:dyDescent="0.25"/>
    <row r="60" spans="1:24" x14ac:dyDescent="0.25"/>
    <row r="61" spans="1:24" x14ac:dyDescent="0.25"/>
    <row r="62" spans="1:24" x14ac:dyDescent="0.25"/>
    <row r="63" spans="1:24" s="106" customFormat="1" ht="17.100000000000001" customHeight="1" x14ac:dyDescent="0.3">
      <c r="V63" s="130"/>
      <c r="W63" s="130"/>
      <c r="X63" s="130"/>
    </row>
    <row r="64" spans="1:24" s="106" customFormat="1" ht="19.5" customHeight="1" thickBot="1" x14ac:dyDescent="0.35">
      <c r="V64" s="130"/>
      <c r="W64" s="130"/>
      <c r="X64" s="130"/>
    </row>
    <row r="65" spans="1:24" s="106" customFormat="1" ht="19.5" customHeight="1" thickBot="1" x14ac:dyDescent="0.35">
      <c r="A65" s="131"/>
      <c r="B65" s="132"/>
      <c r="C65" s="132"/>
      <c r="D65" s="132"/>
      <c r="E65" s="132"/>
      <c r="F65" s="132"/>
      <c r="G65" s="132"/>
      <c r="H65" s="132"/>
      <c r="I65" s="133" t="s">
        <v>74</v>
      </c>
      <c r="J65" s="132"/>
      <c r="K65" s="132"/>
      <c r="L65" s="132"/>
      <c r="M65" s="132"/>
      <c r="N65" s="132"/>
      <c r="O65" s="132"/>
      <c r="P65" s="132"/>
      <c r="Q65" s="132"/>
      <c r="R65" s="134"/>
      <c r="V65" s="130"/>
      <c r="W65" s="130"/>
      <c r="X65" s="130"/>
    </row>
    <row r="66" spans="1:24" s="106" customFormat="1" ht="19.5" customHeight="1" x14ac:dyDescent="0.3">
      <c r="A66" s="78"/>
      <c r="B66" s="135"/>
      <c r="C66" s="135"/>
      <c r="D66" s="135"/>
      <c r="E66" s="135"/>
      <c r="F66" s="135"/>
      <c r="G66" s="135"/>
      <c r="H66" s="135"/>
      <c r="I66" s="136" t="s">
        <v>75</v>
      </c>
      <c r="J66" s="135"/>
      <c r="K66" s="135"/>
      <c r="L66" s="135"/>
      <c r="M66" s="135"/>
      <c r="N66" s="135"/>
      <c r="O66" s="135"/>
      <c r="P66" s="135"/>
      <c r="Q66" s="135"/>
      <c r="R66" s="137"/>
      <c r="V66" s="130"/>
      <c r="W66" s="130"/>
      <c r="X66" s="130"/>
    </row>
    <row r="67" spans="1:24" s="106" customFormat="1" ht="19.5" customHeight="1" x14ac:dyDescent="0.3">
      <c r="A67" s="138" t="s">
        <v>30</v>
      </c>
      <c r="B67" s="139" t="s">
        <v>30</v>
      </c>
      <c r="C67" s="140"/>
      <c r="D67" s="141" t="s">
        <v>33</v>
      </c>
      <c r="E67" s="141"/>
      <c r="F67" s="142"/>
      <c r="G67" s="139" t="s">
        <v>30</v>
      </c>
      <c r="H67" s="139" t="s">
        <v>30</v>
      </c>
      <c r="I67" s="140"/>
      <c r="J67" s="143" t="s">
        <v>34</v>
      </c>
      <c r="K67" s="143"/>
      <c r="L67" s="142"/>
      <c r="M67" s="139" t="s">
        <v>30</v>
      </c>
      <c r="N67" s="139" t="s">
        <v>30</v>
      </c>
      <c r="O67" s="140"/>
      <c r="P67" s="143" t="s">
        <v>35</v>
      </c>
      <c r="Q67" s="143"/>
      <c r="R67" s="144"/>
      <c r="V67" s="130"/>
      <c r="W67" s="130"/>
      <c r="X67" s="130"/>
    </row>
    <row r="68" spans="1:24" s="106" customFormat="1" ht="19.5" customHeight="1" x14ac:dyDescent="0.3">
      <c r="A68" s="145" t="s">
        <v>31</v>
      </c>
      <c r="B68" s="146" t="s">
        <v>32</v>
      </c>
      <c r="C68" s="147"/>
      <c r="D68" s="148" t="s">
        <v>37</v>
      </c>
      <c r="E68" s="148"/>
      <c r="F68" s="149"/>
      <c r="G68" s="146" t="s">
        <v>31</v>
      </c>
      <c r="H68" s="146" t="s">
        <v>32</v>
      </c>
      <c r="I68" s="147"/>
      <c r="J68" s="148" t="s">
        <v>37</v>
      </c>
      <c r="K68" s="148"/>
      <c r="L68" s="149"/>
      <c r="M68" s="146" t="s">
        <v>31</v>
      </c>
      <c r="N68" s="146" t="s">
        <v>32</v>
      </c>
      <c r="O68" s="147"/>
      <c r="P68" s="148" t="s">
        <v>37</v>
      </c>
      <c r="Q68" s="148"/>
      <c r="R68" s="150"/>
      <c r="V68" s="130"/>
      <c r="W68" s="130"/>
      <c r="X68" s="130"/>
    </row>
    <row r="69" spans="1:24" s="106" customFormat="1" ht="19.5" customHeight="1" x14ac:dyDescent="0.3">
      <c r="A69" s="151" t="s">
        <v>36</v>
      </c>
      <c r="B69" s="152" t="s">
        <v>1</v>
      </c>
      <c r="C69" s="153" t="s">
        <v>76</v>
      </c>
      <c r="D69" s="154"/>
      <c r="E69" s="153" t="s">
        <v>77</v>
      </c>
      <c r="F69" s="154"/>
      <c r="G69" s="152" t="s">
        <v>36</v>
      </c>
      <c r="H69" s="152" t="s">
        <v>1</v>
      </c>
      <c r="I69" s="153" t="s">
        <v>76</v>
      </c>
      <c r="J69" s="154"/>
      <c r="K69" s="153" t="s">
        <v>77</v>
      </c>
      <c r="L69" s="154"/>
      <c r="M69" s="152" t="s">
        <v>36</v>
      </c>
      <c r="N69" s="152" t="s">
        <v>1</v>
      </c>
      <c r="O69" s="153" t="s">
        <v>76</v>
      </c>
      <c r="P69" s="154"/>
      <c r="Q69" s="153" t="s">
        <v>77</v>
      </c>
      <c r="R69" s="155"/>
      <c r="V69" s="130"/>
      <c r="W69" s="130"/>
      <c r="X69" s="130"/>
    </row>
    <row r="70" spans="1:24" s="106" customFormat="1" ht="19.5" customHeight="1" x14ac:dyDescent="0.3">
      <c r="A70" s="156" t="str">
        <f>A17</f>
        <v/>
      </c>
      <c r="B70" s="56">
        <v>1</v>
      </c>
      <c r="C70" s="157" t="str">
        <f t="shared" ref="C70:C79" si="6">IF(SUMIFS(Total_MS,Fecha_Inf_MS,$Z$1&amp;TEXT(B70,"00"),Desc_MS,"M")&gt;0,SUMIFS(Total_MS,Fecha_Inf_MS,$Z$1&amp;TEXT(B70,"00"),Desc_MS,"M"),"")</f>
        <v/>
      </c>
      <c r="D70" s="158"/>
      <c r="E70" s="157" t="str">
        <f t="shared" ref="E70:E79" si="7">IF(SUMIFS(Total_MS,Fecha_Inf_MS,$Z$1&amp;TEXT(B70,"00"),Desc_MS,"S")&gt;0,SUMIFS(Total_MS,Fecha_Inf_MS,$Z$1&amp;TEXT(B70,"00"),Desc_MS,"S"),"")</f>
        <v/>
      </c>
      <c r="F70" s="159"/>
      <c r="G70" s="53" t="str">
        <f>G17</f>
        <v/>
      </c>
      <c r="H70" s="56">
        <v>11</v>
      </c>
      <c r="I70" s="157" t="str">
        <f t="shared" ref="I70:I79" si="8">IF(SUMIFS(Total_MS,Fecha_Inf_MS,$Z$1&amp;TEXT(H70,"00"),Desc_MS,"M")&gt;0,SUMIFS(Total_MS,Fecha_Inf_MS,$Z$1&amp;TEXT(H70,"00"),Desc_MS,"M"),"")</f>
        <v/>
      </c>
      <c r="J70" s="158"/>
      <c r="K70" s="157" t="str">
        <f t="shared" ref="K70:K79" si="9">IF(SUMIFS(Total_MS,Fecha_Inf_MS,$Z$1&amp;TEXT(H70,"00"),Desc_MS,"S")&gt;0,SUMIFS(Total_MS,Fecha_Inf_MS,$Z$1&amp;TEXT(H70,"00"),Desc_MS,"S"),"")</f>
        <v/>
      </c>
      <c r="L70" s="159"/>
      <c r="M70" s="53" t="str">
        <f>M17</f>
        <v/>
      </c>
      <c r="N70" s="57">
        <v>21</v>
      </c>
      <c r="O70" s="157" t="str">
        <f t="shared" ref="O70:O80" si="10">IF(SUMIFS(Total_MS,Fecha_Inf_MS,$Z$1&amp;TEXT(N70,"00"),Desc_MS,"M")&gt;0,SUMIFS(Total_MS,Fecha_Inf_MS,$Z$1&amp;TEXT(N70,"00"),Desc_MS,"M"),"")</f>
        <v/>
      </c>
      <c r="P70" s="158"/>
      <c r="Q70" s="157" t="str">
        <f t="shared" ref="Q70:Q80" si="11">IF(SUMIFS(Total_MS,Fecha_Inf_MS,$Z$1&amp;TEXT(N70,"00"),Desc_MS,"S")&gt;0,SUMIFS(Total_MS,Fecha_Inf_MS,$Z$1&amp;TEXT(N70,"00"),Desc_MS,"S"),"")</f>
        <v/>
      </c>
      <c r="R70" s="160"/>
      <c r="V70" s="130"/>
      <c r="W70" s="130"/>
      <c r="X70" s="130"/>
    </row>
    <row r="71" spans="1:24" s="106" customFormat="1" ht="19.5" customHeight="1" x14ac:dyDescent="0.3">
      <c r="A71" s="156" t="str">
        <f t="shared" ref="A71:A79" si="12">A18</f>
        <v/>
      </c>
      <c r="B71" s="56">
        <v>2</v>
      </c>
      <c r="C71" s="157" t="str">
        <f t="shared" si="6"/>
        <v/>
      </c>
      <c r="D71" s="158"/>
      <c r="E71" s="157" t="str">
        <f t="shared" si="7"/>
        <v/>
      </c>
      <c r="F71" s="159"/>
      <c r="G71" s="53" t="str">
        <f t="shared" ref="G71:G79" si="13">G18</f>
        <v/>
      </c>
      <c r="H71" s="56">
        <v>12</v>
      </c>
      <c r="I71" s="157" t="str">
        <f t="shared" si="8"/>
        <v/>
      </c>
      <c r="J71" s="158"/>
      <c r="K71" s="157" t="str">
        <f t="shared" si="9"/>
        <v/>
      </c>
      <c r="L71" s="159"/>
      <c r="M71" s="53" t="str">
        <f t="shared" ref="M71:M80" si="14">M18</f>
        <v/>
      </c>
      <c r="N71" s="57">
        <v>22</v>
      </c>
      <c r="O71" s="157" t="str">
        <f t="shared" si="10"/>
        <v/>
      </c>
      <c r="P71" s="158"/>
      <c r="Q71" s="157" t="str">
        <f t="shared" si="11"/>
        <v/>
      </c>
      <c r="R71" s="160"/>
      <c r="V71" s="130"/>
      <c r="W71" s="130"/>
      <c r="X71" s="130"/>
    </row>
    <row r="72" spans="1:24" s="106" customFormat="1" ht="19.5" customHeight="1" x14ac:dyDescent="0.3">
      <c r="A72" s="156" t="str">
        <f t="shared" si="12"/>
        <v/>
      </c>
      <c r="B72" s="56">
        <v>3</v>
      </c>
      <c r="C72" s="157" t="str">
        <f t="shared" si="6"/>
        <v/>
      </c>
      <c r="D72" s="158"/>
      <c r="E72" s="157" t="str">
        <f t="shared" si="7"/>
        <v/>
      </c>
      <c r="F72" s="159"/>
      <c r="G72" s="53" t="str">
        <f t="shared" si="13"/>
        <v/>
      </c>
      <c r="H72" s="56">
        <v>13</v>
      </c>
      <c r="I72" s="157" t="str">
        <f t="shared" si="8"/>
        <v/>
      </c>
      <c r="J72" s="158"/>
      <c r="K72" s="157" t="str">
        <f t="shared" si="9"/>
        <v/>
      </c>
      <c r="L72" s="159"/>
      <c r="M72" s="53" t="str">
        <f t="shared" si="14"/>
        <v/>
      </c>
      <c r="N72" s="57">
        <v>23</v>
      </c>
      <c r="O72" s="157" t="str">
        <f t="shared" si="10"/>
        <v/>
      </c>
      <c r="P72" s="158"/>
      <c r="Q72" s="157" t="str">
        <f t="shared" si="11"/>
        <v/>
      </c>
      <c r="R72" s="160"/>
      <c r="V72" s="130"/>
      <c r="W72" s="130"/>
      <c r="X72" s="130"/>
    </row>
    <row r="73" spans="1:24" s="106" customFormat="1" ht="19.5" customHeight="1" x14ac:dyDescent="0.3">
      <c r="A73" s="156" t="str">
        <f t="shared" si="12"/>
        <v/>
      </c>
      <c r="B73" s="56">
        <v>4</v>
      </c>
      <c r="C73" s="157" t="str">
        <f t="shared" si="6"/>
        <v/>
      </c>
      <c r="D73" s="158"/>
      <c r="E73" s="157" t="str">
        <f t="shared" si="7"/>
        <v/>
      </c>
      <c r="F73" s="159"/>
      <c r="G73" s="53" t="str">
        <f t="shared" si="13"/>
        <v/>
      </c>
      <c r="H73" s="56">
        <v>14</v>
      </c>
      <c r="I73" s="157" t="str">
        <f t="shared" si="8"/>
        <v/>
      </c>
      <c r="J73" s="158"/>
      <c r="K73" s="157" t="str">
        <f t="shared" si="9"/>
        <v/>
      </c>
      <c r="L73" s="159"/>
      <c r="M73" s="53" t="str">
        <f t="shared" si="14"/>
        <v/>
      </c>
      <c r="N73" s="57">
        <v>24</v>
      </c>
      <c r="O73" s="157" t="str">
        <f t="shared" si="10"/>
        <v/>
      </c>
      <c r="P73" s="158"/>
      <c r="Q73" s="157" t="str">
        <f t="shared" si="11"/>
        <v/>
      </c>
      <c r="R73" s="160"/>
      <c r="V73" s="130"/>
      <c r="W73" s="130"/>
      <c r="X73" s="130"/>
    </row>
    <row r="74" spans="1:24" s="106" customFormat="1" ht="19.5" customHeight="1" x14ac:dyDescent="0.3">
      <c r="A74" s="156" t="str">
        <f t="shared" si="12"/>
        <v/>
      </c>
      <c r="B74" s="56">
        <v>5</v>
      </c>
      <c r="C74" s="157" t="str">
        <f t="shared" si="6"/>
        <v/>
      </c>
      <c r="D74" s="158"/>
      <c r="E74" s="157" t="str">
        <f t="shared" si="7"/>
        <v/>
      </c>
      <c r="F74" s="159"/>
      <c r="G74" s="53" t="str">
        <f t="shared" si="13"/>
        <v/>
      </c>
      <c r="H74" s="56">
        <v>15</v>
      </c>
      <c r="I74" s="157" t="str">
        <f t="shared" si="8"/>
        <v/>
      </c>
      <c r="J74" s="158"/>
      <c r="K74" s="157" t="str">
        <f t="shared" si="9"/>
        <v/>
      </c>
      <c r="L74" s="159"/>
      <c r="M74" s="53" t="str">
        <f t="shared" si="14"/>
        <v/>
      </c>
      <c r="N74" s="57">
        <v>25</v>
      </c>
      <c r="O74" s="157" t="str">
        <f t="shared" si="10"/>
        <v/>
      </c>
      <c r="P74" s="158"/>
      <c r="Q74" s="157" t="str">
        <f t="shared" si="11"/>
        <v/>
      </c>
      <c r="R74" s="160"/>
      <c r="V74" s="130"/>
      <c r="W74" s="130"/>
      <c r="X74" s="130"/>
    </row>
    <row r="75" spans="1:24" s="106" customFormat="1" ht="19.5" customHeight="1" x14ac:dyDescent="0.3">
      <c r="A75" s="156" t="str">
        <f t="shared" si="12"/>
        <v/>
      </c>
      <c r="B75" s="56">
        <v>6</v>
      </c>
      <c r="C75" s="157" t="str">
        <f t="shared" si="6"/>
        <v/>
      </c>
      <c r="D75" s="158"/>
      <c r="E75" s="157" t="str">
        <f t="shared" si="7"/>
        <v/>
      </c>
      <c r="F75" s="159"/>
      <c r="G75" s="53" t="str">
        <f t="shared" si="13"/>
        <v/>
      </c>
      <c r="H75" s="56">
        <v>16</v>
      </c>
      <c r="I75" s="157" t="str">
        <f t="shared" si="8"/>
        <v/>
      </c>
      <c r="J75" s="158"/>
      <c r="K75" s="157" t="str">
        <f t="shared" si="9"/>
        <v/>
      </c>
      <c r="L75" s="159"/>
      <c r="M75" s="53" t="str">
        <f t="shared" si="14"/>
        <v/>
      </c>
      <c r="N75" s="57">
        <v>26</v>
      </c>
      <c r="O75" s="157" t="str">
        <f t="shared" si="10"/>
        <v/>
      </c>
      <c r="P75" s="158"/>
      <c r="Q75" s="157" t="str">
        <f t="shared" si="11"/>
        <v/>
      </c>
      <c r="R75" s="160"/>
      <c r="V75" s="130"/>
      <c r="W75" s="130"/>
      <c r="X75" s="130"/>
    </row>
    <row r="76" spans="1:24" s="106" customFormat="1" ht="19.5" customHeight="1" x14ac:dyDescent="0.3">
      <c r="A76" s="156" t="str">
        <f t="shared" si="12"/>
        <v/>
      </c>
      <c r="B76" s="56">
        <v>7</v>
      </c>
      <c r="C76" s="157" t="str">
        <f t="shared" si="6"/>
        <v/>
      </c>
      <c r="D76" s="158"/>
      <c r="E76" s="157" t="str">
        <f t="shared" si="7"/>
        <v/>
      </c>
      <c r="F76" s="159"/>
      <c r="G76" s="53" t="str">
        <f t="shared" si="13"/>
        <v/>
      </c>
      <c r="H76" s="56">
        <v>17</v>
      </c>
      <c r="I76" s="157" t="str">
        <f t="shared" si="8"/>
        <v/>
      </c>
      <c r="J76" s="158"/>
      <c r="K76" s="157" t="str">
        <f t="shared" si="9"/>
        <v/>
      </c>
      <c r="L76" s="159"/>
      <c r="M76" s="53" t="str">
        <f t="shared" si="14"/>
        <v/>
      </c>
      <c r="N76" s="57">
        <v>27</v>
      </c>
      <c r="O76" s="157" t="str">
        <f t="shared" si="10"/>
        <v/>
      </c>
      <c r="P76" s="158"/>
      <c r="Q76" s="157" t="str">
        <f t="shared" si="11"/>
        <v/>
      </c>
      <c r="R76" s="160"/>
      <c r="V76" s="130"/>
      <c r="W76" s="130"/>
      <c r="X76" s="130"/>
    </row>
    <row r="77" spans="1:24" s="106" customFormat="1" ht="19.5" customHeight="1" x14ac:dyDescent="0.3">
      <c r="A77" s="156" t="str">
        <f t="shared" si="12"/>
        <v/>
      </c>
      <c r="B77" s="56">
        <v>8</v>
      </c>
      <c r="C77" s="157" t="str">
        <f t="shared" si="6"/>
        <v/>
      </c>
      <c r="D77" s="158"/>
      <c r="E77" s="157" t="str">
        <f t="shared" si="7"/>
        <v/>
      </c>
      <c r="F77" s="159"/>
      <c r="G77" s="53" t="str">
        <f t="shared" si="13"/>
        <v/>
      </c>
      <c r="H77" s="56">
        <v>18</v>
      </c>
      <c r="I77" s="157" t="str">
        <f t="shared" si="8"/>
        <v/>
      </c>
      <c r="J77" s="158"/>
      <c r="K77" s="157" t="str">
        <f t="shared" si="9"/>
        <v/>
      </c>
      <c r="L77" s="159"/>
      <c r="M77" s="53" t="str">
        <f t="shared" si="14"/>
        <v/>
      </c>
      <c r="N77" s="57">
        <v>28</v>
      </c>
      <c r="O77" s="157" t="str">
        <f t="shared" si="10"/>
        <v/>
      </c>
      <c r="P77" s="158"/>
      <c r="Q77" s="157" t="str">
        <f t="shared" si="11"/>
        <v/>
      </c>
      <c r="R77" s="160"/>
      <c r="V77" s="130"/>
      <c r="W77" s="130"/>
      <c r="X77" s="130"/>
    </row>
    <row r="78" spans="1:24" s="106" customFormat="1" ht="19.5" customHeight="1" x14ac:dyDescent="0.3">
      <c r="A78" s="156" t="str">
        <f t="shared" si="12"/>
        <v/>
      </c>
      <c r="B78" s="56">
        <v>9</v>
      </c>
      <c r="C78" s="157" t="str">
        <f t="shared" si="6"/>
        <v/>
      </c>
      <c r="D78" s="158"/>
      <c r="E78" s="157" t="str">
        <f t="shared" si="7"/>
        <v/>
      </c>
      <c r="F78" s="159"/>
      <c r="G78" s="53" t="str">
        <f t="shared" si="13"/>
        <v/>
      </c>
      <c r="H78" s="56">
        <v>19</v>
      </c>
      <c r="I78" s="157" t="str">
        <f t="shared" si="8"/>
        <v/>
      </c>
      <c r="J78" s="158"/>
      <c r="K78" s="157" t="str">
        <f t="shared" si="9"/>
        <v/>
      </c>
      <c r="L78" s="159"/>
      <c r="M78" s="53" t="str">
        <f t="shared" si="14"/>
        <v/>
      </c>
      <c r="N78" s="57">
        <v>29</v>
      </c>
      <c r="O78" s="157" t="str">
        <f t="shared" si="10"/>
        <v/>
      </c>
      <c r="P78" s="158"/>
      <c r="Q78" s="157" t="str">
        <f t="shared" si="11"/>
        <v/>
      </c>
      <c r="R78" s="160"/>
      <c r="V78" s="130"/>
      <c r="W78" s="130"/>
      <c r="X78" s="130"/>
    </row>
    <row r="79" spans="1:24" s="106" customFormat="1" ht="19.5" customHeight="1" x14ac:dyDescent="0.3">
      <c r="A79" s="156" t="str">
        <f t="shared" si="12"/>
        <v/>
      </c>
      <c r="B79" s="161">
        <v>10</v>
      </c>
      <c r="C79" s="157" t="str">
        <f t="shared" si="6"/>
        <v/>
      </c>
      <c r="D79" s="158"/>
      <c r="E79" s="157" t="str">
        <f t="shared" si="7"/>
        <v/>
      </c>
      <c r="F79" s="159"/>
      <c r="G79" s="53" t="str">
        <f t="shared" si="13"/>
        <v/>
      </c>
      <c r="H79" s="161">
        <v>20</v>
      </c>
      <c r="I79" s="157" t="str">
        <f t="shared" si="8"/>
        <v/>
      </c>
      <c r="J79" s="158"/>
      <c r="K79" s="157" t="str">
        <f t="shared" si="9"/>
        <v/>
      </c>
      <c r="L79" s="159"/>
      <c r="M79" s="53" t="str">
        <f t="shared" si="14"/>
        <v/>
      </c>
      <c r="N79" s="162">
        <v>30</v>
      </c>
      <c r="O79" s="157" t="str">
        <f t="shared" si="10"/>
        <v/>
      </c>
      <c r="P79" s="158"/>
      <c r="Q79" s="157" t="str">
        <f t="shared" si="11"/>
        <v/>
      </c>
      <c r="R79" s="160"/>
      <c r="V79" s="130"/>
      <c r="W79" s="130"/>
      <c r="X79" s="130"/>
    </row>
    <row r="80" spans="1:24" s="106" customFormat="1" ht="19.5" customHeight="1" x14ac:dyDescent="0.3">
      <c r="A80" s="163" t="s">
        <v>78</v>
      </c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5"/>
      <c r="M80" s="53" t="str">
        <f t="shared" si="14"/>
        <v/>
      </c>
      <c r="N80" s="57">
        <v>31</v>
      </c>
      <c r="O80" s="157" t="str">
        <f t="shared" si="10"/>
        <v/>
      </c>
      <c r="P80" s="158"/>
      <c r="Q80" s="157" t="str">
        <f t="shared" si="11"/>
        <v/>
      </c>
      <c r="R80" s="160"/>
      <c r="V80" s="130"/>
      <c r="W80" s="130"/>
      <c r="X80" s="130"/>
    </row>
    <row r="81" spans="1:24" s="106" customFormat="1" ht="19.5" customHeight="1" x14ac:dyDescent="0.3">
      <c r="A81" s="166"/>
      <c r="B81" s="167" t="s">
        <v>39</v>
      </c>
      <c r="C81" s="168">
        <f>SUM(C70:D79)</f>
        <v>0</v>
      </c>
      <c r="D81" s="169"/>
      <c r="E81" s="168">
        <f>SUM(E70:F79)</f>
        <v>0</v>
      </c>
      <c r="F81" s="170"/>
      <c r="G81" s="171"/>
      <c r="H81" s="172" t="s">
        <v>40</v>
      </c>
      <c r="I81" s="168">
        <f>SUM(I70:J79)</f>
        <v>0</v>
      </c>
      <c r="J81" s="169"/>
      <c r="K81" s="168">
        <f>SUM(K70:L79)</f>
        <v>0</v>
      </c>
      <c r="L81" s="169"/>
      <c r="M81" s="173"/>
      <c r="N81" s="172" t="s">
        <v>41</v>
      </c>
      <c r="O81" s="168">
        <f>SUM(O70:P79)</f>
        <v>0</v>
      </c>
      <c r="P81" s="169"/>
      <c r="Q81" s="168">
        <f>SUM(Q70:R79)</f>
        <v>0</v>
      </c>
      <c r="R81" s="174"/>
      <c r="V81" s="130"/>
      <c r="W81" s="130"/>
      <c r="X81" s="130"/>
    </row>
    <row r="82" spans="1:24" s="106" customFormat="1" ht="19.5" customHeight="1" thickBot="1" x14ac:dyDescent="0.35">
      <c r="A82" s="175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71" t="s">
        <v>79</v>
      </c>
      <c r="O82" s="177">
        <f>C81+I81+O81</f>
        <v>0</v>
      </c>
      <c r="P82" s="154"/>
      <c r="Q82" s="178">
        <f>E81+K81+Q81</f>
        <v>0</v>
      </c>
      <c r="R82" s="179"/>
      <c r="V82" s="130"/>
      <c r="W82" s="130"/>
      <c r="X82" s="130"/>
    </row>
    <row r="83" spans="1:24" s="106" customFormat="1" ht="19.5" customHeight="1" thickBot="1" x14ac:dyDescent="0.35">
      <c r="A83" s="180" t="s">
        <v>80</v>
      </c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2"/>
      <c r="P83" s="182"/>
      <c r="Q83" s="182"/>
      <c r="R83" s="77" t="s">
        <v>44</v>
      </c>
      <c r="T83" s="183"/>
      <c r="V83" s="130"/>
      <c r="W83" s="130"/>
      <c r="X83" s="130"/>
    </row>
    <row r="84" spans="1:24" s="106" customFormat="1" ht="19.5" customHeight="1" x14ac:dyDescent="0.3">
      <c r="A84" s="184" t="s">
        <v>81</v>
      </c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80">
        <f>SUM(O82:R82)</f>
        <v>0</v>
      </c>
      <c r="N84" s="185"/>
      <c r="O84" s="186"/>
      <c r="P84" s="187"/>
      <c r="Q84" s="111"/>
      <c r="R84" s="188"/>
      <c r="V84" s="130"/>
      <c r="W84" s="130"/>
      <c r="X84" s="130"/>
    </row>
    <row r="85" spans="1:24" s="106" customFormat="1" ht="19.5" customHeight="1" x14ac:dyDescent="0.3">
      <c r="A85" s="85" t="s">
        <v>82</v>
      </c>
      <c r="B85" s="94"/>
      <c r="C85" s="94"/>
      <c r="D85" s="94"/>
      <c r="E85" s="189">
        <v>0.15</v>
      </c>
      <c r="F85" s="190"/>
      <c r="G85" s="191" t="s">
        <v>76</v>
      </c>
      <c r="H85" s="192"/>
      <c r="I85" s="189">
        <v>0.15</v>
      </c>
      <c r="J85" s="193"/>
      <c r="K85" s="191" t="s">
        <v>77</v>
      </c>
      <c r="L85" s="194"/>
      <c r="M85" s="89">
        <f>O82*E85+Q82*I85</f>
        <v>0</v>
      </c>
      <c r="N85" s="195"/>
      <c r="O85" s="196"/>
      <c r="P85" s="197"/>
      <c r="Q85" s="94"/>
      <c r="R85" s="198"/>
      <c r="V85" s="130"/>
      <c r="W85" s="130"/>
      <c r="X85" s="130"/>
    </row>
    <row r="86" spans="1:24" s="106" customFormat="1" ht="19.5" customHeight="1" thickBot="1" x14ac:dyDescent="0.35">
      <c r="A86" s="101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200" t="s">
        <v>83</v>
      </c>
      <c r="M86" s="123">
        <f>SUM(M84:O85)</f>
        <v>0</v>
      </c>
      <c r="N86" s="201"/>
      <c r="O86" s="202"/>
      <c r="P86" s="203"/>
      <c r="Q86" s="199"/>
      <c r="R86" s="204"/>
      <c r="V86" s="130"/>
      <c r="W86" s="130"/>
      <c r="X86" s="130"/>
    </row>
    <row r="87" spans="1:24" s="106" customFormat="1" ht="19.5" customHeight="1" thickBot="1" x14ac:dyDescent="0.35">
      <c r="A87" s="205"/>
      <c r="B87" s="182"/>
      <c r="C87" s="182"/>
      <c r="D87" s="182"/>
      <c r="E87" s="182"/>
      <c r="F87" s="182"/>
      <c r="G87" s="182"/>
      <c r="H87" s="182"/>
      <c r="I87" s="206" t="s">
        <v>84</v>
      </c>
      <c r="J87" s="182"/>
      <c r="K87" s="182"/>
      <c r="L87" s="182"/>
      <c r="M87" s="182"/>
      <c r="N87" s="182"/>
      <c r="O87" s="182"/>
      <c r="P87" s="182"/>
      <c r="Q87" s="182"/>
      <c r="R87" s="207"/>
      <c r="V87" s="130"/>
      <c r="W87" s="130"/>
      <c r="X87" s="130"/>
    </row>
    <row r="88" spans="1:24" s="106" customFormat="1" ht="19.5" customHeight="1" x14ac:dyDescent="0.3">
      <c r="A88" s="208" t="s">
        <v>85</v>
      </c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10"/>
      <c r="V88" s="130"/>
      <c r="W88" s="130"/>
      <c r="X88" s="130"/>
    </row>
    <row r="89" spans="1:24" s="106" customFormat="1" ht="19.5" customHeight="1" thickBot="1" x14ac:dyDescent="0.35">
      <c r="A89" s="211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3"/>
      <c r="V89" s="130"/>
      <c r="W89" s="130"/>
      <c r="X89" s="130"/>
    </row>
    <row r="90" spans="1:24" s="106" customFormat="1" ht="19.5" customHeight="1" thickBot="1" x14ac:dyDescent="0.35">
      <c r="A90" s="131"/>
      <c r="B90" s="182"/>
      <c r="C90" s="182"/>
      <c r="D90" s="182"/>
      <c r="E90" s="182"/>
      <c r="F90" s="182"/>
      <c r="G90" s="182"/>
      <c r="H90" s="182"/>
      <c r="I90" s="133" t="s">
        <v>86</v>
      </c>
      <c r="J90" s="182"/>
      <c r="K90" s="182"/>
      <c r="L90" s="182"/>
      <c r="M90" s="182"/>
      <c r="N90" s="182"/>
      <c r="O90" s="182"/>
      <c r="P90" s="182"/>
      <c r="Q90" s="182"/>
      <c r="R90" s="207"/>
      <c r="V90" s="130"/>
      <c r="W90" s="130"/>
      <c r="X90" s="130"/>
    </row>
    <row r="91" spans="1:24" s="106" customFormat="1" ht="19.5" customHeight="1" x14ac:dyDescent="0.3">
      <c r="A91" s="78" t="s">
        <v>87</v>
      </c>
      <c r="B91" s="111"/>
      <c r="C91" s="111"/>
      <c r="D91" s="111"/>
      <c r="E91" s="111"/>
      <c r="F91" s="111"/>
      <c r="G91" s="111"/>
      <c r="H91" s="111"/>
      <c r="I91" s="111"/>
      <c r="J91" s="111"/>
      <c r="M91" s="80">
        <f>SUM('[1]Equipo FA 50'!T47,'[1]Equipo FA 50'!T97,'[1]Equipo FA 50'!T147)</f>
        <v>0</v>
      </c>
      <c r="N91" s="81"/>
      <c r="O91" s="214"/>
      <c r="P91" s="215" t="s">
        <v>88</v>
      </c>
      <c r="Q91" s="135"/>
      <c r="R91" s="216"/>
      <c r="V91" s="130"/>
      <c r="W91" s="130"/>
      <c r="X91" s="130"/>
    </row>
    <row r="92" spans="1:24" s="106" customFormat="1" ht="19.5" customHeight="1" x14ac:dyDescent="0.3">
      <c r="A92" s="85" t="s">
        <v>89</v>
      </c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89">
        <f>0.15*M91</f>
        <v>0</v>
      </c>
      <c r="N92" s="90"/>
      <c r="O92" s="64"/>
      <c r="P92" s="197"/>
      <c r="Q92" s="94"/>
      <c r="R92" s="198"/>
      <c r="V92" s="130"/>
      <c r="W92" s="130"/>
      <c r="X92" s="130"/>
    </row>
    <row r="93" spans="1:24" s="106" customFormat="1" ht="19.5" customHeight="1" x14ac:dyDescent="0.3">
      <c r="A93" s="85" t="s">
        <v>90</v>
      </c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217"/>
      <c r="M93" s="89">
        <f>SUM('[1]Equipo FA 50'!AF47,'[1]Equipo FA 50'!AF97,'[1]Equipo FA 50'!AF147)</f>
        <v>0</v>
      </c>
      <c r="N93" s="90"/>
      <c r="O93" s="64"/>
      <c r="P93" s="218" t="s">
        <v>91</v>
      </c>
      <c r="Q93" s="88"/>
      <c r="R93" s="198"/>
      <c r="V93" s="130"/>
      <c r="W93" s="130"/>
      <c r="X93" s="130"/>
    </row>
    <row r="94" spans="1:24" s="106" customFormat="1" ht="19.5" customHeight="1" x14ac:dyDescent="0.3">
      <c r="A94" s="85" t="s">
        <v>92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217"/>
      <c r="M94" s="89">
        <f>SUM('[1]Equipo FA 50'!N47,'[1]Equipo FA 50'!N97,'[1]Equipo FA 50'!N147)</f>
        <v>0</v>
      </c>
      <c r="N94" s="90"/>
      <c r="O94" s="64"/>
      <c r="P94" s="218" t="s">
        <v>93</v>
      </c>
      <c r="Q94" s="88"/>
      <c r="R94" s="198"/>
      <c r="V94" s="130"/>
      <c r="W94" s="130"/>
      <c r="X94" s="130"/>
    </row>
    <row r="95" spans="1:24" s="106" customFormat="1" ht="19.5" customHeight="1" thickBot="1" x14ac:dyDescent="0.35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1" t="s">
        <v>94</v>
      </c>
      <c r="M95" s="123">
        <f>SUM(M92:O94)</f>
        <v>0</v>
      </c>
      <c r="N95" s="124"/>
      <c r="O95" s="125"/>
      <c r="P95" s="222"/>
      <c r="Q95" s="220"/>
      <c r="R95" s="223"/>
      <c r="V95" s="130"/>
      <c r="W95" s="130"/>
      <c r="X95" s="130"/>
    </row>
    <row r="96" spans="1:24" s="106" customFormat="1" ht="19.5" customHeight="1" thickBot="1" x14ac:dyDescent="0.35">
      <c r="V96" s="130"/>
      <c r="W96" s="130"/>
      <c r="X96" s="130"/>
    </row>
    <row r="97" spans="1:24" s="106" customFormat="1" ht="19.5" customHeight="1" thickBot="1" x14ac:dyDescent="0.35">
      <c r="A97" s="205"/>
      <c r="B97" s="182"/>
      <c r="C97" s="182"/>
      <c r="D97" s="182"/>
      <c r="E97" s="182"/>
      <c r="F97" s="182"/>
      <c r="G97" s="182"/>
      <c r="H97" s="182"/>
      <c r="I97" s="133" t="s">
        <v>95</v>
      </c>
      <c r="J97" s="182"/>
      <c r="K97" s="182"/>
      <c r="L97" s="182"/>
      <c r="M97" s="182"/>
      <c r="N97" s="182"/>
      <c r="O97" s="182"/>
      <c r="P97" s="182"/>
      <c r="Q97" s="182"/>
      <c r="R97" s="224" t="s">
        <v>44</v>
      </c>
      <c r="V97" s="130"/>
      <c r="W97" s="130"/>
      <c r="X97" s="130"/>
    </row>
    <row r="98" spans="1:24" s="106" customFormat="1" ht="19.5" customHeight="1" x14ac:dyDescent="0.3">
      <c r="A98" s="117" t="s">
        <v>96</v>
      </c>
      <c r="M98" s="80">
        <f>M53</f>
        <v>0</v>
      </c>
      <c r="N98" s="81"/>
      <c r="O98" s="214"/>
      <c r="P98" s="225"/>
      <c r="R98" s="226"/>
      <c r="V98" s="130"/>
      <c r="W98" s="130"/>
      <c r="X98" s="130"/>
    </row>
    <row r="99" spans="1:24" s="106" customFormat="1" ht="19.5" customHeight="1" x14ac:dyDescent="0.3">
      <c r="A99" s="85" t="s">
        <v>97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89">
        <f>M86</f>
        <v>0</v>
      </c>
      <c r="N99" s="90"/>
      <c r="O99" s="64"/>
      <c r="P99" s="197"/>
      <c r="Q99" s="94"/>
      <c r="R99" s="198"/>
      <c r="V99" s="130"/>
      <c r="W99" s="130"/>
      <c r="X99" s="130"/>
    </row>
    <row r="100" spans="1:24" s="106" customFormat="1" ht="19.5" customHeight="1" x14ac:dyDescent="0.3">
      <c r="A100" s="117" t="s">
        <v>98</v>
      </c>
      <c r="M100" s="89">
        <f>M95</f>
        <v>0</v>
      </c>
      <c r="N100" s="90"/>
      <c r="O100" s="64"/>
      <c r="P100" s="225"/>
      <c r="R100" s="226"/>
      <c r="V100" s="130"/>
      <c r="W100" s="130"/>
      <c r="X100" s="130"/>
    </row>
    <row r="101" spans="1:24" s="106" customFormat="1" ht="19.5" customHeight="1" x14ac:dyDescent="0.3">
      <c r="A101" s="85" t="s">
        <v>99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89">
        <f>SUM(M98:O100)</f>
        <v>0</v>
      </c>
      <c r="N101" s="90"/>
      <c r="O101" s="64"/>
      <c r="P101" s="197"/>
      <c r="Q101" s="94"/>
      <c r="R101" s="198"/>
      <c r="V101" s="130"/>
      <c r="W101" s="130"/>
      <c r="X101" s="130"/>
    </row>
    <row r="102" spans="1:24" s="106" customFormat="1" ht="19.5" customHeight="1" x14ac:dyDescent="0.3">
      <c r="A102" s="117" t="s">
        <v>100</v>
      </c>
      <c r="H102" s="189">
        <v>0</v>
      </c>
      <c r="I102" s="227"/>
      <c r="J102" s="106" t="s">
        <v>101</v>
      </c>
      <c r="M102" s="89">
        <f>H102*M101/1000</f>
        <v>0</v>
      </c>
      <c r="N102" s="90"/>
      <c r="O102" s="64"/>
      <c r="P102" s="225"/>
      <c r="R102" s="226"/>
      <c r="V102" s="130"/>
      <c r="W102" s="130"/>
      <c r="X102" s="130"/>
    </row>
    <row r="103" spans="1:24" s="106" customFormat="1" ht="19.5" customHeight="1" x14ac:dyDescent="0.3">
      <c r="A103" s="228" t="s">
        <v>102</v>
      </c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107">
        <f>SUM(M101:O102)</f>
        <v>0</v>
      </c>
      <c r="N103" s="108"/>
      <c r="O103" s="109"/>
      <c r="P103" s="203"/>
      <c r="Q103" s="199"/>
      <c r="R103" s="204"/>
      <c r="V103" s="130"/>
      <c r="W103" s="130"/>
      <c r="X103" s="130"/>
    </row>
    <row r="104" spans="1:24" s="106" customFormat="1" ht="19.5" customHeight="1" thickBot="1" x14ac:dyDescent="0.35">
      <c r="A104" s="230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2"/>
      <c r="N104" s="233"/>
      <c r="O104" s="234"/>
      <c r="P104" s="235"/>
      <c r="Q104" s="236"/>
      <c r="R104" s="237"/>
      <c r="V104" s="130"/>
      <c r="W104" s="130"/>
      <c r="X104" s="130"/>
    </row>
    <row r="105" spans="1:24" x14ac:dyDescent="0.25"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</row>
    <row r="106" spans="1:24" ht="13.8" thickBot="1" x14ac:dyDescent="0.3">
      <c r="A106" s="239" t="s">
        <v>103</v>
      </c>
      <c r="B106" s="240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</row>
    <row r="107" spans="1:24" x14ac:dyDescent="0.25">
      <c r="A107" s="241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3"/>
    </row>
    <row r="108" spans="1:24" x14ac:dyDescent="0.25">
      <c r="A108" s="244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6"/>
    </row>
    <row r="109" spans="1:24" x14ac:dyDescent="0.25">
      <c r="A109" s="244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6"/>
    </row>
    <row r="110" spans="1:24" x14ac:dyDescent="0.25">
      <c r="A110" s="244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6"/>
    </row>
    <row r="111" spans="1:24" x14ac:dyDescent="0.25">
      <c r="A111" s="244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6"/>
    </row>
    <row r="112" spans="1:24" x14ac:dyDescent="0.25">
      <c r="A112" s="244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6"/>
    </row>
    <row r="113" spans="1:18" x14ac:dyDescent="0.25">
      <c r="A113" s="244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6"/>
    </row>
    <row r="114" spans="1:18" ht="13.8" thickBot="1" x14ac:dyDescent="0.3">
      <c r="A114" s="247"/>
      <c r="B114" s="248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9"/>
    </row>
    <row r="115" spans="1:18" x14ac:dyDescent="0.25"/>
    <row r="116" spans="1:18" x14ac:dyDescent="0.25"/>
    <row r="117" spans="1:18" x14ac:dyDescent="0.25"/>
    <row r="118" spans="1:18" x14ac:dyDescent="0.25">
      <c r="A118" s="2" t="s">
        <v>104</v>
      </c>
      <c r="I118" s="5" t="s">
        <v>105</v>
      </c>
      <c r="P118" s="5" t="s">
        <v>106</v>
      </c>
      <c r="Q118" s="5"/>
    </row>
    <row r="119" spans="1:18" x14ac:dyDescent="0.25"/>
    <row r="120" spans="1:18" x14ac:dyDescent="0.25"/>
    <row r="121" spans="1:18" x14ac:dyDescent="0.25">
      <c r="A121" s="114">
        <f>'[1]Información Force Account'!B3</f>
        <v>0</v>
      </c>
      <c r="B121" s="114"/>
      <c r="C121" s="114"/>
      <c r="D121" s="114"/>
      <c r="H121" s="114">
        <f>'[1]Información Force Account'!B5</f>
        <v>0</v>
      </c>
      <c r="I121" s="114"/>
      <c r="J121" s="114"/>
      <c r="K121" s="114"/>
      <c r="O121" s="114">
        <f>'[1]Información Force Account'!B4</f>
        <v>0</v>
      </c>
      <c r="P121" s="114"/>
      <c r="Q121" s="114"/>
      <c r="R121" s="114"/>
    </row>
    <row r="122" spans="1:18" x14ac:dyDescent="0.25">
      <c r="A122" s="250" t="s">
        <v>107</v>
      </c>
      <c r="B122" s="251"/>
      <c r="C122" s="251"/>
      <c r="D122" s="251"/>
      <c r="H122" s="141" t="s">
        <v>108</v>
      </c>
      <c r="I122" s="251"/>
      <c r="J122" s="251"/>
      <c r="K122" s="251"/>
      <c r="O122" s="239"/>
      <c r="R122" s="252" t="s">
        <v>109</v>
      </c>
    </row>
    <row r="123" spans="1:18" x14ac:dyDescent="0.25">
      <c r="P123" s="5" t="s">
        <v>110</v>
      </c>
      <c r="Q123" s="5"/>
    </row>
    <row r="124" spans="1:18" x14ac:dyDescent="0.25"/>
  </sheetData>
  <sheetProtection algorithmName="SHA-512" hashValue="qK/W7QMxThBejdlvEcwOnyDCoivw/fnF88pnEvLSy4npdoLV6kf3zCa/1ZVL89E6VVKioASEmqsedd5YPfK3ww==" saltValue="BwXN0DYPFeyMg/GUMlhyNw==" spinCount="100000" sheet="1" objects="1" scenarios="1"/>
  <mergeCells count="188">
    <mergeCell ref="A122:D122"/>
    <mergeCell ref="H122:K122"/>
    <mergeCell ref="A103:L104"/>
    <mergeCell ref="M103:O104"/>
    <mergeCell ref="C105:R106"/>
    <mergeCell ref="A107:R114"/>
    <mergeCell ref="A121:D121"/>
    <mergeCell ref="H121:K121"/>
    <mergeCell ref="O121:R121"/>
    <mergeCell ref="M95:O95"/>
    <mergeCell ref="M98:O98"/>
    <mergeCell ref="M99:O99"/>
    <mergeCell ref="M100:O100"/>
    <mergeCell ref="M101:O101"/>
    <mergeCell ref="H102:I102"/>
    <mergeCell ref="M102:O102"/>
    <mergeCell ref="M86:O86"/>
    <mergeCell ref="A88:R89"/>
    <mergeCell ref="M91:O91"/>
    <mergeCell ref="M92:O92"/>
    <mergeCell ref="M93:O93"/>
    <mergeCell ref="M94:O94"/>
    <mergeCell ref="O82:P82"/>
    <mergeCell ref="Q82:R82"/>
    <mergeCell ref="A83:N83"/>
    <mergeCell ref="M84:O84"/>
    <mergeCell ref="E85:F85"/>
    <mergeCell ref="G85:H85"/>
    <mergeCell ref="I85:J85"/>
    <mergeCell ref="K85:L85"/>
    <mergeCell ref="M85:O85"/>
    <mergeCell ref="A80:L80"/>
    <mergeCell ref="O80:P80"/>
    <mergeCell ref="Q80:R80"/>
    <mergeCell ref="C81:D81"/>
    <mergeCell ref="E81:F81"/>
    <mergeCell ref="I81:J81"/>
    <mergeCell ref="K81:L81"/>
    <mergeCell ref="O81:P81"/>
    <mergeCell ref="Q81:R81"/>
    <mergeCell ref="C79:D79"/>
    <mergeCell ref="E79:F79"/>
    <mergeCell ref="I79:J79"/>
    <mergeCell ref="K79:L79"/>
    <mergeCell ref="O79:P79"/>
    <mergeCell ref="Q79:R79"/>
    <mergeCell ref="C78:D78"/>
    <mergeCell ref="E78:F78"/>
    <mergeCell ref="I78:J78"/>
    <mergeCell ref="K78:L78"/>
    <mergeCell ref="O78:P78"/>
    <mergeCell ref="Q78:R78"/>
    <mergeCell ref="C77:D77"/>
    <mergeCell ref="E77:F77"/>
    <mergeCell ref="I77:J77"/>
    <mergeCell ref="K77:L77"/>
    <mergeCell ref="O77:P77"/>
    <mergeCell ref="Q77:R77"/>
    <mergeCell ref="C76:D76"/>
    <mergeCell ref="E76:F76"/>
    <mergeCell ref="I76:J76"/>
    <mergeCell ref="K76:L76"/>
    <mergeCell ref="O76:P76"/>
    <mergeCell ref="Q76:R76"/>
    <mergeCell ref="C75:D75"/>
    <mergeCell ref="E75:F75"/>
    <mergeCell ref="I75:J75"/>
    <mergeCell ref="K75:L75"/>
    <mergeCell ref="O75:P75"/>
    <mergeCell ref="Q75:R75"/>
    <mergeCell ref="C74:D74"/>
    <mergeCell ref="E74:F74"/>
    <mergeCell ref="I74:J74"/>
    <mergeCell ref="K74:L74"/>
    <mergeCell ref="O74:P74"/>
    <mergeCell ref="Q74:R74"/>
    <mergeCell ref="C73:D73"/>
    <mergeCell ref="E73:F73"/>
    <mergeCell ref="I73:J73"/>
    <mergeCell ref="K73:L73"/>
    <mergeCell ref="O73:P73"/>
    <mergeCell ref="Q73:R73"/>
    <mergeCell ref="C72:D72"/>
    <mergeCell ref="E72:F72"/>
    <mergeCell ref="I72:J72"/>
    <mergeCell ref="K72:L72"/>
    <mergeCell ref="O72:P72"/>
    <mergeCell ref="Q72:R72"/>
    <mergeCell ref="C71:D71"/>
    <mergeCell ref="E71:F71"/>
    <mergeCell ref="I71:J71"/>
    <mergeCell ref="K71:L71"/>
    <mergeCell ref="O71:P71"/>
    <mergeCell ref="Q71:R71"/>
    <mergeCell ref="C70:D70"/>
    <mergeCell ref="E70:F70"/>
    <mergeCell ref="I70:J70"/>
    <mergeCell ref="K70:L70"/>
    <mergeCell ref="O70:P70"/>
    <mergeCell ref="Q70:R70"/>
    <mergeCell ref="P67:Q67"/>
    <mergeCell ref="D68:E68"/>
    <mergeCell ref="J68:K68"/>
    <mergeCell ref="P68:Q68"/>
    <mergeCell ref="C69:D69"/>
    <mergeCell ref="E69:F69"/>
    <mergeCell ref="I69:J69"/>
    <mergeCell ref="K69:L69"/>
    <mergeCell ref="O69:P69"/>
    <mergeCell ref="Q69:R69"/>
    <mergeCell ref="M49:O49"/>
    <mergeCell ref="M50:O50"/>
    <mergeCell ref="M51:O51"/>
    <mergeCell ref="M52:O52"/>
    <mergeCell ref="M53:O53"/>
    <mergeCell ref="D67:E67"/>
    <mergeCell ref="J67:K67"/>
    <mergeCell ref="M43:O43"/>
    <mergeCell ref="M44:O44"/>
    <mergeCell ref="M45:O45"/>
    <mergeCell ref="M46:O46"/>
    <mergeCell ref="H47:I47"/>
    <mergeCell ref="J47:K47"/>
    <mergeCell ref="M47:O48"/>
    <mergeCell ref="M37:O37"/>
    <mergeCell ref="M38:O38"/>
    <mergeCell ref="M39:O39"/>
    <mergeCell ref="M40:O40"/>
    <mergeCell ref="M41:O41"/>
    <mergeCell ref="M42:O42"/>
    <mergeCell ref="O29:R29"/>
    <mergeCell ref="M32:O32"/>
    <mergeCell ref="M33:O33"/>
    <mergeCell ref="M34:O34"/>
    <mergeCell ref="M35:O35"/>
    <mergeCell ref="M36:O36"/>
    <mergeCell ref="C26:F26"/>
    <mergeCell ref="I26:L26"/>
    <mergeCell ref="O26:R26"/>
    <mergeCell ref="A27:L27"/>
    <mergeCell ref="O27:R27"/>
    <mergeCell ref="C28:F28"/>
    <mergeCell ref="I28:L28"/>
    <mergeCell ref="O28:R28"/>
    <mergeCell ref="C24:F24"/>
    <mergeCell ref="I24:L24"/>
    <mergeCell ref="O24:R24"/>
    <mergeCell ref="C25:F25"/>
    <mergeCell ref="I25:L25"/>
    <mergeCell ref="O25:R25"/>
    <mergeCell ref="C22:F22"/>
    <mergeCell ref="I22:L22"/>
    <mergeCell ref="O22:R22"/>
    <mergeCell ref="C23:F23"/>
    <mergeCell ref="I23:L23"/>
    <mergeCell ref="O23:R23"/>
    <mergeCell ref="C20:F20"/>
    <mergeCell ref="I20:L20"/>
    <mergeCell ref="O20:R20"/>
    <mergeCell ref="C21:F21"/>
    <mergeCell ref="I21:L21"/>
    <mergeCell ref="O21:R21"/>
    <mergeCell ref="C18:F18"/>
    <mergeCell ref="I18:L18"/>
    <mergeCell ref="O18:R18"/>
    <mergeCell ref="C19:F19"/>
    <mergeCell ref="I19:L19"/>
    <mergeCell ref="O19:R19"/>
    <mergeCell ref="C16:F16"/>
    <mergeCell ref="I16:L16"/>
    <mergeCell ref="O16:R16"/>
    <mergeCell ref="C17:F17"/>
    <mergeCell ref="I17:L17"/>
    <mergeCell ref="O17:R17"/>
    <mergeCell ref="C10:J10"/>
    <mergeCell ref="N10:O10"/>
    <mergeCell ref="Q10:R10"/>
    <mergeCell ref="A13:R13"/>
    <mergeCell ref="C15:F15"/>
    <mergeCell ref="I15:L15"/>
    <mergeCell ref="O15:R15"/>
    <mergeCell ref="A1:R1"/>
    <mergeCell ref="A2:R2"/>
    <mergeCell ref="A3:R3"/>
    <mergeCell ref="A4:R4"/>
    <mergeCell ref="J7:K7"/>
    <mergeCell ref="F8:J9"/>
    <mergeCell ref="M9:R9"/>
  </mergeCells>
  <conditionalFormatting sqref="M70:M80 M98:O104 A70:A79 I81:L81 C81:F81 C28:F28 I28:L28 M84:O86 M91:O95 M17:M27 A17:A26 C17:G26 I17:L26 O17:R29 C70:G79 I70:L79 O70:R82">
    <cfRule type="cellIs" dxfId="2" priority="3" stopIfTrue="1" operator="equal">
      <formula>0</formula>
    </cfRule>
  </conditionalFormatting>
  <conditionalFormatting sqref="A17:A29 B28:L29 B17:L26 M17:R29">
    <cfRule type="containsErrors" dxfId="1" priority="2" stopIfTrue="1">
      <formula>ISERROR(A17)</formula>
    </cfRule>
  </conditionalFormatting>
  <conditionalFormatting sqref="F7 J7:K7 O7 C10:J10">
    <cfRule type="cellIs" dxfId="0" priority="1" stopIfTrue="1" operator="equal">
      <formula>0</formula>
    </cfRule>
  </conditionalFormatting>
  <dataValidations count="2">
    <dataValidation type="list" allowBlank="1" showInputMessage="1" showErrorMessage="1" sqref="Q10:R10" xr:uid="{6B9D12A5-698B-4C76-943E-30E8FF2732D1}">
      <formula1>$X$1:$X$16</formula1>
    </dataValidation>
    <dataValidation type="list" allowBlank="1" showErrorMessage="1" prompt="_x000a_" sqref="N10:O10" xr:uid="{A2B5F233-350E-4AC7-B979-BDE9D3356FC1}">
      <formula1>$V$1:$V$13</formula1>
    </dataValidation>
  </dataValidations>
  <printOptions horizontalCentered="1"/>
  <pageMargins left="0" right="0" top="0" bottom="0" header="0" footer="0"/>
  <pageSetup paperSize="5" scale="85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Resumen FA (Mensual) 51</vt:lpstr>
      <vt:lpstr>'Resumen FA (Mensual) 51'!Print_Area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2026-03-16T13:55:09Z</dcterms:created>
  <dcterms:modified xsi:type="dcterms:W3CDTF">2026-03-16T13:56:08Z</dcterms:modified>
</cp:coreProperties>
</file>