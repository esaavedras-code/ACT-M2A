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M2A (GD)\CARRETERAS\DOCUMENTOS CARRETERAS\FORMAS Y DOCUMENTOS ACT\Force account\"/>
    </mc:Choice>
  </mc:AlternateContent>
  <xr:revisionPtr revIDLastSave="0" documentId="8_{D2D9AF08-9DC2-4D82-A5F7-7C94CAE08BC5}" xr6:coauthVersionLast="47" xr6:coauthVersionMax="47" xr10:uidLastSave="{00000000-0000-0000-0000-000000000000}"/>
  <bookViews>
    <workbookView xWindow="-28920" yWindow="-1950" windowWidth="29040" windowHeight="15720" xr2:uid="{704C9F01-1610-4963-83D0-427EA9BAF448}"/>
  </bookViews>
  <sheets>
    <sheet name="Inf. Diario 49" sheetId="1" r:id="rId1"/>
  </sheets>
  <externalReferences>
    <externalReference r:id="rId2"/>
  </externalReferences>
  <definedNames>
    <definedName name="Desc_EQ">[1]DBPCFA!$Q:$Q</definedName>
    <definedName name="Desc_Equipos">'Inf. Diario 49'!$AC$3:$AC$152</definedName>
    <definedName name="Desc_MS">[1]DBPCFA!$Z:$Z</definedName>
    <definedName name="Descripción">OFFSET(Desc_Equipos,0,0,'Inf. Diario 49'!$AC$1,1)</definedName>
    <definedName name="Dia_ID">OFFSET('Inf. Diario 49'!$T$2:$T$34,0,0,'Inf. Diario 49'!$U$2,1)</definedName>
    <definedName name="EQ_Cont">'[1]Equipo Contratista'!$A:$K</definedName>
    <definedName name="EQ_HAct">[1]DBPCFA!$R:$R</definedName>
    <definedName name="EQ_HInac">[1]DBPCFA!$S:$S</definedName>
    <definedName name="Equipos">'[1]Equipo Contratista'!$A$2:$K$151</definedName>
    <definedName name="Fecha_Inf_EQ">[1]DBPCFA!$O:$O</definedName>
    <definedName name="Fecha_Inf_MS">[1]DBPCFA!$X:$X</definedName>
    <definedName name="Fecha_Inf_PC">[1]DBPCFA!$C:$C</definedName>
    <definedName name="Loc_EQ">[1]DBPCFA!$L:$L</definedName>
    <definedName name="Loc_MS">[1]DBPCFA!$V:$V</definedName>
    <definedName name="Loc_PC">[1]DBPCFA!$A:$A</definedName>
    <definedName name="Mes_FA_PC">[1]DBPCFA!$D:$D</definedName>
    <definedName name="MY_FA">[1]DBPCFA!$AL:$AL</definedName>
    <definedName name="Nombre_Apellidos">'[1]Empleados Contratista'!$A$2:$A$51</definedName>
    <definedName name="Nombre_y_Apellidos">'Inf. Diario 49'!$AB$3:$AB$52</definedName>
    <definedName name="Nombres">OFFSET(Nombre_y_Apellidos,0,0,'Inf. Diario 49'!$AB$1,1)</definedName>
    <definedName name="Pag_CO">[1]DBPCFA!$AG:$AG</definedName>
    <definedName name="Pag_PC">[1]DBPCFA!$B:$B</definedName>
    <definedName name="_xlnm.Print_Area" localSheetId="0">'Inf. Diario 49'!$B$2:$L$87,'Inf. Diario 49'!$B$91:$L$172</definedName>
    <definedName name="Total_MS">[1]DBPCFA!$AD:$AD</definedName>
    <definedName name="Total_PC">[1]DBPCFA!$H:$H</definedName>
    <definedName name="Union_PC">[1]DBPCFA!$I:$I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1" i="1" l="1"/>
  <c r="F171" i="1"/>
  <c r="B171" i="1"/>
  <c r="O162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K132" i="1"/>
  <c r="AC131" i="1"/>
  <c r="AC130" i="1"/>
  <c r="AC129" i="1"/>
  <c r="O129" i="1"/>
  <c r="AC128" i="1"/>
  <c r="AC127" i="1"/>
  <c r="O127" i="1"/>
  <c r="AC126" i="1"/>
  <c r="AC125" i="1"/>
  <c r="O125" i="1"/>
  <c r="AC124" i="1"/>
  <c r="AC123" i="1"/>
  <c r="O123" i="1"/>
  <c r="AC122" i="1"/>
  <c r="AC121" i="1"/>
  <c r="O121" i="1"/>
  <c r="AC120" i="1"/>
  <c r="AC119" i="1"/>
  <c r="O119" i="1"/>
  <c r="AC118" i="1"/>
  <c r="AC117" i="1"/>
  <c r="O117" i="1"/>
  <c r="AC116" i="1"/>
  <c r="AC115" i="1"/>
  <c r="O115" i="1"/>
  <c r="AC114" i="1"/>
  <c r="AC113" i="1"/>
  <c r="O113" i="1"/>
  <c r="AC112" i="1"/>
  <c r="AC111" i="1"/>
  <c r="O111" i="1"/>
  <c r="AC110" i="1"/>
  <c r="AC109" i="1"/>
  <c r="O109" i="1"/>
  <c r="AC108" i="1"/>
  <c r="AC107" i="1"/>
  <c r="O107" i="1"/>
  <c r="AC106" i="1"/>
  <c r="AC105" i="1"/>
  <c r="O105" i="1"/>
  <c r="AC104" i="1"/>
  <c r="AC103" i="1"/>
  <c r="O103" i="1"/>
  <c r="AC102" i="1"/>
  <c r="AC101" i="1"/>
  <c r="O101" i="1"/>
  <c r="O131" i="1" s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O81" i="1"/>
  <c r="AC80" i="1"/>
  <c r="AC79" i="1"/>
  <c r="O79" i="1"/>
  <c r="I79" i="1"/>
  <c r="H79" i="1"/>
  <c r="F79" i="1"/>
  <c r="E79" i="1"/>
  <c r="D79" i="1"/>
  <c r="AC78" i="1"/>
  <c r="AC77" i="1"/>
  <c r="O77" i="1"/>
  <c r="I77" i="1"/>
  <c r="H77" i="1"/>
  <c r="F77" i="1"/>
  <c r="E77" i="1"/>
  <c r="D77" i="1"/>
  <c r="AC76" i="1"/>
  <c r="AC75" i="1"/>
  <c r="O75" i="1"/>
  <c r="I75" i="1"/>
  <c r="H75" i="1"/>
  <c r="F75" i="1"/>
  <c r="E75" i="1"/>
  <c r="D75" i="1"/>
  <c r="AC74" i="1"/>
  <c r="AC73" i="1"/>
  <c r="O73" i="1"/>
  <c r="I73" i="1"/>
  <c r="H73" i="1"/>
  <c r="F73" i="1"/>
  <c r="E73" i="1"/>
  <c r="D73" i="1"/>
  <c r="AC72" i="1"/>
  <c r="AC71" i="1"/>
  <c r="O71" i="1"/>
  <c r="I71" i="1"/>
  <c r="H71" i="1"/>
  <c r="F71" i="1"/>
  <c r="E71" i="1"/>
  <c r="D71" i="1"/>
  <c r="AC70" i="1"/>
  <c r="AC69" i="1"/>
  <c r="O69" i="1"/>
  <c r="I69" i="1"/>
  <c r="H69" i="1"/>
  <c r="F69" i="1"/>
  <c r="E69" i="1"/>
  <c r="D69" i="1"/>
  <c r="AC68" i="1"/>
  <c r="AC67" i="1"/>
  <c r="O67" i="1"/>
  <c r="I67" i="1"/>
  <c r="H67" i="1"/>
  <c r="F67" i="1"/>
  <c r="E67" i="1"/>
  <c r="D67" i="1"/>
  <c r="AC66" i="1"/>
  <c r="AC65" i="1"/>
  <c r="O65" i="1"/>
  <c r="I65" i="1"/>
  <c r="H65" i="1"/>
  <c r="F65" i="1"/>
  <c r="E65" i="1"/>
  <c r="D65" i="1"/>
  <c r="AC64" i="1"/>
  <c r="AC63" i="1"/>
  <c r="O63" i="1"/>
  <c r="I63" i="1"/>
  <c r="H63" i="1"/>
  <c r="F63" i="1"/>
  <c r="E63" i="1"/>
  <c r="D63" i="1"/>
  <c r="AC62" i="1"/>
  <c r="AC61" i="1"/>
  <c r="O61" i="1"/>
  <c r="I61" i="1"/>
  <c r="H61" i="1"/>
  <c r="F61" i="1"/>
  <c r="E61" i="1"/>
  <c r="D61" i="1"/>
  <c r="AC60" i="1"/>
  <c r="AC59" i="1"/>
  <c r="AC58" i="1"/>
  <c r="AC57" i="1"/>
  <c r="AC56" i="1"/>
  <c r="AC55" i="1"/>
  <c r="AC54" i="1"/>
  <c r="AC53" i="1"/>
  <c r="F53" i="1"/>
  <c r="D53" i="1"/>
  <c r="B53" i="1"/>
  <c r="AC52" i="1"/>
  <c r="AB52" i="1"/>
  <c r="AC51" i="1"/>
  <c r="AB51" i="1"/>
  <c r="AC50" i="1"/>
  <c r="AB50" i="1"/>
  <c r="J50" i="1"/>
  <c r="I50" i="1"/>
  <c r="B50" i="1"/>
  <c r="AC49" i="1"/>
  <c r="AB49" i="1"/>
  <c r="Q49" i="1"/>
  <c r="O49" i="1" s="1"/>
  <c r="K49" i="1"/>
  <c r="J49" i="1"/>
  <c r="I49" i="1"/>
  <c r="E49" i="1"/>
  <c r="AC48" i="1"/>
  <c r="AB48" i="1"/>
  <c r="J48" i="1"/>
  <c r="I48" i="1"/>
  <c r="B48" i="1"/>
  <c r="AC47" i="1"/>
  <c r="AB47" i="1"/>
  <c r="Q47" i="1"/>
  <c r="O47" i="1" s="1"/>
  <c r="K47" i="1"/>
  <c r="J47" i="1"/>
  <c r="I47" i="1"/>
  <c r="E47" i="1"/>
  <c r="AC46" i="1"/>
  <c r="AB46" i="1"/>
  <c r="J46" i="1"/>
  <c r="I46" i="1"/>
  <c r="B46" i="1"/>
  <c r="AC45" i="1"/>
  <c r="AB45" i="1"/>
  <c r="Q45" i="1"/>
  <c r="O45" i="1"/>
  <c r="K45" i="1"/>
  <c r="J45" i="1"/>
  <c r="I45" i="1"/>
  <c r="E45" i="1"/>
  <c r="AC44" i="1"/>
  <c r="AB44" i="1"/>
  <c r="J44" i="1"/>
  <c r="I44" i="1"/>
  <c r="B44" i="1"/>
  <c r="AC43" i="1"/>
  <c r="AB43" i="1"/>
  <c r="Q43" i="1"/>
  <c r="O43" i="1" s="1"/>
  <c r="K43" i="1"/>
  <c r="J43" i="1"/>
  <c r="I43" i="1"/>
  <c r="E43" i="1"/>
  <c r="AC42" i="1"/>
  <c r="AB42" i="1"/>
  <c r="J42" i="1"/>
  <c r="I42" i="1"/>
  <c r="B42" i="1"/>
  <c r="AC41" i="1"/>
  <c r="AB41" i="1"/>
  <c r="Q41" i="1"/>
  <c r="O41" i="1"/>
  <c r="K41" i="1"/>
  <c r="J41" i="1"/>
  <c r="I41" i="1"/>
  <c r="E41" i="1"/>
  <c r="AC40" i="1"/>
  <c r="AB40" i="1"/>
  <c r="J40" i="1"/>
  <c r="I40" i="1"/>
  <c r="B40" i="1"/>
  <c r="AC39" i="1"/>
  <c r="AB39" i="1"/>
  <c r="Q39" i="1"/>
  <c r="O39" i="1" s="1"/>
  <c r="K39" i="1"/>
  <c r="J39" i="1"/>
  <c r="I39" i="1"/>
  <c r="E39" i="1"/>
  <c r="AC38" i="1"/>
  <c r="AB38" i="1"/>
  <c r="J38" i="1"/>
  <c r="I38" i="1"/>
  <c r="B38" i="1"/>
  <c r="AC37" i="1"/>
  <c r="AB37" i="1"/>
  <c r="Q37" i="1"/>
  <c r="O37" i="1"/>
  <c r="K37" i="1"/>
  <c r="J37" i="1"/>
  <c r="I37" i="1"/>
  <c r="E37" i="1"/>
  <c r="AC36" i="1"/>
  <c r="AB36" i="1"/>
  <c r="J36" i="1"/>
  <c r="I36" i="1"/>
  <c r="B36" i="1"/>
  <c r="AC35" i="1"/>
  <c r="AB35" i="1"/>
  <c r="Q35" i="1"/>
  <c r="O35" i="1"/>
  <c r="K35" i="1"/>
  <c r="J35" i="1"/>
  <c r="I35" i="1"/>
  <c r="E35" i="1"/>
  <c r="AC34" i="1"/>
  <c r="AB34" i="1"/>
  <c r="J34" i="1"/>
  <c r="I34" i="1"/>
  <c r="B34" i="1"/>
  <c r="AC33" i="1"/>
  <c r="AB33" i="1"/>
  <c r="Q33" i="1"/>
  <c r="O33" i="1" s="1"/>
  <c r="K33" i="1"/>
  <c r="J33" i="1"/>
  <c r="I33" i="1"/>
  <c r="E33" i="1"/>
  <c r="AC32" i="1"/>
  <c r="AB32" i="1"/>
  <c r="J32" i="1"/>
  <c r="I32" i="1"/>
  <c r="B32" i="1"/>
  <c r="AC31" i="1"/>
  <c r="AB31" i="1"/>
  <c r="Q31" i="1"/>
  <c r="O31" i="1" s="1"/>
  <c r="K31" i="1"/>
  <c r="J31" i="1"/>
  <c r="I31" i="1"/>
  <c r="E31" i="1"/>
  <c r="AC30" i="1"/>
  <c r="AB30" i="1"/>
  <c r="J30" i="1"/>
  <c r="I30" i="1"/>
  <c r="B30" i="1"/>
  <c r="AC29" i="1"/>
  <c r="AB29" i="1"/>
  <c r="Q29" i="1"/>
  <c r="O29" i="1" s="1"/>
  <c r="K29" i="1"/>
  <c r="J29" i="1"/>
  <c r="I29" i="1"/>
  <c r="E29" i="1"/>
  <c r="AC28" i="1"/>
  <c r="AB28" i="1"/>
  <c r="J28" i="1"/>
  <c r="I28" i="1"/>
  <c r="B28" i="1"/>
  <c r="AC27" i="1"/>
  <c r="AB27" i="1"/>
  <c r="Q27" i="1"/>
  <c r="O27" i="1"/>
  <c r="K27" i="1"/>
  <c r="J27" i="1"/>
  <c r="I27" i="1"/>
  <c r="E27" i="1"/>
  <c r="AC26" i="1"/>
  <c r="AB26" i="1"/>
  <c r="J26" i="1"/>
  <c r="I26" i="1"/>
  <c r="B26" i="1"/>
  <c r="AC25" i="1"/>
  <c r="AB25" i="1"/>
  <c r="Q25" i="1"/>
  <c r="O25" i="1" s="1"/>
  <c r="K25" i="1"/>
  <c r="J25" i="1"/>
  <c r="I25" i="1"/>
  <c r="E25" i="1"/>
  <c r="AC24" i="1"/>
  <c r="AB24" i="1"/>
  <c r="J24" i="1"/>
  <c r="I24" i="1"/>
  <c r="B24" i="1"/>
  <c r="AC23" i="1"/>
  <c r="AB23" i="1"/>
  <c r="Q23" i="1"/>
  <c r="O23" i="1"/>
  <c r="K23" i="1"/>
  <c r="J23" i="1"/>
  <c r="I23" i="1"/>
  <c r="E23" i="1"/>
  <c r="AC22" i="1"/>
  <c r="AB22" i="1"/>
  <c r="J22" i="1"/>
  <c r="I22" i="1"/>
  <c r="B22" i="1"/>
  <c r="AC21" i="1"/>
  <c r="AB21" i="1"/>
  <c r="Q21" i="1"/>
  <c r="O21" i="1"/>
  <c r="K21" i="1"/>
  <c r="K54" i="1" s="1"/>
  <c r="J21" i="1"/>
  <c r="I21" i="1"/>
  <c r="E21" i="1"/>
  <c r="AC20" i="1"/>
  <c r="AB20" i="1"/>
  <c r="AC19" i="1"/>
  <c r="AB19" i="1"/>
  <c r="AC18" i="1"/>
  <c r="AB18" i="1"/>
  <c r="AC17" i="1"/>
  <c r="AB17" i="1"/>
  <c r="AC16" i="1"/>
  <c r="AB16" i="1"/>
  <c r="AC15" i="1"/>
  <c r="AB15" i="1"/>
  <c r="L15" i="1"/>
  <c r="D15" i="1"/>
  <c r="AC14" i="1"/>
  <c r="AB14" i="1"/>
  <c r="AC13" i="1"/>
  <c r="AB13" i="1"/>
  <c r="L13" i="1"/>
  <c r="AC12" i="1"/>
  <c r="AB12" i="1"/>
  <c r="AC11" i="1"/>
  <c r="AB11" i="1"/>
  <c r="D11" i="1"/>
  <c r="AC10" i="1"/>
  <c r="AB10" i="1"/>
  <c r="AC9" i="1"/>
  <c r="AB9" i="1"/>
  <c r="K9" i="1"/>
  <c r="H9" i="1"/>
  <c r="E9" i="1"/>
  <c r="AC8" i="1"/>
  <c r="AB8" i="1"/>
  <c r="AB1" i="1" s="1"/>
  <c r="AC7" i="1"/>
  <c r="AB7" i="1"/>
  <c r="AC6" i="1"/>
  <c r="AB6" i="1"/>
  <c r="AC5" i="1"/>
  <c r="AB5" i="1"/>
  <c r="AC4" i="1"/>
  <c r="AB4" i="1"/>
  <c r="W4" i="1"/>
  <c r="T21" i="1" s="1"/>
  <c r="AC3" i="1"/>
  <c r="AC1" i="1" s="1"/>
  <c r="AB3" i="1"/>
  <c r="W3" i="1"/>
  <c r="W2" i="1" s="1"/>
  <c r="Q1" i="1"/>
  <c r="T31" i="1" l="1"/>
  <c r="T28" i="1"/>
  <c r="T16" i="1"/>
  <c r="T14" i="1"/>
  <c r="T5" i="1"/>
  <c r="T27" i="1"/>
  <c r="T10" i="1"/>
  <c r="T25" i="1"/>
  <c r="T24" i="1"/>
  <c r="T22" i="1"/>
  <c r="T17" i="1"/>
  <c r="T6" i="1"/>
  <c r="T4" i="1"/>
  <c r="O51" i="1"/>
  <c r="Q5" i="1" s="1"/>
  <c r="T20" i="1"/>
  <c r="T23" i="1"/>
  <c r="T7" i="1"/>
  <c r="T11" i="1"/>
  <c r="T18" i="1"/>
  <c r="T32" i="1"/>
  <c r="T3" i="1"/>
  <c r="U2" i="1" s="1"/>
  <c r="T9" i="1"/>
  <c r="T30" i="1"/>
  <c r="T33" i="1"/>
  <c r="T8" i="1"/>
  <c r="T12" i="1"/>
  <c r="T19" i="1"/>
  <c r="T26" i="1"/>
  <c r="T29" i="1"/>
  <c r="T13" i="1"/>
  <c r="T15" i="1"/>
</calcChain>
</file>

<file path=xl/sharedStrings.xml><?xml version="1.0" encoding="utf-8"?>
<sst xmlns="http://schemas.openxmlformats.org/spreadsheetml/2006/main" count="108" uniqueCount="77">
  <si>
    <t>Rep. ID</t>
  </si>
  <si>
    <t>Estado Libre Asociado de Puerto Rico</t>
  </si>
  <si>
    <t>Saved</t>
  </si>
  <si>
    <t>Seleccione Fecha</t>
  </si>
  <si>
    <t>Mes</t>
  </si>
  <si>
    <t>Año</t>
  </si>
  <si>
    <t>Nombre_y_Apellidos</t>
  </si>
  <si>
    <t>Desc_Equipos</t>
  </si>
  <si>
    <t>Departamento de Transportación y Obras Públicas</t>
  </si>
  <si>
    <t>Page</t>
  </si>
  <si>
    <t>Enero</t>
  </si>
  <si>
    <t>AUTORIDAD DE CARRETERAS Y TRANSPORTACIÓN</t>
  </si>
  <si>
    <t>Pages</t>
  </si>
  <si>
    <t>Febrero</t>
  </si>
  <si>
    <t>Área de Construcción</t>
  </si>
  <si>
    <t>N&amp;E</t>
  </si>
  <si>
    <t>Marzo</t>
  </si>
  <si>
    <t>From RM</t>
  </si>
  <si>
    <t>Abril</t>
  </si>
  <si>
    <t>Mayo</t>
  </si>
  <si>
    <t>DIARIO DE TRABAJO POR ADMINISTRACIÓN DELEGADA</t>
  </si>
  <si>
    <t>Junio</t>
  </si>
  <si>
    <t xml:space="preserve">FORCE ACCOUNT  NÚM:  </t>
  </si>
  <si>
    <t xml:space="preserve">PARTIDA NÚM:  </t>
  </si>
  <si>
    <t xml:space="preserve">EWO  NÚM:  </t>
  </si>
  <si>
    <t>Julio</t>
  </si>
  <si>
    <t>Contador Empleado</t>
  </si>
  <si>
    <t>Orden del Empleado</t>
  </si>
  <si>
    <t>Agosto</t>
  </si>
  <si>
    <t>Septiembre</t>
  </si>
  <si>
    <t>Nombre y Número de Proyecto:</t>
  </si>
  <si>
    <t>Fecha:</t>
  </si>
  <si>
    <t>Octubre</t>
  </si>
  <si>
    <t>Día de la Semana</t>
  </si>
  <si>
    <t>Noviembre</t>
  </si>
  <si>
    <t>Diciembre</t>
  </si>
  <si>
    <t>Contratista:</t>
  </si>
  <si>
    <t>Informe Número</t>
  </si>
  <si>
    <t>MANO DE OBRA</t>
  </si>
  <si>
    <t>Nombre y Seguro Social</t>
  </si>
  <si>
    <t>Clasificación</t>
  </si>
  <si>
    <t>Horas</t>
  </si>
  <si>
    <t>Salario       por hora</t>
  </si>
  <si>
    <t>Cantidad</t>
  </si>
  <si>
    <t>Cantidad Total</t>
  </si>
  <si>
    <t>Unión</t>
  </si>
  <si>
    <t>Regular</t>
  </si>
  <si>
    <t>Doble</t>
  </si>
  <si>
    <t>Subtotal Unión Operadores</t>
  </si>
  <si>
    <t>Subtotal Unión Carpinteros</t>
  </si>
  <si>
    <t>Subtotal Personal Adicional</t>
  </si>
  <si>
    <t>Subtotal Mano de Obra</t>
  </si>
  <si>
    <t>EQUIPO</t>
  </si>
  <si>
    <t>Descripción</t>
  </si>
  <si>
    <t>Modelo</t>
  </si>
  <si>
    <t>Capacidad</t>
  </si>
  <si>
    <t>Gasolina /Diesel</t>
  </si>
  <si>
    <t>Alquilado /Propio</t>
  </si>
  <si>
    <t>Horras</t>
  </si>
  <si>
    <t xml:space="preserve">Activas </t>
  </si>
  <si>
    <t>Inactivas</t>
  </si>
  <si>
    <t>Reparación</t>
  </si>
  <si>
    <t>Observaciones:</t>
  </si>
  <si>
    <t>MATERIALES Y/O SERVICIOS</t>
  </si>
  <si>
    <t>Tipo       (M) mat. (S) Serv.</t>
  </si>
  <si>
    <t>Materiales Usados y/o Servicios Prestados</t>
  </si>
  <si>
    <t>Vendedor</t>
  </si>
  <si>
    <t>Número de              Factura o Conduce</t>
  </si>
  <si>
    <t>Total      $</t>
  </si>
  <si>
    <t>Detalle de Trabajo Ejecutado</t>
  </si>
  <si>
    <t>Certificamos que el total de mano de obra, horas trabajadas por el equipo y las cantidades de los materiales y/o servicios que se indican en este documento son correctos</t>
  </si>
  <si>
    <t>Sometido por:</t>
  </si>
  <si>
    <t>Cotejado por:</t>
  </si>
  <si>
    <t>Aceptado por:</t>
  </si>
  <si>
    <t>Administrador de Proyecto</t>
  </si>
  <si>
    <t>Liquidador Oficial</t>
  </si>
  <si>
    <t>Contratista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</si>
</sst>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d\-mmm;@"/>
    <numFmt numFmtId="165" formatCode="&quot;$&quot;#,##0.00"/>
    <numFmt numFmtId="166" formatCode="000\-00\-0000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sz val="10"/>
      <color theme="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2">
    <xf numFmtId="0" fontId="0" fillId="0" borderId="0" xfId="0"/>
    <xf numFmtId="0" fontId="0" fillId="0" borderId="0" xfId="0" applyProtection="1">
      <protection hidden="1"/>
    </xf>
    <xf numFmtId="0" fontId="2" fillId="2" borderId="0" xfId="0" applyFont="1" applyFill="1" applyAlignment="1" applyProtection="1">
      <alignment horizontal="right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/>
      <protection hidden="1"/>
    </xf>
    <xf numFmtId="164" fontId="0" fillId="0" borderId="0" xfId="0" applyNumberFormat="1" applyAlignment="1" applyProtection="1">
      <alignment horizontal="center"/>
      <protection hidden="1"/>
    </xf>
    <xf numFmtId="17" fontId="0" fillId="0" borderId="0" xfId="0" applyNumberFormat="1" applyProtection="1">
      <protection hidden="1"/>
    </xf>
    <xf numFmtId="17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3" fillId="3" borderId="0" xfId="0" applyFont="1" applyFill="1" applyAlignment="1" applyProtection="1">
      <alignment horizontal="right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" fillId="0" borderId="0" xfId="0" applyFont="1" applyAlignment="1" applyProtection="1">
      <alignment horizontal="center" textRotation="90"/>
      <protection hidden="1"/>
    </xf>
    <xf numFmtId="0" fontId="1" fillId="0" borderId="0" xfId="0" applyFont="1" applyAlignment="1" applyProtection="1">
      <alignment horizontal="center" textRotation="90"/>
      <protection hidden="1"/>
    </xf>
    <xf numFmtId="0" fontId="5" fillId="0" borderId="0" xfId="0" applyFont="1" applyAlignment="1" applyProtection="1">
      <alignment horizontal="left" wrapText="1"/>
      <protection hidden="1"/>
    </xf>
    <xf numFmtId="0" fontId="0" fillId="0" borderId="0" xfId="0" applyAlignment="1" applyProtection="1">
      <alignment horizontal="center" textRotation="90"/>
      <protection hidden="1"/>
    </xf>
    <xf numFmtId="0" fontId="1" fillId="0" borderId="0" xfId="0" applyFont="1" applyAlignment="1" applyProtection="1">
      <alignment horizontal="left" wrapText="1"/>
      <protection hidden="1"/>
    </xf>
    <xf numFmtId="0" fontId="0" fillId="0" borderId="0" xfId="0" applyAlignment="1" applyProtection="1">
      <alignment horizontal="left" wrapText="1"/>
      <protection hidden="1"/>
    </xf>
    <xf numFmtId="15" fontId="5" fillId="2" borderId="2" xfId="0" applyNumberFormat="1" applyFont="1" applyFill="1" applyBorder="1" applyAlignment="1" applyProtection="1">
      <alignment horizontal="center"/>
      <protection locked="0"/>
    </xf>
    <xf numFmtId="15" fontId="5" fillId="2" borderId="3" xfId="0" applyNumberFormat="1" applyFont="1" applyFill="1" applyBorder="1" applyAlignment="1" applyProtection="1">
      <alignment horizontal="center"/>
      <protection locked="0"/>
    </xf>
    <xf numFmtId="15" fontId="5" fillId="0" borderId="0" xfId="0" applyNumberFormat="1" applyFont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left" wrapText="1"/>
      <protection hidden="1"/>
    </xf>
    <xf numFmtId="0" fontId="0" fillId="0" borderId="0" xfId="0" applyAlignment="1" applyProtection="1">
      <alignment horizontal="left"/>
      <protection hidden="1"/>
    </xf>
    <xf numFmtId="0" fontId="5" fillId="0" borderId="0" xfId="0" applyFont="1" applyAlignment="1" applyProtection="1">
      <alignment horizontal="center"/>
      <protection hidden="1"/>
    </xf>
    <xf numFmtId="4" fontId="0" fillId="0" borderId="0" xfId="0" applyNumberFormat="1" applyProtection="1">
      <protection hidden="1"/>
    </xf>
    <xf numFmtId="0" fontId="0" fillId="0" borderId="4" xfId="0" applyBorder="1" applyProtection="1">
      <protection hidden="1"/>
    </xf>
    <xf numFmtId="0" fontId="5" fillId="0" borderId="1" xfId="0" applyFont="1" applyBorder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4" fontId="6" fillId="0" borderId="5" xfId="0" applyNumberFormat="1" applyFont="1" applyBorder="1" applyAlignment="1" applyProtection="1">
      <alignment horizontal="center" vertical="center"/>
      <protection hidden="1"/>
    </xf>
    <xf numFmtId="4" fontId="6" fillId="0" borderId="6" xfId="0" applyNumberFormat="1" applyFont="1" applyBorder="1" applyAlignment="1" applyProtection="1">
      <alignment horizontal="center" vertical="center"/>
      <protection hidden="1"/>
    </xf>
    <xf numFmtId="4" fontId="6" fillId="0" borderId="7" xfId="0" applyNumberFormat="1" applyFont="1" applyBorder="1" applyAlignment="1" applyProtection="1">
      <alignment horizontal="center" vertical="center"/>
      <protection hidden="1"/>
    </xf>
    <xf numFmtId="4" fontId="6" fillId="0" borderId="0" xfId="0" applyNumberFormat="1" applyFont="1" applyAlignment="1" applyProtection="1">
      <alignment horizontal="center" vertical="center"/>
      <protection hidden="1"/>
    </xf>
    <xf numFmtId="4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4" fontId="6" fillId="0" borderId="8" xfId="0" applyNumberFormat="1" applyFont="1" applyBorder="1" applyAlignment="1" applyProtection="1">
      <alignment horizontal="center" vertical="center"/>
      <protection hidden="1"/>
    </xf>
    <xf numFmtId="4" fontId="6" fillId="0" borderId="9" xfId="0" applyNumberFormat="1" applyFont="1" applyBorder="1" applyAlignment="1" applyProtection="1">
      <alignment horizontal="center" vertical="center"/>
      <protection hidden="1"/>
    </xf>
    <xf numFmtId="4" fontId="6" fillId="0" borderId="10" xfId="0" applyNumberFormat="1" applyFont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4" fontId="0" fillId="0" borderId="9" xfId="0" applyNumberFormat="1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 wrapText="1"/>
      <protection hidden="1"/>
    </xf>
    <xf numFmtId="0" fontId="0" fillId="0" borderId="10" xfId="0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9" xfId="0" applyBorder="1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" fillId="2" borderId="11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hidden="1"/>
    </xf>
    <xf numFmtId="0" fontId="0" fillId="0" borderId="12" xfId="0" applyBorder="1" applyAlignment="1" applyProtection="1">
      <alignment horizontal="center" vertical="center" wrapText="1"/>
      <protection hidden="1"/>
    </xf>
    <xf numFmtId="0" fontId="0" fillId="0" borderId="9" xfId="0" applyBorder="1" applyAlignment="1" applyProtection="1">
      <alignment horizontal="center"/>
      <protection hidden="1"/>
    </xf>
    <xf numFmtId="4" fontId="0" fillId="2" borderId="9" xfId="0" applyNumberFormat="1" applyFill="1" applyBorder="1" applyProtection="1">
      <protection locked="0"/>
    </xf>
    <xf numFmtId="165" fontId="0" fillId="0" borderId="9" xfId="0" applyNumberFormat="1" applyBorder="1" applyProtection="1">
      <protection hidden="1"/>
    </xf>
    <xf numFmtId="165" fontId="0" fillId="0" borderId="13" xfId="0" applyNumberFormat="1" applyBorder="1" applyAlignment="1" applyProtection="1">
      <alignment horizontal="center" vertical="center"/>
      <protection hidden="1"/>
    </xf>
    <xf numFmtId="165" fontId="0" fillId="0" borderId="14" xfId="0" applyNumberFormat="1" applyBorder="1" applyAlignment="1" applyProtection="1">
      <alignment horizontal="center" vertical="center"/>
      <protection hidden="1"/>
    </xf>
    <xf numFmtId="165" fontId="0" fillId="0" borderId="0" xfId="0" applyNumberFormat="1" applyAlignment="1" applyProtection="1">
      <alignment horizontal="center" vertical="center"/>
      <protection hidden="1"/>
    </xf>
    <xf numFmtId="166" fontId="0" fillId="0" borderId="15" xfId="0" applyNumberFormat="1" applyBorder="1" applyAlignment="1" applyProtection="1">
      <alignment horizontal="center" vertical="center" wrapText="1"/>
      <protection hidden="1"/>
    </xf>
    <xf numFmtId="166" fontId="0" fillId="0" borderId="1" xfId="0" applyNumberFormat="1" applyBorder="1" applyAlignment="1" applyProtection="1">
      <alignment horizontal="center" vertical="center" wrapText="1"/>
      <protection hidden="1"/>
    </xf>
    <xf numFmtId="166" fontId="0" fillId="0" borderId="16" xfId="0" applyNumberFormat="1" applyBorder="1" applyAlignment="1" applyProtection="1">
      <alignment horizontal="center" vertical="center" wrapText="1"/>
      <protection hidden="1"/>
    </xf>
    <xf numFmtId="0" fontId="0" fillId="0" borderId="17" xfId="0" applyBorder="1" applyAlignment="1" applyProtection="1">
      <alignment horizontal="center" vertical="center" wrapText="1"/>
      <protection hidden="1"/>
    </xf>
    <xf numFmtId="0" fontId="0" fillId="0" borderId="16" xfId="0" applyBorder="1" applyAlignment="1" applyProtection="1">
      <alignment horizontal="center" vertical="center" wrapText="1"/>
      <protection hidden="1"/>
    </xf>
    <xf numFmtId="165" fontId="0" fillId="0" borderId="17" xfId="0" applyNumberFormat="1" applyBorder="1" applyAlignment="1" applyProtection="1">
      <alignment horizontal="center" vertical="center"/>
      <protection hidden="1"/>
    </xf>
    <xf numFmtId="165" fontId="0" fillId="0" borderId="18" xfId="0" applyNumberFormat="1" applyBorder="1" applyAlignment="1" applyProtection="1">
      <alignment horizontal="center" vertical="center"/>
      <protection hidden="1"/>
    </xf>
    <xf numFmtId="166" fontId="0" fillId="0" borderId="19" xfId="0" applyNumberFormat="1" applyBorder="1" applyAlignment="1" applyProtection="1">
      <alignment horizontal="center" vertical="center" wrapText="1"/>
      <protection hidden="1"/>
    </xf>
    <xf numFmtId="166" fontId="0" fillId="0" borderId="0" xfId="0" applyNumberFormat="1" applyAlignment="1" applyProtection="1">
      <alignment horizontal="center" vertical="center" wrapText="1"/>
      <protection hidden="1"/>
    </xf>
    <xf numFmtId="166" fontId="0" fillId="0" borderId="20" xfId="0" applyNumberFormat="1" applyBorder="1" applyAlignment="1" applyProtection="1">
      <alignment horizontal="center" vertical="center" wrapText="1"/>
      <protection hidden="1"/>
    </xf>
    <xf numFmtId="0" fontId="0" fillId="0" borderId="21" xfId="0" applyBorder="1" applyAlignment="1" applyProtection="1">
      <alignment horizontal="center" vertical="center" wrapText="1"/>
      <protection hidden="1"/>
    </xf>
    <xf numFmtId="0" fontId="0" fillId="0" borderId="20" xfId="0" applyBorder="1" applyAlignment="1" applyProtection="1">
      <alignment horizontal="center" vertical="center" wrapText="1"/>
      <protection hidden="1"/>
    </xf>
    <xf numFmtId="0" fontId="0" fillId="0" borderId="22" xfId="0" applyBorder="1" applyAlignment="1" applyProtection="1">
      <alignment horizontal="center"/>
      <protection hidden="1"/>
    </xf>
    <xf numFmtId="4" fontId="0" fillId="2" borderId="22" xfId="0" applyNumberFormat="1" applyFill="1" applyBorder="1" applyProtection="1">
      <protection locked="0"/>
    </xf>
    <xf numFmtId="165" fontId="0" fillId="0" borderId="23" xfId="0" applyNumberFormat="1" applyBorder="1" applyProtection="1">
      <protection hidden="1"/>
    </xf>
    <xf numFmtId="165" fontId="0" fillId="0" borderId="24" xfId="0" applyNumberFormat="1" applyBorder="1" applyAlignment="1" applyProtection="1">
      <alignment horizontal="center" vertical="center"/>
      <protection hidden="1"/>
    </xf>
    <xf numFmtId="165" fontId="0" fillId="0" borderId="25" xfId="0" applyNumberForma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9" xfId="0" applyFont="1" applyBorder="1" applyAlignment="1" applyProtection="1">
      <alignment horizontal="center" vertical="center" wrapText="1"/>
      <protection hidden="1"/>
    </xf>
    <xf numFmtId="4" fontId="0" fillId="0" borderId="10" xfId="0" applyNumberFormat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165" fontId="0" fillId="0" borderId="8" xfId="0" applyNumberFormat="1" applyBorder="1" applyAlignment="1" applyProtection="1">
      <alignment horizontal="center" vertical="center"/>
      <protection hidden="1"/>
    </xf>
    <xf numFmtId="165" fontId="0" fillId="0" borderId="9" xfId="0" applyNumberFormat="1" applyBorder="1" applyAlignment="1" applyProtection="1">
      <alignment horizontal="center" vertical="center"/>
      <protection hidden="1"/>
    </xf>
    <xf numFmtId="165" fontId="0" fillId="0" borderId="10" xfId="0" applyNumberFormat="1" applyBorder="1" applyAlignment="1" applyProtection="1">
      <alignment horizontal="center" vertical="center"/>
      <protection hidden="1"/>
    </xf>
    <xf numFmtId="165" fontId="0" fillId="0" borderId="26" xfId="0" applyNumberFormat="1" applyBorder="1" applyAlignment="1" applyProtection="1">
      <alignment horizontal="center" vertical="center"/>
      <protection hidden="1"/>
    </xf>
    <xf numFmtId="165" fontId="0" fillId="0" borderId="23" xfId="0" applyNumberFormat="1" applyBorder="1" applyAlignment="1" applyProtection="1">
      <alignment horizontal="center" vertical="center"/>
      <protection hidden="1"/>
    </xf>
    <xf numFmtId="165" fontId="0" fillId="0" borderId="27" xfId="0" applyNumberForma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right"/>
      <protection hidden="1"/>
    </xf>
    <xf numFmtId="165" fontId="1" fillId="0" borderId="1" xfId="1" applyNumberFormat="1" applyBorder="1" applyAlignment="1" applyProtection="1">
      <alignment horizontal="center"/>
      <protection hidden="1"/>
    </xf>
    <xf numFmtId="44" fontId="1" fillId="0" borderId="1" xfId="1" applyBorder="1" applyAlignment="1" applyProtection="1">
      <alignment horizontal="center"/>
      <protection hidden="1"/>
    </xf>
    <xf numFmtId="44" fontId="1" fillId="0" borderId="0" xfId="1" applyFill="1" applyBorder="1" applyAlignment="1" applyProtection="1">
      <alignment horizontal="center"/>
      <protection hidden="1"/>
    </xf>
    <xf numFmtId="44" fontId="1" fillId="0" borderId="0" xfId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4" fontId="0" fillId="0" borderId="6" xfId="0" applyNumberFormat="1" applyBorder="1" applyAlignment="1" applyProtection="1">
      <alignment horizontal="center" vertical="center" wrapText="1"/>
      <protection hidden="1"/>
    </xf>
    <xf numFmtId="0" fontId="0" fillId="0" borderId="6" xfId="0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4" fontId="0" fillId="0" borderId="9" xfId="0" applyNumberFormat="1" applyBorder="1" applyAlignment="1" applyProtection="1">
      <alignment horizontal="center" vertical="center" wrapText="1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2" borderId="11" xfId="0" applyFill="1" applyBorder="1" applyAlignment="1" applyProtection="1">
      <alignment horizontal="left" vertical="center" wrapText="1"/>
      <protection locked="0"/>
    </xf>
    <xf numFmtId="0" fontId="0" fillId="2" borderId="12" xfId="0" applyFill="1" applyBorder="1" applyAlignment="1" applyProtection="1">
      <alignment horizontal="left" vertical="center" wrapText="1"/>
      <protection locked="0"/>
    </xf>
    <xf numFmtId="0" fontId="8" fillId="0" borderId="22" xfId="0" applyFont="1" applyBorder="1" applyAlignment="1" applyProtection="1">
      <alignment horizontal="center" vertical="center" wrapText="1" shrinkToFit="1"/>
      <protection hidden="1"/>
    </xf>
    <xf numFmtId="0" fontId="0" fillId="0" borderId="22" xfId="0" applyBorder="1" applyAlignment="1" applyProtection="1">
      <alignment horizontal="center" vertical="center" wrapText="1"/>
      <protection hidden="1"/>
    </xf>
    <xf numFmtId="4" fontId="0" fillId="2" borderId="22" xfId="0" applyNumberFormat="1" applyFill="1" applyBorder="1" applyAlignment="1" applyProtection="1">
      <alignment horizontal="center" vertical="center" wrapText="1"/>
      <protection locked="0"/>
    </xf>
    <xf numFmtId="4" fontId="0" fillId="0" borderId="28" xfId="0" applyNumberFormat="1" applyBorder="1" applyAlignment="1" applyProtection="1">
      <alignment horizontal="center" vertical="center" wrapText="1"/>
      <protection hidden="1"/>
    </xf>
    <xf numFmtId="4" fontId="0" fillId="0" borderId="0" xfId="0" applyNumberFormat="1" applyAlignment="1" applyProtection="1">
      <alignment horizontal="center" vertical="center" wrapText="1"/>
      <protection hidden="1"/>
    </xf>
    <xf numFmtId="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2" borderId="15" xfId="0" applyFill="1" applyBorder="1" applyAlignment="1" applyProtection="1">
      <alignment horizontal="left" vertical="center" wrapText="1"/>
      <protection locked="0"/>
    </xf>
    <xf numFmtId="0" fontId="0" fillId="2" borderId="16" xfId="0" applyFill="1" applyBorder="1" applyAlignment="1" applyProtection="1">
      <alignment horizontal="left" vertical="center" wrapText="1"/>
      <protection locked="0"/>
    </xf>
    <xf numFmtId="0" fontId="8" fillId="0" borderId="29" xfId="0" applyFont="1" applyBorder="1" applyAlignment="1" applyProtection="1">
      <alignment horizontal="center" vertical="center" wrapText="1" shrinkToFit="1"/>
      <protection hidden="1"/>
    </xf>
    <xf numFmtId="0" fontId="0" fillId="0" borderId="29" xfId="0" applyBorder="1" applyAlignment="1" applyProtection="1">
      <alignment horizontal="center" vertical="center" wrapText="1"/>
      <protection hidden="1"/>
    </xf>
    <xf numFmtId="4" fontId="0" fillId="2" borderId="29" xfId="0" applyNumberFormat="1" applyFill="1" applyBorder="1" applyAlignment="1" applyProtection="1">
      <alignment horizontal="center" vertical="center" wrapText="1"/>
      <protection locked="0"/>
    </xf>
    <xf numFmtId="4" fontId="0" fillId="0" borderId="30" xfId="0" applyNumberFormat="1" applyBorder="1" applyAlignment="1" applyProtection="1">
      <alignment horizontal="center" vertical="center" wrapText="1"/>
      <protection hidden="1"/>
    </xf>
    <xf numFmtId="0" fontId="0" fillId="2" borderId="31" xfId="0" applyFill="1" applyBorder="1" applyAlignment="1" applyProtection="1">
      <alignment horizontal="left" vertical="center" wrapText="1"/>
      <protection locked="0"/>
    </xf>
    <xf numFmtId="0" fontId="0" fillId="2" borderId="32" xfId="0" applyFill="1" applyBorder="1" applyAlignment="1" applyProtection="1">
      <alignment horizontal="left" vertical="center" wrapText="1"/>
      <protection locked="0"/>
    </xf>
    <xf numFmtId="0" fontId="8" fillId="0" borderId="33" xfId="0" applyFont="1" applyBorder="1" applyAlignment="1" applyProtection="1">
      <alignment horizontal="center" vertical="center" wrapText="1" shrinkToFit="1"/>
      <protection hidden="1"/>
    </xf>
    <xf numFmtId="0" fontId="0" fillId="0" borderId="33" xfId="0" applyBorder="1" applyAlignment="1" applyProtection="1">
      <alignment horizontal="center" vertical="center" wrapText="1"/>
      <protection hidden="1"/>
    </xf>
    <xf numFmtId="0" fontId="0" fillId="0" borderId="24" xfId="0" applyBorder="1" applyAlignment="1" applyProtection="1">
      <alignment horizontal="center" vertical="center" wrapText="1"/>
      <protection hidden="1"/>
    </xf>
    <xf numFmtId="0" fontId="0" fillId="0" borderId="32" xfId="0" applyBorder="1" applyAlignment="1" applyProtection="1">
      <alignment horizontal="center" vertical="center" wrapText="1"/>
      <protection hidden="1"/>
    </xf>
    <xf numFmtId="4" fontId="0" fillId="2" borderId="33" xfId="0" applyNumberFormat="1" applyFill="1" applyBorder="1" applyAlignment="1" applyProtection="1">
      <alignment horizontal="center" vertical="center" wrapText="1"/>
      <protection locked="0"/>
    </xf>
    <xf numFmtId="4" fontId="0" fillId="0" borderId="34" xfId="0" applyNumberForma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justify"/>
      <protection hidden="1"/>
    </xf>
    <xf numFmtId="0" fontId="0" fillId="0" borderId="0" xfId="0" applyAlignment="1" applyProtection="1">
      <alignment horizontal="justify"/>
      <protection hidden="1"/>
    </xf>
    <xf numFmtId="0" fontId="1" fillId="2" borderId="35" xfId="0" applyFont="1" applyFill="1" applyBorder="1" applyAlignment="1" applyProtection="1">
      <alignment horizontal="justify" vertical="top"/>
      <protection locked="0"/>
    </xf>
    <xf numFmtId="0" fontId="1" fillId="2" borderId="36" xfId="0" applyFont="1" applyFill="1" applyBorder="1" applyAlignment="1" applyProtection="1">
      <alignment horizontal="justify" vertical="top"/>
      <protection locked="0"/>
    </xf>
    <xf numFmtId="0" fontId="1" fillId="2" borderId="37" xfId="0" applyFont="1" applyFill="1" applyBorder="1" applyAlignment="1" applyProtection="1">
      <alignment horizontal="justify" vertical="top"/>
      <protection locked="0"/>
    </xf>
    <xf numFmtId="0" fontId="1" fillId="3" borderId="0" xfId="0" applyFont="1" applyFill="1" applyAlignment="1" applyProtection="1">
      <alignment horizontal="justify"/>
      <protection hidden="1"/>
    </xf>
    <xf numFmtId="0" fontId="1" fillId="2" borderId="19" xfId="0" applyFont="1" applyFill="1" applyBorder="1" applyAlignment="1" applyProtection="1">
      <alignment horizontal="justify" vertical="top"/>
      <protection locked="0"/>
    </xf>
    <xf numFmtId="0" fontId="1" fillId="2" borderId="0" xfId="0" applyFont="1" applyFill="1" applyAlignment="1" applyProtection="1">
      <alignment horizontal="justify" vertical="top"/>
      <protection locked="0"/>
    </xf>
    <xf numFmtId="0" fontId="1" fillId="2" borderId="38" xfId="0" applyFont="1" applyFill="1" applyBorder="1" applyAlignment="1" applyProtection="1">
      <alignment horizontal="justify" vertical="top"/>
      <protection locked="0"/>
    </xf>
    <xf numFmtId="0" fontId="1" fillId="2" borderId="31" xfId="0" applyFont="1" applyFill="1" applyBorder="1" applyAlignment="1" applyProtection="1">
      <alignment horizontal="justify" vertical="top"/>
      <protection locked="0"/>
    </xf>
    <xf numFmtId="0" fontId="1" fillId="2" borderId="39" xfId="0" applyFont="1" applyFill="1" applyBorder="1" applyAlignment="1" applyProtection="1">
      <alignment horizontal="justify" vertical="top"/>
      <protection locked="0"/>
    </xf>
    <xf numFmtId="0" fontId="1" fillId="2" borderId="25" xfId="0" applyFont="1" applyFill="1" applyBorder="1" applyAlignment="1" applyProtection="1">
      <alignment horizontal="justify" vertical="top"/>
      <protection locked="0"/>
    </xf>
    <xf numFmtId="0" fontId="6" fillId="0" borderId="35" xfId="0" applyFont="1" applyBorder="1" applyAlignment="1" applyProtection="1">
      <alignment horizontal="center" vertical="center"/>
      <protection hidden="1"/>
    </xf>
    <xf numFmtId="0" fontId="6" fillId="0" borderId="36" xfId="0" applyFont="1" applyBorder="1" applyAlignment="1" applyProtection="1">
      <alignment horizontal="center" vertical="center"/>
      <protection hidden="1"/>
    </xf>
    <xf numFmtId="0" fontId="6" fillId="0" borderId="37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15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18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1" fillId="0" borderId="40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0" fillId="0" borderId="4" xfId="0" applyBorder="1" applyAlignment="1" applyProtection="1">
      <alignment horizontal="center" vertical="center" wrapText="1"/>
      <protection hidden="1"/>
    </xf>
    <xf numFmtId="0" fontId="0" fillId="0" borderId="28" xfId="0" applyBorder="1" applyAlignment="1" applyProtection="1">
      <alignment horizontal="center" vertical="center" wrapText="1"/>
      <protection hidden="1"/>
    </xf>
    <xf numFmtId="0" fontId="0" fillId="0" borderId="40" xfId="0" applyBorder="1" applyAlignment="1" applyProtection="1">
      <alignment horizontal="center" vertical="center" wrapText="1"/>
      <protection hidden="1"/>
    </xf>
    <xf numFmtId="0" fontId="0" fillId="0" borderId="41" xfId="0" applyBorder="1" applyAlignment="1" applyProtection="1">
      <alignment horizontal="center" vertical="center" wrapText="1"/>
      <protection hidden="1"/>
    </xf>
    <xf numFmtId="0" fontId="0" fillId="0" borderId="42" xfId="0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0" borderId="30" xfId="0" applyBorder="1" applyAlignment="1" applyProtection="1">
      <alignment horizontal="center" vertical="center" wrapText="1"/>
      <protection hidden="1"/>
    </xf>
    <xf numFmtId="0" fontId="0" fillId="2" borderId="43" xfId="0" applyFill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0" fillId="2" borderId="4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0" fillId="2" borderId="9" xfId="0" applyFill="1" applyBorder="1" applyAlignment="1" applyProtection="1">
      <alignment horizontal="center" vertical="center" wrapText="1"/>
      <protection locked="0"/>
    </xf>
    <xf numFmtId="165" fontId="0" fillId="2" borderId="13" xfId="0" applyNumberFormat="1" applyFill="1" applyBorder="1" applyAlignment="1" applyProtection="1">
      <alignment horizontal="center" vertical="center" wrapText="1"/>
      <protection locked="0"/>
    </xf>
    <xf numFmtId="165" fontId="0" fillId="2" borderId="14" xfId="0" applyNumberFormat="1" applyFill="1" applyBorder="1" applyAlignment="1" applyProtection="1">
      <alignment horizontal="center" vertical="center" wrapText="1"/>
      <protection locked="0"/>
    </xf>
    <xf numFmtId="165" fontId="0" fillId="0" borderId="0" xfId="0" applyNumberFormat="1" applyAlignment="1" applyProtection="1">
      <alignment horizontal="center" vertical="center" wrapText="1"/>
      <protection hidden="1"/>
    </xf>
    <xf numFmtId="0" fontId="0" fillId="2" borderId="44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2" borderId="16" xfId="0" applyFill="1" applyBorder="1" applyAlignment="1" applyProtection="1">
      <alignment horizontal="center" vertical="center" wrapText="1"/>
      <protection locked="0"/>
    </xf>
    <xf numFmtId="165" fontId="0" fillId="2" borderId="17" xfId="0" applyNumberFormat="1" applyFill="1" applyBorder="1" applyAlignment="1" applyProtection="1">
      <alignment horizontal="center" vertical="center" wrapText="1"/>
      <protection locked="0"/>
    </xf>
    <xf numFmtId="165" fontId="0" fillId="2" borderId="18" xfId="0" applyNumberFormat="1" applyFill="1" applyBorder="1" applyAlignment="1" applyProtection="1">
      <alignment horizontal="center" vertical="center" wrapText="1"/>
      <protection locked="0"/>
    </xf>
    <xf numFmtId="165" fontId="0" fillId="2" borderId="9" xfId="0" applyNumberFormat="1" applyFill="1" applyBorder="1" applyAlignment="1" applyProtection="1">
      <alignment horizontal="center" vertical="center" wrapText="1"/>
      <protection locked="0"/>
    </xf>
    <xf numFmtId="165" fontId="0" fillId="2" borderId="10" xfId="0" applyNumberFormat="1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0" fillId="2" borderId="45" xfId="0" applyFill="1" applyBorder="1" applyAlignment="1" applyProtection="1">
      <alignment horizontal="center" vertical="center" wrapText="1"/>
      <protection locked="0"/>
    </xf>
    <xf numFmtId="0" fontId="0" fillId="2" borderId="24" xfId="0" applyFill="1" applyBorder="1" applyAlignment="1" applyProtection="1">
      <alignment horizontal="center" vertical="center" wrapText="1"/>
      <protection locked="0"/>
    </xf>
    <xf numFmtId="0" fontId="0" fillId="2" borderId="39" xfId="0" applyFill="1" applyBorder="1" applyAlignment="1" applyProtection="1">
      <alignment horizontal="center" vertical="center" wrapText="1"/>
      <protection locked="0"/>
    </xf>
    <xf numFmtId="0" fontId="0" fillId="2" borderId="32" xfId="0" applyFill="1" applyBorder="1" applyAlignment="1" applyProtection="1">
      <alignment horizontal="center" vertical="center" wrapText="1"/>
      <protection locked="0"/>
    </xf>
    <xf numFmtId="0" fontId="0" fillId="2" borderId="23" xfId="0" applyFill="1" applyBorder="1" applyAlignment="1" applyProtection="1">
      <alignment horizontal="center" vertical="center" wrapText="1"/>
      <protection locked="0"/>
    </xf>
    <xf numFmtId="165" fontId="0" fillId="2" borderId="23" xfId="0" applyNumberFormat="1" applyFill="1" applyBorder="1" applyAlignment="1" applyProtection="1">
      <alignment horizontal="center" vertical="center" wrapText="1"/>
      <protection locked="0"/>
    </xf>
    <xf numFmtId="165" fontId="0" fillId="2" borderId="27" xfId="0" applyNumberFormat="1" applyFill="1" applyBorder="1" applyAlignment="1" applyProtection="1">
      <alignment horizontal="center" vertical="center" wrapText="1"/>
      <protection locked="0"/>
    </xf>
    <xf numFmtId="4" fontId="0" fillId="0" borderId="1" xfId="0" applyNumberFormat="1" applyBorder="1" applyAlignment="1" applyProtection="1">
      <alignment horizontal="center"/>
      <protection hidden="1"/>
    </xf>
    <xf numFmtId="4" fontId="0" fillId="0" borderId="0" xfId="0" applyNumberFormat="1" applyAlignment="1" applyProtection="1">
      <alignment horizontal="right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1" fillId="2" borderId="35" xfId="0" applyFont="1" applyFill="1" applyBorder="1" applyAlignment="1" applyProtection="1">
      <alignment horizontal="left" vertical="top" wrapText="1"/>
      <protection locked="0"/>
    </xf>
    <xf numFmtId="0" fontId="0" fillId="2" borderId="36" xfId="0" applyFill="1" applyBorder="1" applyAlignment="1" applyProtection="1">
      <alignment horizontal="left" vertical="top" wrapText="1"/>
      <protection locked="0"/>
    </xf>
    <xf numFmtId="0" fontId="0" fillId="2" borderId="37" xfId="0" applyFill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center" wrapText="1"/>
      <protection hidden="1"/>
    </xf>
    <xf numFmtId="0" fontId="0" fillId="0" borderId="0" xfId="0" applyAlignment="1" applyProtection="1">
      <alignment horizontal="justify" wrapText="1"/>
      <protection hidden="1"/>
    </xf>
    <xf numFmtId="0" fontId="0" fillId="2" borderId="19" xfId="0" applyFill="1" applyBorder="1" applyAlignment="1" applyProtection="1">
      <alignment horizontal="left" vertical="top" wrapText="1"/>
      <protection locked="0"/>
    </xf>
    <xf numFmtId="0" fontId="0" fillId="2" borderId="0" xfId="0" applyFill="1" applyAlignment="1" applyProtection="1">
      <alignment horizontal="left" vertical="top" wrapText="1"/>
      <protection locked="0"/>
    </xf>
    <xf numFmtId="0" fontId="0" fillId="2" borderId="38" xfId="0" applyFill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hidden="1"/>
    </xf>
    <xf numFmtId="0" fontId="0" fillId="2" borderId="31" xfId="0" applyFill="1" applyBorder="1" applyAlignment="1" applyProtection="1">
      <alignment horizontal="left" vertical="top" wrapText="1"/>
      <protection locked="0"/>
    </xf>
    <xf numFmtId="0" fontId="0" fillId="2" borderId="39" xfId="0" applyFill="1" applyBorder="1" applyAlignment="1" applyProtection="1">
      <alignment horizontal="left" vertical="top" wrapText="1"/>
      <protection locked="0"/>
    </xf>
    <xf numFmtId="0" fontId="0" fillId="2" borderId="25" xfId="0" applyFill="1" applyBorder="1" applyAlignment="1" applyProtection="1">
      <alignment horizontal="left" vertical="top" wrapText="1"/>
      <protection locked="0"/>
    </xf>
    <xf numFmtId="165" fontId="0" fillId="0" borderId="0" xfId="0" applyNumberFormat="1" applyProtection="1">
      <protection hidden="1"/>
    </xf>
    <xf numFmtId="0" fontId="0" fillId="0" borderId="0" xfId="0" applyAlignment="1" applyProtection="1">
      <alignment horizontal="justify" vertical="center" wrapText="1"/>
      <protection hidden="1"/>
    </xf>
    <xf numFmtId="0" fontId="0" fillId="0" borderId="0" xfId="0" applyAlignment="1" applyProtection="1">
      <alignment horizontal="justify" vertical="center" wrapText="1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4" xfId="0" applyFont="1" applyBorder="1" applyAlignment="1" applyProtection="1">
      <alignment horizontal="center"/>
      <protection hidden="1"/>
    </xf>
  </cellXfs>
  <cellStyles count="2">
    <cellStyle name="Currency" xfId="1" builtinId="4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360045</xdr:colOff>
          <xdr:row>0</xdr:row>
          <xdr:rowOff>53340</xdr:rowOff>
        </xdr:from>
        <xdr:to>
          <xdr:col>10</xdr:col>
          <xdr:colOff>436245</xdr:colOff>
          <xdr:row>0</xdr:row>
          <xdr:rowOff>321945</xdr:rowOff>
        </xdr:to>
        <xdr:sp macro="" textlink="">
          <xdr:nvSpPr>
            <xdr:cNvPr id="1025" name="cmdNew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ADF43E6-5EB0-40D6-82E1-8FE20558C1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152400</xdr:colOff>
          <xdr:row>0</xdr:row>
          <xdr:rowOff>53340</xdr:rowOff>
        </xdr:from>
        <xdr:to>
          <xdr:col>3</xdr:col>
          <xdr:colOff>281940</xdr:colOff>
          <xdr:row>0</xdr:row>
          <xdr:rowOff>321945</xdr:rowOff>
        </xdr:to>
        <xdr:sp macro="" textlink="">
          <xdr:nvSpPr>
            <xdr:cNvPr id="1026" name="cmdNext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251712B-253C-44BE-962B-370249A09F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19050</xdr:colOff>
          <xdr:row>0</xdr:row>
          <xdr:rowOff>53340</xdr:rowOff>
        </xdr:from>
        <xdr:to>
          <xdr:col>2</xdr:col>
          <xdr:colOff>95250</xdr:colOff>
          <xdr:row>0</xdr:row>
          <xdr:rowOff>321945</xdr:rowOff>
        </xdr:to>
        <xdr:sp macro="" textlink="">
          <xdr:nvSpPr>
            <xdr:cNvPr id="1027" name="cmdPrev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B304BEA6-272B-4064-A87D-26DB924FD4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10</xdr:col>
          <xdr:colOff>474345</xdr:colOff>
          <xdr:row>0</xdr:row>
          <xdr:rowOff>53340</xdr:rowOff>
        </xdr:from>
        <xdr:to>
          <xdr:col>11</xdr:col>
          <xdr:colOff>590550</xdr:colOff>
          <xdr:row>0</xdr:row>
          <xdr:rowOff>321945</xdr:rowOff>
        </xdr:to>
        <xdr:sp macro="" textlink="">
          <xdr:nvSpPr>
            <xdr:cNvPr id="1028" name="cmdDel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4888C9A5-C38A-44BC-A0D2-40774894C9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320040</xdr:colOff>
          <xdr:row>0</xdr:row>
          <xdr:rowOff>53340</xdr:rowOff>
        </xdr:from>
        <xdr:to>
          <xdr:col>4</xdr:col>
          <xdr:colOff>304800</xdr:colOff>
          <xdr:row>0</xdr:row>
          <xdr:rowOff>321945</xdr:rowOff>
        </xdr:to>
        <xdr:sp macro="" textlink="">
          <xdr:nvSpPr>
            <xdr:cNvPr id="1029" name="CmdSave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9E3D6FFA-28E0-4F54-899E-6DF952DCFD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NUALES/Manual%20Documentacion/Anejos%20Manual/5.%20Formulario%20Force%20Account_V2.3.xlsm" TargetMode="External"/><Relationship Id="rId2" Type="http://schemas.openxmlformats.org/officeDocument/2006/relationships/externalLinkPath" Target="file:///G:\My%20Drive\M2A%20(GD)\CARRETERAS\DOCUMENTOS%20CARRETERAS\FORMAS%20Y%20DOCUMENTOS%20ACT\MANUALES\Manual%20Documentacion\Anejos%20Manual\5.%20Formulario%20Force%20Account_V2.3.xlsm" TargetMode="External"/><Relationship Id="rId1" Type="http://schemas.openxmlformats.org/officeDocument/2006/relationships/externalLinkPath" Target="/My%20Drive/M2A%20(GD)/CARRETERAS/DOCUMENTOS%20CARRETERAS/FORMAS%20Y%20DOCUMENTOS%20ACT/MANUALES/Manual%20Documentacion/Anejos%20Manual/5.%20Formulario%20Force%20Account_V2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rmación Force Account"/>
      <sheetName val="Empleados Contratista"/>
      <sheetName val="Equipo Contratista"/>
      <sheetName val="Resumen FA (Anual) 52"/>
      <sheetName val="Resumen FA (Mensual) 51"/>
      <sheetName val="Inf. Diario 49"/>
      <sheetName val="Equipo FA 50"/>
      <sheetName val="DBPCFA"/>
    </sheetNames>
    <sheetDataSet>
      <sheetData sheetId="0">
        <row r="2">
          <cell r="I2" t="b">
            <v>0</v>
          </cell>
        </row>
      </sheetData>
      <sheetData sheetId="1"/>
      <sheetData sheetId="2">
        <row r="1">
          <cell r="A1" t="str">
            <v>Desc + ID</v>
          </cell>
          <cell r="B1" t="str">
            <v>ID Num.</v>
          </cell>
          <cell r="C1" t="str">
            <v>Descripción</v>
          </cell>
          <cell r="D1" t="str">
            <v>Modelo</v>
          </cell>
          <cell r="E1" t="str">
            <v>Año</v>
          </cell>
          <cell r="F1" t="str">
            <v>Capacidad</v>
          </cell>
          <cell r="G1" t="str">
            <v>Diesel/     Gasolina</v>
          </cell>
          <cell r="H1" t="str">
            <v>Alquilado/   Propio</v>
          </cell>
          <cell r="I1" t="str">
            <v>Renta Mensual</v>
          </cell>
          <cell r="J1" t="str">
            <v>Factor de Zona</v>
          </cell>
          <cell r="K1" t="str">
            <v>Costo Operacional</v>
          </cell>
        </row>
        <row r="2">
          <cell r="A2" t="str">
            <v/>
          </cell>
        </row>
        <row r="3">
          <cell r="A3" t="str">
            <v/>
          </cell>
        </row>
        <row r="4">
          <cell r="A4" t="str">
            <v/>
          </cell>
        </row>
        <row r="5">
          <cell r="A5" t="str">
            <v/>
          </cell>
        </row>
        <row r="6">
          <cell r="A6" t="str">
            <v/>
          </cell>
        </row>
        <row r="7">
          <cell r="A7" t="str">
            <v/>
          </cell>
        </row>
        <row r="8">
          <cell r="A8" t="str">
            <v/>
          </cell>
        </row>
        <row r="9">
          <cell r="A9" t="str">
            <v/>
          </cell>
        </row>
        <row r="10">
          <cell r="A10" t="str">
            <v/>
          </cell>
        </row>
        <row r="11">
          <cell r="A11" t="str">
            <v/>
          </cell>
        </row>
        <row r="12">
          <cell r="A12" t="str">
            <v/>
          </cell>
        </row>
        <row r="13">
          <cell r="A13" t="str">
            <v/>
          </cell>
        </row>
        <row r="14">
          <cell r="A14" t="str">
            <v/>
          </cell>
        </row>
        <row r="15">
          <cell r="A15" t="str">
            <v/>
          </cell>
        </row>
        <row r="16">
          <cell r="A16" t="str">
            <v/>
          </cell>
        </row>
        <row r="17">
          <cell r="A17" t="str">
            <v/>
          </cell>
        </row>
        <row r="18">
          <cell r="A18" t="str">
            <v/>
          </cell>
        </row>
        <row r="19">
          <cell r="A19" t="str">
            <v/>
          </cell>
        </row>
        <row r="20">
          <cell r="A20" t="str">
            <v/>
          </cell>
        </row>
        <row r="21">
          <cell r="A21" t="str">
            <v/>
          </cell>
        </row>
        <row r="22">
          <cell r="A22" t="str">
            <v/>
          </cell>
        </row>
        <row r="23">
          <cell r="A23" t="str">
            <v/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  <row r="44">
          <cell r="A44" t="str">
            <v/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</sheetData>
      <sheetData sheetId="3"/>
      <sheetData sheetId="4">
        <row r="10">
          <cell r="N10" t="str">
            <v>Mes</v>
          </cell>
          <cell r="Q10" t="str">
            <v>Año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4783-03F2-4051-BBC6-6B88D69154F2}">
  <sheetPr codeName="Sheet4"/>
  <dimension ref="A1:AC173"/>
  <sheetViews>
    <sheetView showGridLines="0" showRowColHeaders="0" tabSelected="1" view="pageBreakPreview" zoomScaleNormal="100" zoomScaleSheetLayoutView="100" workbookViewId="0">
      <pane ySplit="1" topLeftCell="A2" activePane="bottomLeft" state="frozen"/>
      <selection pane="bottomLeft"/>
    </sheetView>
  </sheetViews>
  <sheetFormatPr defaultColWidth="0" defaultRowHeight="13.2" customHeight="1" zeroHeight="1" x14ac:dyDescent="0.25"/>
  <cols>
    <col min="1" max="1" width="1.5546875" style="1" customWidth="1"/>
    <col min="2" max="2" width="9.88671875" style="1" customWidth="1"/>
    <col min="3" max="3" width="9.109375" style="1" customWidth="1"/>
    <col min="4" max="4" width="11" style="1" customWidth="1"/>
    <col min="5" max="7" width="9.109375" style="1" customWidth="1"/>
    <col min="8" max="8" width="9.109375" style="38" customWidth="1"/>
    <col min="9" max="10" width="9.88671875" style="1" customWidth="1"/>
    <col min="11" max="11" width="9.44140625" style="1" customWidth="1"/>
    <col min="12" max="12" width="9.88671875" style="1" bestFit="1" customWidth="1"/>
    <col min="13" max="13" width="1.5546875" style="1" customWidth="1"/>
    <col min="14" max="14" width="4.44140625" style="1" hidden="1" customWidth="1"/>
    <col min="15" max="15" width="9.5546875" style="1" hidden="1" customWidth="1"/>
    <col min="16" max="16" width="3.88671875" style="1" hidden="1" customWidth="1"/>
    <col min="17" max="17" width="13.44140625" style="1" hidden="1" customWidth="1"/>
    <col min="18" max="18" width="4.44140625" style="1" hidden="1" customWidth="1"/>
    <col min="19" max="19" width="2.88671875" style="1" hidden="1" customWidth="1"/>
    <col min="20" max="20" width="15" style="1" hidden="1" customWidth="1"/>
    <col min="21" max="21" width="2.88671875" style="1" hidden="1" customWidth="1"/>
    <col min="22" max="22" width="4.44140625" style="1" hidden="1" customWidth="1"/>
    <col min="23" max="23" width="9.88671875" style="1" hidden="1" customWidth="1"/>
    <col min="24" max="26" width="8.5546875" style="1" hidden="1" customWidth="1"/>
    <col min="27" max="27" width="4.44140625" style="1" hidden="1" customWidth="1"/>
    <col min="28" max="28" width="25.44140625" style="17" hidden="1" customWidth="1"/>
    <col min="29" max="29" width="25" style="17" hidden="1" customWidth="1"/>
    <col min="30" max="16384" width="4.44140625" style="1" hidden="1"/>
  </cols>
  <sheetData>
    <row r="1" spans="2:29" ht="29.1" customHeight="1" x14ac:dyDescent="0.25">
      <c r="F1" s="2"/>
      <c r="G1" s="2"/>
      <c r="H1" s="3"/>
      <c r="O1" s="4" t="s">
        <v>0</v>
      </c>
      <c r="P1" s="4"/>
      <c r="Q1" s="5" t="e">
        <f>VALUE(YEAR(K12)&amp;TEXT(MONTH(K12),"00")&amp;TEXT(DAY(K12),"00")&amp;Q3)</f>
        <v>#VALUE!</v>
      </c>
      <c r="AB1" s="6">
        <f>COUNTIF(AB3:AB52,"&lt;&gt;0")</f>
        <v>0</v>
      </c>
      <c r="AC1" s="6">
        <f>COUNTIF(AC3:AC152,"&lt;&gt;0")</f>
        <v>0</v>
      </c>
    </row>
    <row r="2" spans="2:29" x14ac:dyDescent="0.25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8"/>
      <c r="O2" s="9" t="s">
        <v>2</v>
      </c>
      <c r="P2" s="7"/>
      <c r="Q2" s="10" t="b">
        <v>1</v>
      </c>
      <c r="R2" s="8"/>
      <c r="T2" s="11" t="s">
        <v>3</v>
      </c>
      <c r="U2" s="8">
        <f>COUNTIF(T2:T33,"&lt;&gt;0")</f>
        <v>32</v>
      </c>
      <c r="W2" s="12">
        <f>VLOOKUP($W$3,X2:Y14,2,FALSE)</f>
        <v>0</v>
      </c>
      <c r="X2" s="11" t="s">
        <v>4</v>
      </c>
      <c r="Y2" s="11">
        <v>0</v>
      </c>
      <c r="Z2" s="11" t="s">
        <v>5</v>
      </c>
      <c r="AB2" s="13" t="s">
        <v>6</v>
      </c>
      <c r="AC2" s="13" t="s">
        <v>7</v>
      </c>
    </row>
    <row r="3" spans="2:29" x14ac:dyDescent="0.25">
      <c r="B3" s="7" t="s">
        <v>8</v>
      </c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8"/>
      <c r="O3" s="9" t="s">
        <v>9</v>
      </c>
      <c r="P3" s="9"/>
      <c r="Q3" s="10">
        <v>1</v>
      </c>
      <c r="R3" s="8"/>
      <c r="S3" s="8">
        <v>1</v>
      </c>
      <c r="T3" s="14" t="e">
        <f>IF(MONTH(DATE($W$4,$W$2,S3))&gt;$W$2,0,DATE($W$4,$W$2,S3))</f>
        <v>#VALUE!</v>
      </c>
      <c r="U3" s="15"/>
      <c r="V3" s="15"/>
      <c r="W3" s="16" t="str">
        <f>'[1]Resumen FA (Mensual) 51'!N10</f>
        <v>Mes</v>
      </c>
      <c r="X3" s="11" t="s">
        <v>10</v>
      </c>
      <c r="Y3" s="11">
        <v>1</v>
      </c>
      <c r="Z3" s="8">
        <v>2016</v>
      </c>
      <c r="AB3" s="17">
        <f>IF($K$12="Seleccione Fecha",0,'[1]Empleados Contratista'!A2)</f>
        <v>0</v>
      </c>
      <c r="AC3" s="17">
        <f>IF($K$12="Seleccione Fecha",0,IF('[1]Equipo Contratista'!A2="",0,'[1]Equipo Contratista'!A2))</f>
        <v>0</v>
      </c>
    </row>
    <row r="4" spans="2:29" x14ac:dyDescent="0.25">
      <c r="B4" s="7" t="s">
        <v>11</v>
      </c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8"/>
      <c r="O4" s="7" t="s">
        <v>12</v>
      </c>
      <c r="P4" s="7"/>
      <c r="R4" s="8"/>
      <c r="S4" s="8">
        <v>2</v>
      </c>
      <c r="T4" s="14" t="e">
        <f t="shared" ref="T4:T33" si="0">IF(MONTH(DATE($W$4,$W$2,S4))&gt;$W$2,0,DATE($W$4,$W$2,S4))</f>
        <v>#VALUE!</v>
      </c>
      <c r="V4" s="15"/>
      <c r="W4" s="18" t="str">
        <f>'[1]Resumen FA (Mensual) 51'!Q10</f>
        <v>Año</v>
      </c>
      <c r="X4" s="11" t="s">
        <v>13</v>
      </c>
      <c r="Y4" s="11">
        <v>2</v>
      </c>
      <c r="Z4" s="8">
        <v>2017</v>
      </c>
      <c r="AB4" s="17">
        <f>IF($K$12="Seleccione Fecha",0,'[1]Empleados Contratista'!A3)</f>
        <v>0</v>
      </c>
      <c r="AC4" s="17">
        <f>IF($K$12="Seleccione Fecha",0,IF('[1]Equipo Contratista'!A3="",0,'[1]Equipo Contratista'!A3))</f>
        <v>0</v>
      </c>
    </row>
    <row r="5" spans="2:29" x14ac:dyDescent="0.25">
      <c r="B5" s="7" t="s">
        <v>14</v>
      </c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8"/>
      <c r="O5" s="9" t="s">
        <v>15</v>
      </c>
      <c r="P5" s="7"/>
      <c r="Q5" s="8" t="b">
        <f>IF(OR(O51&gt;0,O81&gt;0),TRUE,FALSE)</f>
        <v>0</v>
      </c>
      <c r="R5" s="8"/>
      <c r="S5" s="8">
        <v>3</v>
      </c>
      <c r="T5" s="14" t="e">
        <f t="shared" si="0"/>
        <v>#VALUE!</v>
      </c>
      <c r="X5" s="11" t="s">
        <v>16</v>
      </c>
      <c r="Y5" s="11">
        <v>3</v>
      </c>
      <c r="Z5" s="8">
        <v>2018</v>
      </c>
      <c r="AB5" s="17">
        <f>IF($K$12="Seleccione Fecha",0,'[1]Empleados Contratista'!A4)</f>
        <v>0</v>
      </c>
      <c r="AC5" s="17">
        <f>IF($K$12="Seleccione Fecha",0,IF('[1]Equipo Contratista'!A4="",0,'[1]Equipo Contratista'!A4))</f>
        <v>0</v>
      </c>
    </row>
    <row r="6" spans="2:29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 t="s">
        <v>17</v>
      </c>
      <c r="P6" s="7"/>
      <c r="Q6" s="19" t="b">
        <v>0</v>
      </c>
      <c r="R6" s="8"/>
      <c r="S6" s="8">
        <v>4</v>
      </c>
      <c r="T6" s="14" t="e">
        <f t="shared" si="0"/>
        <v>#VALUE!</v>
      </c>
      <c r="X6" s="11" t="s">
        <v>18</v>
      </c>
      <c r="Y6" s="11">
        <v>4</v>
      </c>
      <c r="Z6" s="8">
        <v>2019</v>
      </c>
      <c r="AB6" s="17">
        <f>IF($K$12="Seleccione Fecha",0,'[1]Empleados Contratista'!A5)</f>
        <v>0</v>
      </c>
      <c r="AC6" s="17">
        <f>IF($K$12="Seleccione Fecha",0,IF('[1]Equipo Contratista'!A5="",0,'[1]Equipo Contratista'!A5))</f>
        <v>0</v>
      </c>
    </row>
    <row r="7" spans="2:29" x14ac:dyDescent="0.25">
      <c r="B7" s="8"/>
      <c r="C7" s="8"/>
      <c r="D7" s="8"/>
      <c r="E7" s="8"/>
      <c r="F7" s="8"/>
      <c r="G7" s="8"/>
      <c r="H7" s="8"/>
      <c r="I7" s="8"/>
      <c r="J7" s="8"/>
      <c r="K7" s="20"/>
      <c r="M7" s="8"/>
      <c r="N7" s="8"/>
      <c r="O7" s="8"/>
      <c r="P7" s="8"/>
      <c r="Q7" s="8"/>
      <c r="R7" s="8"/>
      <c r="S7" s="8">
        <v>5</v>
      </c>
      <c r="T7" s="14" t="e">
        <f t="shared" si="0"/>
        <v>#VALUE!</v>
      </c>
      <c r="U7" s="8"/>
      <c r="V7" s="14"/>
      <c r="X7" s="11" t="s">
        <v>19</v>
      </c>
      <c r="Y7" s="11">
        <v>5</v>
      </c>
      <c r="Z7" s="8">
        <v>2020</v>
      </c>
      <c r="AB7" s="17">
        <f>IF($K$12="Seleccione Fecha",0,'[1]Empleados Contratista'!A6)</f>
        <v>0</v>
      </c>
      <c r="AC7" s="17">
        <f>IF($K$12="Seleccione Fecha",0,IF('[1]Equipo Contratista'!A6="",0,'[1]Equipo Contratista'!A6))</f>
        <v>0</v>
      </c>
    </row>
    <row r="8" spans="2:29" ht="17.399999999999999" x14ac:dyDescent="0.3">
      <c r="B8" s="21" t="s">
        <v>20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22"/>
      <c r="R8" s="22"/>
      <c r="S8" s="8">
        <v>6</v>
      </c>
      <c r="T8" s="14" t="e">
        <f t="shared" si="0"/>
        <v>#VALUE!</v>
      </c>
      <c r="U8" s="8"/>
      <c r="V8" s="14"/>
      <c r="X8" s="11" t="s">
        <v>21</v>
      </c>
      <c r="Y8" s="11">
        <v>6</v>
      </c>
      <c r="Z8" s="8">
        <v>2021</v>
      </c>
      <c r="AB8" s="17">
        <f>IF($K$12="Seleccione Fecha",0,'[1]Empleados Contratista'!A7)</f>
        <v>0</v>
      </c>
      <c r="AC8" s="17">
        <f>IF($K$12="Seleccione Fecha",0,IF('[1]Equipo Contratista'!A7="",0,'[1]Equipo Contratista'!A7))</f>
        <v>0</v>
      </c>
    </row>
    <row r="9" spans="2:29" x14ac:dyDescent="0.25">
      <c r="B9" s="23" t="s">
        <v>22</v>
      </c>
      <c r="C9" s="23"/>
      <c r="D9" s="23"/>
      <c r="E9" s="24">
        <f>'[1]Información Force Account'!B7</f>
        <v>0</v>
      </c>
      <c r="F9" s="25"/>
      <c r="G9" s="25" t="s">
        <v>23</v>
      </c>
      <c r="H9" s="24">
        <f>'[1]Información Force Account'!B8</f>
        <v>0</v>
      </c>
      <c r="I9" s="8"/>
      <c r="J9" s="25" t="s">
        <v>24</v>
      </c>
      <c r="K9" s="24">
        <f>'[1]Información Force Account'!B9</f>
        <v>0</v>
      </c>
      <c r="L9" s="8"/>
      <c r="M9" s="8"/>
      <c r="N9" s="8"/>
      <c r="O9" s="8"/>
      <c r="P9" s="8"/>
      <c r="Q9" s="8"/>
      <c r="R9" s="8"/>
      <c r="S9" s="8">
        <v>7</v>
      </c>
      <c r="T9" s="14" t="e">
        <f t="shared" si="0"/>
        <v>#VALUE!</v>
      </c>
      <c r="U9" s="8"/>
      <c r="V9" s="14"/>
      <c r="X9" s="11" t="s">
        <v>25</v>
      </c>
      <c r="Y9" s="11">
        <v>7</v>
      </c>
      <c r="Z9" s="8">
        <v>2022</v>
      </c>
      <c r="AB9" s="17">
        <f>IF($K$12="Seleccione Fecha",0,'[1]Empleados Contratista'!A8)</f>
        <v>0</v>
      </c>
      <c r="AC9" s="17">
        <f>IF($K$12="Seleccione Fecha",0,IF('[1]Equipo Contratista'!A8="",0,'[1]Equipo Contratista'!A8))</f>
        <v>0</v>
      </c>
    </row>
    <row r="10" spans="2:29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26"/>
      <c r="O10" s="27" t="s">
        <v>26</v>
      </c>
      <c r="P10" s="27" t="s">
        <v>27</v>
      </c>
      <c r="Q10" s="8"/>
      <c r="R10" s="8"/>
      <c r="S10" s="8">
        <v>8</v>
      </c>
      <c r="T10" s="14" t="e">
        <f t="shared" si="0"/>
        <v>#VALUE!</v>
      </c>
      <c r="U10" s="8"/>
      <c r="V10" s="14"/>
      <c r="X10" s="11" t="s">
        <v>28</v>
      </c>
      <c r="Y10" s="11">
        <v>8</v>
      </c>
      <c r="Z10" s="8">
        <v>2023</v>
      </c>
      <c r="AB10" s="17">
        <f>IF($K$12="Seleccione Fecha",0,'[1]Empleados Contratista'!A9)</f>
        <v>0</v>
      </c>
      <c r="AC10" s="17">
        <f>IF($K$12="Seleccione Fecha",0,IF('[1]Equipo Contratista'!A9="",0,'[1]Equipo Contratista'!A9))</f>
        <v>0</v>
      </c>
    </row>
    <row r="11" spans="2:29" ht="12.6" customHeight="1" x14ac:dyDescent="0.25">
      <c r="B11" s="8"/>
      <c r="C11" s="8"/>
      <c r="D11" s="28" t="str">
        <f>'[1]Información Force Account'!B2 &amp; "  (" &amp;'[1]Información Force Account'!B1&amp; ")"</f>
        <v xml:space="preserve">  ()</v>
      </c>
      <c r="E11" s="28"/>
      <c r="F11" s="28"/>
      <c r="G11" s="28"/>
      <c r="H11" s="28"/>
      <c r="I11" s="8"/>
      <c r="J11" s="8"/>
      <c r="K11" s="8"/>
      <c r="L11" s="8"/>
      <c r="M11" s="8"/>
      <c r="N11" s="29"/>
      <c r="O11" s="27"/>
      <c r="P11" s="27"/>
      <c r="Q11" s="8"/>
      <c r="R11" s="8"/>
      <c r="S11" s="8">
        <v>9</v>
      </c>
      <c r="T11" s="14" t="e">
        <f t="shared" si="0"/>
        <v>#VALUE!</v>
      </c>
      <c r="U11" s="8"/>
      <c r="V11" s="14"/>
      <c r="X11" s="11" t="s">
        <v>29</v>
      </c>
      <c r="Y11" s="11">
        <v>9</v>
      </c>
      <c r="Z11" s="8">
        <v>2024</v>
      </c>
      <c r="AB11" s="17">
        <f>IF($K$12="Seleccione Fecha",0,'[1]Empleados Contratista'!A10)</f>
        <v>0</v>
      </c>
      <c r="AC11" s="17">
        <f>IF($K$12="Seleccione Fecha",0,IF('[1]Equipo Contratista'!A10="",0,'[1]Equipo Contratista'!A10))</f>
        <v>0</v>
      </c>
    </row>
    <row r="12" spans="2:29" ht="12.9" customHeight="1" x14ac:dyDescent="0.25">
      <c r="B12" s="30" t="s">
        <v>30</v>
      </c>
      <c r="C12" s="31"/>
      <c r="D12" s="28"/>
      <c r="E12" s="28"/>
      <c r="F12" s="28"/>
      <c r="G12" s="28"/>
      <c r="H12" s="28"/>
      <c r="I12" s="8"/>
      <c r="J12" s="17" t="s">
        <v>31</v>
      </c>
      <c r="K12" s="32" t="s">
        <v>3</v>
      </c>
      <c r="L12" s="33"/>
      <c r="M12" s="34"/>
      <c r="N12" s="29"/>
      <c r="O12" s="27"/>
      <c r="P12" s="27"/>
      <c r="Q12" s="34"/>
      <c r="R12" s="34"/>
      <c r="S12" s="8">
        <v>10</v>
      </c>
      <c r="T12" s="14" t="e">
        <f t="shared" si="0"/>
        <v>#VALUE!</v>
      </c>
      <c r="U12" s="8"/>
      <c r="V12" s="14"/>
      <c r="X12" s="11" t="s">
        <v>32</v>
      </c>
      <c r="Y12" s="11">
        <v>10</v>
      </c>
      <c r="Z12" s="8">
        <v>2025</v>
      </c>
      <c r="AB12" s="17">
        <f>IF($K$12="Seleccione Fecha",0,'[1]Empleados Contratista'!A11)</f>
        <v>0</v>
      </c>
      <c r="AC12" s="17">
        <f>IF($K$12="Seleccione Fecha",0,IF('[1]Equipo Contratista'!A11="",0,'[1]Equipo Contratista'!A11))</f>
        <v>0</v>
      </c>
    </row>
    <row r="13" spans="2:29" x14ac:dyDescent="0.25">
      <c r="B13" s="31"/>
      <c r="C13" s="31"/>
      <c r="D13" s="35"/>
      <c r="E13" s="35"/>
      <c r="F13" s="35"/>
      <c r="G13" s="35"/>
      <c r="H13" s="35"/>
      <c r="I13" s="8"/>
      <c r="J13" s="36" t="s">
        <v>33</v>
      </c>
      <c r="K13" s="36"/>
      <c r="L13" s="24" t="str">
        <f>IFERROR(CHOOSE(WEEKDAY(K12),"Domingo","Lunes","Martes","Miercoles","Jueves","Viernes","Sabado"),"")</f>
        <v/>
      </c>
      <c r="M13" s="37"/>
      <c r="N13" s="29"/>
      <c r="O13" s="27"/>
      <c r="P13" s="27"/>
      <c r="Q13" s="37"/>
      <c r="R13" s="37"/>
      <c r="S13" s="8">
        <v>11</v>
      </c>
      <c r="T13" s="14" t="e">
        <f t="shared" si="0"/>
        <v>#VALUE!</v>
      </c>
      <c r="U13" s="8"/>
      <c r="V13" s="14"/>
      <c r="X13" s="11" t="s">
        <v>34</v>
      </c>
      <c r="Y13" s="11">
        <v>11</v>
      </c>
      <c r="Z13" s="8">
        <v>2026</v>
      </c>
      <c r="AB13" s="17">
        <f>IF($K$12="Seleccione Fecha",0,'[1]Empleados Contratista'!A12)</f>
        <v>0</v>
      </c>
      <c r="AC13" s="17">
        <f>IF($K$12="Seleccione Fecha",0,IF('[1]Equipo Contratista'!A12="",0,'[1]Equipo Contratista'!A12))</f>
        <v>0</v>
      </c>
    </row>
    <row r="14" spans="2:29" x14ac:dyDescent="0.25">
      <c r="I14" s="8"/>
      <c r="L14" s="39"/>
      <c r="M14" s="37"/>
      <c r="N14" s="29"/>
      <c r="O14" s="27"/>
      <c r="P14" s="27"/>
      <c r="Q14" s="37"/>
      <c r="R14" s="37"/>
      <c r="S14" s="8">
        <v>12</v>
      </c>
      <c r="T14" s="14" t="e">
        <f t="shared" si="0"/>
        <v>#VALUE!</v>
      </c>
      <c r="U14" s="8"/>
      <c r="V14" s="14"/>
      <c r="X14" s="11" t="s">
        <v>35</v>
      </c>
      <c r="Y14" s="11">
        <v>12</v>
      </c>
      <c r="Z14" s="8">
        <v>2027</v>
      </c>
      <c r="AB14" s="17">
        <f>IF($K$12="Seleccione Fecha",0,'[1]Empleados Contratista'!A13)</f>
        <v>0</v>
      </c>
      <c r="AC14" s="17">
        <f>IF($K$12="Seleccione Fecha",0,IF('[1]Equipo Contratista'!A13="",0,'[1]Equipo Contratista'!A13))</f>
        <v>0</v>
      </c>
    </row>
    <row r="15" spans="2:29" x14ac:dyDescent="0.25">
      <c r="B15" s="11" t="s">
        <v>36</v>
      </c>
      <c r="D15" s="40">
        <f>'[1]Información Force Account'!B4</f>
        <v>0</v>
      </c>
      <c r="E15" s="40"/>
      <c r="F15" s="40"/>
      <c r="G15" s="40"/>
      <c r="H15" s="40"/>
      <c r="I15" s="8"/>
      <c r="J15" s="36" t="s">
        <v>37</v>
      </c>
      <c r="K15" s="36"/>
      <c r="L15" s="24">
        <f>Q3</f>
        <v>1</v>
      </c>
      <c r="M15" s="8"/>
      <c r="N15" s="29"/>
      <c r="O15" s="27"/>
      <c r="P15" s="27"/>
      <c r="Q15" s="8"/>
      <c r="R15" s="8"/>
      <c r="S15" s="8">
        <v>13</v>
      </c>
      <c r="T15" s="14" t="e">
        <f t="shared" si="0"/>
        <v>#VALUE!</v>
      </c>
      <c r="U15" s="8"/>
      <c r="V15" s="14"/>
      <c r="X15" s="8"/>
      <c r="Y15" s="8"/>
      <c r="Z15" s="8">
        <v>2028</v>
      </c>
      <c r="AB15" s="17">
        <f>IF($K$12="Seleccione Fecha",0,'[1]Empleados Contratista'!A14)</f>
        <v>0</v>
      </c>
      <c r="AC15" s="17">
        <f>IF($K$12="Seleccione Fecha",0,IF('[1]Equipo Contratista'!A14="",0,'[1]Equipo Contratista'!A14))</f>
        <v>0</v>
      </c>
    </row>
    <row r="16" spans="2:29" ht="13.8" thickBot="1" x14ac:dyDescent="0.3">
      <c r="N16" s="29"/>
      <c r="O16" s="27"/>
      <c r="P16" s="27"/>
      <c r="S16" s="8">
        <v>14</v>
      </c>
      <c r="T16" s="14" t="e">
        <f t="shared" si="0"/>
        <v>#VALUE!</v>
      </c>
      <c r="U16" s="8"/>
      <c r="V16" s="14"/>
      <c r="X16" s="8"/>
      <c r="Y16" s="8"/>
      <c r="Z16" s="8">
        <v>2029</v>
      </c>
      <c r="AB16" s="17">
        <f>IF($K$12="Seleccione Fecha",0,'[1]Empleados Contratista'!A15)</f>
        <v>0</v>
      </c>
      <c r="AC16" s="17">
        <f>IF($K$12="Seleccione Fecha",0,IF('[1]Equipo Contratista'!A15="",0,'[1]Equipo Contratista'!A15))</f>
        <v>0</v>
      </c>
    </row>
    <row r="17" spans="1:29" s="47" customFormat="1" ht="21" x14ac:dyDescent="0.25">
      <c r="A17" s="41"/>
      <c r="B17" s="42" t="s">
        <v>38</v>
      </c>
      <c r="C17" s="43"/>
      <c r="D17" s="43"/>
      <c r="E17" s="43"/>
      <c r="F17" s="43"/>
      <c r="G17" s="43"/>
      <c r="H17" s="43"/>
      <c r="I17" s="43"/>
      <c r="J17" s="43"/>
      <c r="K17" s="43"/>
      <c r="L17" s="44"/>
      <c r="M17" s="45"/>
      <c r="N17" s="29"/>
      <c r="O17" s="27"/>
      <c r="P17" s="27"/>
      <c r="Q17" s="46"/>
      <c r="R17" s="45"/>
      <c r="S17" s="8">
        <v>15</v>
      </c>
      <c r="T17" s="14" t="e">
        <f t="shared" si="0"/>
        <v>#VALUE!</v>
      </c>
      <c r="U17" s="8"/>
      <c r="V17" s="14"/>
      <c r="W17" s="1"/>
      <c r="X17" s="8"/>
      <c r="Y17" s="8"/>
      <c r="Z17" s="8">
        <v>2030</v>
      </c>
      <c r="AB17" s="17">
        <f>IF($K$12="Seleccione Fecha",0,'[1]Empleados Contratista'!A16)</f>
        <v>0</v>
      </c>
      <c r="AC17" s="17">
        <f>IF($K$12="Seleccione Fecha",0,IF('[1]Equipo Contratista'!A16="",0,'[1]Equipo Contratista'!A16))</f>
        <v>0</v>
      </c>
    </row>
    <row r="18" spans="1:29" s="47" customFormat="1" ht="21" x14ac:dyDescent="0.25">
      <c r="A18" s="41"/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50"/>
      <c r="M18" s="45"/>
      <c r="N18" s="29"/>
      <c r="O18" s="27"/>
      <c r="P18" s="27"/>
      <c r="Q18" s="45"/>
      <c r="R18" s="45"/>
      <c r="S18" s="8">
        <v>16</v>
      </c>
      <c r="T18" s="14" t="e">
        <f t="shared" si="0"/>
        <v>#VALUE!</v>
      </c>
      <c r="U18" s="8"/>
      <c r="V18" s="14"/>
      <c r="AB18" s="17">
        <f>IF($K$12="Seleccione Fecha",0,'[1]Empleados Contratista'!A17)</f>
        <v>0</v>
      </c>
      <c r="AC18" s="17">
        <f>IF($K$12="Seleccione Fecha",0,IF('[1]Equipo Contratista'!A17="",0,'[1]Equipo Contratista'!A17))</f>
        <v>0</v>
      </c>
    </row>
    <row r="19" spans="1:29" x14ac:dyDescent="0.25">
      <c r="A19" s="37"/>
      <c r="B19" s="51" t="s">
        <v>39</v>
      </c>
      <c r="C19" s="52"/>
      <c r="D19" s="52"/>
      <c r="E19" s="52" t="s">
        <v>40</v>
      </c>
      <c r="F19" s="52"/>
      <c r="G19" s="52"/>
      <c r="H19" s="53" t="s">
        <v>41</v>
      </c>
      <c r="I19" s="54" t="s">
        <v>42</v>
      </c>
      <c r="J19" s="52" t="s">
        <v>43</v>
      </c>
      <c r="K19" s="52" t="s">
        <v>44</v>
      </c>
      <c r="L19" s="55"/>
      <c r="M19" s="56"/>
      <c r="N19" s="29"/>
      <c r="O19" s="27"/>
      <c r="P19" s="27"/>
      <c r="Q19" s="4" t="s">
        <v>45</v>
      </c>
      <c r="R19" s="47"/>
      <c r="S19" s="8">
        <v>17</v>
      </c>
      <c r="T19" s="14" t="e">
        <f t="shared" si="0"/>
        <v>#VALUE!</v>
      </c>
      <c r="U19" s="8"/>
      <c r="V19" s="14"/>
      <c r="AB19" s="17">
        <f>IF($K$12="Seleccione Fecha",0,'[1]Empleados Contratista'!A18)</f>
        <v>0</v>
      </c>
      <c r="AC19" s="17">
        <f>IF($K$12="Seleccione Fecha",0,IF('[1]Equipo Contratista'!A18="",0,'[1]Equipo Contratista'!A18))</f>
        <v>0</v>
      </c>
    </row>
    <row r="20" spans="1:29" x14ac:dyDescent="0.25">
      <c r="A20" s="37"/>
      <c r="B20" s="51"/>
      <c r="C20" s="52"/>
      <c r="D20" s="52"/>
      <c r="E20" s="52"/>
      <c r="F20" s="52"/>
      <c r="G20" s="52"/>
      <c r="H20" s="53"/>
      <c r="I20" s="54"/>
      <c r="J20" s="52"/>
      <c r="K20" s="57"/>
      <c r="L20" s="55"/>
      <c r="M20" s="56"/>
      <c r="N20" s="29"/>
      <c r="O20" s="27"/>
      <c r="P20" s="27"/>
      <c r="Q20" s="4"/>
      <c r="S20" s="8">
        <v>18</v>
      </c>
      <c r="T20" s="14" t="e">
        <f t="shared" si="0"/>
        <v>#VALUE!</v>
      </c>
      <c r="U20" s="8"/>
      <c r="V20" s="14"/>
      <c r="W20" s="47"/>
      <c r="AB20" s="17">
        <f>IF($K$12="Seleccione Fecha",0,'[1]Empleados Contratista'!A19)</f>
        <v>0</v>
      </c>
      <c r="AC20" s="17">
        <f>IF($K$12="Seleccione Fecha",0,IF('[1]Equipo Contratista'!A19="",0,'[1]Equipo Contratista'!A19))</f>
        <v>0</v>
      </c>
    </row>
    <row r="21" spans="1:29" ht="12.6" customHeight="1" x14ac:dyDescent="0.25">
      <c r="A21" s="58"/>
      <c r="B21" s="59"/>
      <c r="C21" s="60"/>
      <c r="D21" s="61"/>
      <c r="E21" s="62" t="str">
        <f>IF(ISBLANK(B21),"",VLOOKUP(B21,'[1]Empleados Contratista'!$A$2:$E$51,3,FALSE))</f>
        <v/>
      </c>
      <c r="F21" s="63"/>
      <c r="G21" s="64" t="s">
        <v>46</v>
      </c>
      <c r="H21" s="65"/>
      <c r="I21" s="66" t="str">
        <f>IF(ISBLANK(B21),"",VLOOKUP(B21,'[1]Empleados Contratista'!$A$2:$E$51,4,FALSE))</f>
        <v/>
      </c>
      <c r="J21" s="66" t="str">
        <f>IF(ISBLANK(H21),"",H21*I21)</f>
        <v/>
      </c>
      <c r="K21" s="67" t="str">
        <f>IF(ISBLANK(B21),"",SUM(J21:J22))</f>
        <v/>
      </c>
      <c r="L21" s="68"/>
      <c r="M21" s="69"/>
      <c r="N21" s="69"/>
      <c r="O21" s="6">
        <f>IF(Q21&lt;&gt;"",1,0)</f>
        <v>0</v>
      </c>
      <c r="P21" s="6">
        <v>1</v>
      </c>
      <c r="Q21" s="6" t="str">
        <f>IF(ISBLANK(B21),"",IF(VLOOKUP(B21,'[1]Empleados Contratista'!$A$2:$E$51,5,FALSE)=0,"NU",VLOOKUP(B21,'[1]Empleados Contratista'!$A$2:$E$51,5,FALSE)))</f>
        <v/>
      </c>
      <c r="R21" s="69"/>
      <c r="S21" s="8">
        <v>19</v>
      </c>
      <c r="T21" s="14" t="e">
        <f t="shared" si="0"/>
        <v>#VALUE!</v>
      </c>
      <c r="U21" s="8"/>
      <c r="V21" s="14"/>
      <c r="AB21" s="17">
        <f>IF($K$12="Seleccione Fecha",0,'[1]Empleados Contratista'!A20)</f>
        <v>0</v>
      </c>
      <c r="AC21" s="17">
        <f>IF($K$12="Seleccione Fecha",0,IF('[1]Equipo Contratista'!A20="",0,'[1]Equipo Contratista'!A20))</f>
        <v>0</v>
      </c>
    </row>
    <row r="22" spans="1:29" x14ac:dyDescent="0.25">
      <c r="A22" s="58"/>
      <c r="B22" s="70" t="str">
        <f>IF(ISBLANK(B21),"",VLOOKUP(B21,'[1]Empleados Contratista'!$A$2:$E$51,2,FALSE))</f>
        <v/>
      </c>
      <c r="C22" s="71"/>
      <c r="D22" s="72"/>
      <c r="E22" s="73"/>
      <c r="F22" s="74"/>
      <c r="G22" s="64" t="s">
        <v>47</v>
      </c>
      <c r="H22" s="65"/>
      <c r="I22" s="66" t="str">
        <f>IF(ISBLANK(H22),"",I21*2)</f>
        <v/>
      </c>
      <c r="J22" s="66" t="str">
        <f>IF(ISBLANK(H22),"",H22*I22)</f>
        <v/>
      </c>
      <c r="K22" s="75"/>
      <c r="L22" s="76"/>
      <c r="M22" s="69"/>
      <c r="N22" s="69"/>
      <c r="O22" s="6"/>
      <c r="P22" s="6"/>
      <c r="Q22" s="6"/>
      <c r="R22" s="69"/>
      <c r="S22" s="8">
        <v>20</v>
      </c>
      <c r="T22" s="14" t="e">
        <f t="shared" si="0"/>
        <v>#VALUE!</v>
      </c>
      <c r="U22" s="8"/>
      <c r="V22" s="14"/>
      <c r="AB22" s="17">
        <f>IF($K$12="Seleccione Fecha",0,'[1]Empleados Contratista'!A21)</f>
        <v>0</v>
      </c>
      <c r="AC22" s="17">
        <f>IF($K$12="Seleccione Fecha",0,IF('[1]Equipo Contratista'!A21="",0,'[1]Equipo Contratista'!A21))</f>
        <v>0</v>
      </c>
    </row>
    <row r="23" spans="1:29" ht="12.75" customHeight="1" x14ac:dyDescent="0.25">
      <c r="A23" s="58"/>
      <c r="B23" s="59"/>
      <c r="C23" s="60"/>
      <c r="D23" s="61"/>
      <c r="E23" s="62" t="str">
        <f>IF(ISBLANK(B23),"",VLOOKUP(B23,'[1]Empleados Contratista'!$A$2:$E$51,3,FALSE))</f>
        <v/>
      </c>
      <c r="F23" s="63"/>
      <c r="G23" s="64" t="s">
        <v>46</v>
      </c>
      <c r="H23" s="65"/>
      <c r="I23" s="66" t="str">
        <f>IF(ISBLANK(B23),"",VLOOKUP(B23,'[1]Empleados Contratista'!$A$2:$E$51,4,FALSE))</f>
        <v/>
      </c>
      <c r="J23" s="66" t="str">
        <f t="shared" ref="J23:J50" si="1">IF(ISBLANK(H23),"",H23*I23)</f>
        <v/>
      </c>
      <c r="K23" s="67" t="str">
        <f>IF(ISBLANK(B23),"",SUM(J23:J24))</f>
        <v/>
      </c>
      <c r="L23" s="68"/>
      <c r="M23" s="69"/>
      <c r="N23" s="69"/>
      <c r="O23" s="6">
        <f>IF(Q23&lt;&gt;"",1,0)</f>
        <v>0</v>
      </c>
      <c r="P23" s="6">
        <v>2</v>
      </c>
      <c r="Q23" s="6" t="str">
        <f>IF(ISBLANK(B23),"",IF(VLOOKUP(B23,'[1]Empleados Contratista'!$A$2:$E$51,5,FALSE)=0,"NU",VLOOKUP(B23,'[1]Empleados Contratista'!$A$2:$E$51,5,FALSE)))</f>
        <v/>
      </c>
      <c r="R23" s="69"/>
      <c r="S23" s="8">
        <v>21</v>
      </c>
      <c r="T23" s="14" t="e">
        <f t="shared" si="0"/>
        <v>#VALUE!</v>
      </c>
      <c r="U23" s="8"/>
      <c r="V23" s="14"/>
      <c r="AB23" s="17">
        <f>IF($K$12="Seleccione Fecha",0,'[1]Empleados Contratista'!A22)</f>
        <v>0</v>
      </c>
      <c r="AC23" s="17">
        <f>IF($K$12="Seleccione Fecha",0,IF('[1]Equipo Contratista'!A22="",0,'[1]Equipo Contratista'!A22))</f>
        <v>0</v>
      </c>
    </row>
    <row r="24" spans="1:29" x14ac:dyDescent="0.25">
      <c r="A24" s="58"/>
      <c r="B24" s="70" t="str">
        <f>IF(ISBLANK(B23),"",VLOOKUP(B23,'[1]Empleados Contratista'!$A$2:$E$51,2,FALSE))</f>
        <v/>
      </c>
      <c r="C24" s="71"/>
      <c r="D24" s="72"/>
      <c r="E24" s="73"/>
      <c r="F24" s="74"/>
      <c r="G24" s="64" t="s">
        <v>47</v>
      </c>
      <c r="H24" s="65"/>
      <c r="I24" s="66" t="str">
        <f>IF(ISBLANK(H24),"",I23*2)</f>
        <v/>
      </c>
      <c r="J24" s="66" t="str">
        <f t="shared" si="1"/>
        <v/>
      </c>
      <c r="K24" s="75"/>
      <c r="L24" s="76"/>
      <c r="M24" s="69"/>
      <c r="N24" s="69"/>
      <c r="O24" s="6"/>
      <c r="P24" s="6"/>
      <c r="Q24" s="6"/>
      <c r="R24" s="69"/>
      <c r="S24" s="8">
        <v>22</v>
      </c>
      <c r="T24" s="14" t="e">
        <f t="shared" si="0"/>
        <v>#VALUE!</v>
      </c>
      <c r="U24" s="8"/>
      <c r="V24" s="14"/>
      <c r="AB24" s="17">
        <f>IF($K$12="Seleccione Fecha",0,'[1]Empleados Contratista'!A23)</f>
        <v>0</v>
      </c>
      <c r="AC24" s="17">
        <f>IF($K$12="Seleccione Fecha",0,IF('[1]Equipo Contratista'!A23="",0,'[1]Equipo Contratista'!A23))</f>
        <v>0</v>
      </c>
    </row>
    <row r="25" spans="1:29" ht="12.6" customHeight="1" x14ac:dyDescent="0.25">
      <c r="A25" s="58"/>
      <c r="B25" s="59"/>
      <c r="C25" s="60"/>
      <c r="D25" s="61"/>
      <c r="E25" s="62" t="str">
        <f>IF(ISBLANK(B25),"",VLOOKUP(B25,'[1]Empleados Contratista'!$A$2:$E$51,3,FALSE))</f>
        <v/>
      </c>
      <c r="F25" s="63"/>
      <c r="G25" s="64" t="s">
        <v>46</v>
      </c>
      <c r="H25" s="65"/>
      <c r="I25" s="66" t="str">
        <f>IF(ISBLANK(B25),"",VLOOKUP(B25,'[1]Empleados Contratista'!$A$2:$E$51,4,FALSE))</f>
        <v/>
      </c>
      <c r="J25" s="66" t="str">
        <f t="shared" si="1"/>
        <v/>
      </c>
      <c r="K25" s="67" t="str">
        <f>IF(ISBLANK(B25),"",SUM(J25:J26))</f>
        <v/>
      </c>
      <c r="L25" s="68"/>
      <c r="M25" s="69"/>
      <c r="N25" s="69"/>
      <c r="O25" s="6">
        <f>IF(Q25&lt;&gt;"",1,0)</f>
        <v>0</v>
      </c>
      <c r="P25" s="6">
        <v>3</v>
      </c>
      <c r="Q25" s="6" t="str">
        <f>IF(ISBLANK(B25),"",IF(VLOOKUP(B25,'[1]Empleados Contratista'!$A$2:$E$51,5,FALSE)=0,"NU",VLOOKUP(B25,'[1]Empleados Contratista'!$A$2:$E$51,5,FALSE)))</f>
        <v/>
      </c>
      <c r="R25" s="69"/>
      <c r="S25" s="8">
        <v>23</v>
      </c>
      <c r="T25" s="14" t="e">
        <f t="shared" si="0"/>
        <v>#VALUE!</v>
      </c>
      <c r="U25" s="8"/>
      <c r="V25" s="14"/>
      <c r="AB25" s="17">
        <f>IF($K$12="Seleccione Fecha",0,'[1]Empleados Contratista'!A24)</f>
        <v>0</v>
      </c>
      <c r="AC25" s="17">
        <f>IF($K$12="Seleccione Fecha",0,IF('[1]Equipo Contratista'!A24="",0,'[1]Equipo Contratista'!A24))</f>
        <v>0</v>
      </c>
    </row>
    <row r="26" spans="1:29" x14ac:dyDescent="0.25">
      <c r="A26" s="58"/>
      <c r="B26" s="70" t="str">
        <f>IF(ISBLANK(B25),"",VLOOKUP(B25,'[1]Empleados Contratista'!$A$2:$E$51,2,FALSE))</f>
        <v/>
      </c>
      <c r="C26" s="71"/>
      <c r="D26" s="72"/>
      <c r="E26" s="73"/>
      <c r="F26" s="74"/>
      <c r="G26" s="64" t="s">
        <v>47</v>
      </c>
      <c r="H26" s="65"/>
      <c r="I26" s="66" t="str">
        <f>IF(ISBLANK(H26),"",I25*2)</f>
        <v/>
      </c>
      <c r="J26" s="66" t="str">
        <f t="shared" si="1"/>
        <v/>
      </c>
      <c r="K26" s="75"/>
      <c r="L26" s="76"/>
      <c r="M26" s="69"/>
      <c r="N26" s="69"/>
      <c r="O26" s="6"/>
      <c r="P26" s="6"/>
      <c r="Q26" s="6"/>
      <c r="R26" s="69"/>
      <c r="S26" s="8">
        <v>24</v>
      </c>
      <c r="T26" s="14" t="e">
        <f t="shared" si="0"/>
        <v>#VALUE!</v>
      </c>
      <c r="U26" s="8"/>
      <c r="V26" s="14"/>
      <c r="AB26" s="17">
        <f>IF($K$12="Seleccione Fecha",0,'[1]Empleados Contratista'!A25)</f>
        <v>0</v>
      </c>
      <c r="AC26" s="17">
        <f>IF($K$12="Seleccione Fecha",0,IF('[1]Equipo Contratista'!A25="",0,'[1]Equipo Contratista'!A25))</f>
        <v>0</v>
      </c>
    </row>
    <row r="27" spans="1:29" ht="12.6" customHeight="1" x14ac:dyDescent="0.25">
      <c r="A27" s="58"/>
      <c r="B27" s="59"/>
      <c r="C27" s="60"/>
      <c r="D27" s="61"/>
      <c r="E27" s="62" t="str">
        <f>IF(ISBLANK(B27),"",VLOOKUP(B27,'[1]Empleados Contratista'!$A$2:$E$51,3,FALSE))</f>
        <v/>
      </c>
      <c r="F27" s="63"/>
      <c r="G27" s="64" t="s">
        <v>46</v>
      </c>
      <c r="H27" s="65"/>
      <c r="I27" s="66" t="str">
        <f>IF(ISBLANK(B27),"",VLOOKUP(B27,'[1]Empleados Contratista'!$A$2:$E$51,4,FALSE))</f>
        <v/>
      </c>
      <c r="J27" s="66" t="str">
        <f t="shared" si="1"/>
        <v/>
      </c>
      <c r="K27" s="67" t="str">
        <f>IF(ISBLANK(B27),"",SUM(J27:J28))</f>
        <v/>
      </c>
      <c r="L27" s="68"/>
      <c r="M27" s="69"/>
      <c r="N27" s="69"/>
      <c r="O27" s="6">
        <f>IF(Q27&lt;&gt;"",1,0)</f>
        <v>0</v>
      </c>
      <c r="P27" s="6">
        <v>4</v>
      </c>
      <c r="Q27" s="6" t="str">
        <f>IF(ISBLANK(B27),"",IF(VLOOKUP(B27,'[1]Empleados Contratista'!$A$2:$E$51,5,FALSE)=0,"NU",VLOOKUP(B27,'[1]Empleados Contratista'!$A$2:$E$51,5,FALSE)))</f>
        <v/>
      </c>
      <c r="R27" s="69"/>
      <c r="S27" s="8">
        <v>25</v>
      </c>
      <c r="T27" s="14" t="e">
        <f t="shared" si="0"/>
        <v>#VALUE!</v>
      </c>
      <c r="U27" s="8"/>
      <c r="V27" s="14"/>
      <c r="AB27" s="17">
        <f>IF($K$12="Seleccione Fecha",0,'[1]Empleados Contratista'!A26)</f>
        <v>0</v>
      </c>
      <c r="AC27" s="17">
        <f>IF($K$12="Seleccione Fecha",0,IF('[1]Equipo Contratista'!A26="",0,'[1]Equipo Contratista'!A26))</f>
        <v>0</v>
      </c>
    </row>
    <row r="28" spans="1:29" x14ac:dyDescent="0.25">
      <c r="A28" s="58"/>
      <c r="B28" s="70" t="str">
        <f>IF(ISBLANK(B27),"",VLOOKUP(B27,'[1]Empleados Contratista'!$A$2:$E$51,2,FALSE))</f>
        <v/>
      </c>
      <c r="C28" s="71"/>
      <c r="D28" s="72"/>
      <c r="E28" s="73"/>
      <c r="F28" s="74"/>
      <c r="G28" s="64" t="s">
        <v>47</v>
      </c>
      <c r="H28" s="65"/>
      <c r="I28" s="66" t="str">
        <f>IF(ISBLANK(H28),"",I27*2)</f>
        <v/>
      </c>
      <c r="J28" s="66" t="str">
        <f t="shared" si="1"/>
        <v/>
      </c>
      <c r="K28" s="75"/>
      <c r="L28" s="76"/>
      <c r="M28" s="69"/>
      <c r="N28" s="69"/>
      <c r="O28" s="6"/>
      <c r="P28" s="6"/>
      <c r="Q28" s="6"/>
      <c r="R28" s="69"/>
      <c r="S28" s="8">
        <v>26</v>
      </c>
      <c r="T28" s="14" t="e">
        <f t="shared" si="0"/>
        <v>#VALUE!</v>
      </c>
      <c r="U28" s="8"/>
      <c r="V28" s="14"/>
      <c r="AB28" s="17">
        <f>IF($K$12="Seleccione Fecha",0,'[1]Empleados Contratista'!A27)</f>
        <v>0</v>
      </c>
      <c r="AC28" s="17">
        <f>IF($K$12="Seleccione Fecha",0,IF('[1]Equipo Contratista'!A27="",0,'[1]Equipo Contratista'!A27))</f>
        <v>0</v>
      </c>
    </row>
    <row r="29" spans="1:29" ht="12.6" customHeight="1" x14ac:dyDescent="0.25">
      <c r="A29" s="58"/>
      <c r="B29" s="59"/>
      <c r="C29" s="60"/>
      <c r="D29" s="61"/>
      <c r="E29" s="62" t="str">
        <f>IF(ISBLANK(B29),"",VLOOKUP(B29,'[1]Empleados Contratista'!$A$2:$E$51,3,FALSE))</f>
        <v/>
      </c>
      <c r="F29" s="63"/>
      <c r="G29" s="64" t="s">
        <v>46</v>
      </c>
      <c r="H29" s="65"/>
      <c r="I29" s="66" t="str">
        <f>IF(ISBLANK(B29),"",VLOOKUP(B29,'[1]Empleados Contratista'!$A$2:$E$51,4,FALSE))</f>
        <v/>
      </c>
      <c r="J29" s="66" t="str">
        <f t="shared" si="1"/>
        <v/>
      </c>
      <c r="K29" s="67" t="str">
        <f>IF(ISBLANK(B29),"",SUM(J29:J30))</f>
        <v/>
      </c>
      <c r="L29" s="68"/>
      <c r="M29" s="69"/>
      <c r="N29" s="69"/>
      <c r="O29" s="6">
        <f>IF(Q29&lt;&gt;"",1,0)</f>
        <v>0</v>
      </c>
      <c r="P29" s="6">
        <v>5</v>
      </c>
      <c r="Q29" s="6" t="str">
        <f>IF(ISBLANK(B29),"",IF(VLOOKUP(B29,'[1]Empleados Contratista'!$A$2:$E$51,5,FALSE)=0,"NU",VLOOKUP(B29,'[1]Empleados Contratista'!$A$2:$E$51,5,FALSE)))</f>
        <v/>
      </c>
      <c r="R29" s="69"/>
      <c r="S29" s="8">
        <v>27</v>
      </c>
      <c r="T29" s="14" t="e">
        <f t="shared" si="0"/>
        <v>#VALUE!</v>
      </c>
      <c r="U29" s="8"/>
      <c r="V29" s="14"/>
      <c r="AB29" s="17">
        <f>IF($K$12="Seleccione Fecha",0,'[1]Empleados Contratista'!A28)</f>
        <v>0</v>
      </c>
      <c r="AC29" s="17">
        <f>IF($K$12="Seleccione Fecha",0,IF('[1]Equipo Contratista'!A28="",0,'[1]Equipo Contratista'!A28))</f>
        <v>0</v>
      </c>
    </row>
    <row r="30" spans="1:29" x14ac:dyDescent="0.25">
      <c r="A30" s="58"/>
      <c r="B30" s="70" t="str">
        <f>IF(ISBLANK(B29),"",VLOOKUP(B29,'[1]Empleados Contratista'!$A$2:$E$51,2,FALSE))</f>
        <v/>
      </c>
      <c r="C30" s="71"/>
      <c r="D30" s="72"/>
      <c r="E30" s="73"/>
      <c r="F30" s="74"/>
      <c r="G30" s="64" t="s">
        <v>47</v>
      </c>
      <c r="H30" s="65"/>
      <c r="I30" s="66" t="str">
        <f>IF(ISBLANK(H30),"",I29*2)</f>
        <v/>
      </c>
      <c r="J30" s="66" t="str">
        <f t="shared" si="1"/>
        <v/>
      </c>
      <c r="K30" s="75"/>
      <c r="L30" s="76"/>
      <c r="M30" s="69"/>
      <c r="N30" s="69"/>
      <c r="O30" s="6"/>
      <c r="P30" s="6"/>
      <c r="Q30" s="6"/>
      <c r="R30" s="69"/>
      <c r="S30" s="8">
        <v>28</v>
      </c>
      <c r="T30" s="14" t="e">
        <f t="shared" si="0"/>
        <v>#VALUE!</v>
      </c>
      <c r="U30" s="8"/>
      <c r="V30" s="14"/>
      <c r="AB30" s="17">
        <f>IF($K$12="Seleccione Fecha",0,'[1]Empleados Contratista'!A29)</f>
        <v>0</v>
      </c>
      <c r="AC30" s="17">
        <f>IF($K$12="Seleccione Fecha",0,IF('[1]Equipo Contratista'!A29="",0,'[1]Equipo Contratista'!A29))</f>
        <v>0</v>
      </c>
    </row>
    <row r="31" spans="1:29" ht="12.6" customHeight="1" x14ac:dyDescent="0.25">
      <c r="A31" s="58"/>
      <c r="B31" s="59"/>
      <c r="C31" s="60"/>
      <c r="D31" s="61"/>
      <c r="E31" s="62" t="str">
        <f>IF(ISBLANK(B31),"",VLOOKUP(B31,'[1]Empleados Contratista'!$A$2:$E$51,3,FALSE))</f>
        <v/>
      </c>
      <c r="F31" s="63"/>
      <c r="G31" s="64" t="s">
        <v>46</v>
      </c>
      <c r="H31" s="65"/>
      <c r="I31" s="66" t="str">
        <f>IF(ISBLANK(B31),"",VLOOKUP(B31,'[1]Empleados Contratista'!$A$2:$E$51,4,FALSE))</f>
        <v/>
      </c>
      <c r="J31" s="66" t="str">
        <f t="shared" si="1"/>
        <v/>
      </c>
      <c r="K31" s="67" t="str">
        <f>IF(ISBLANK(B31),"",SUM(J31:J32))</f>
        <v/>
      </c>
      <c r="L31" s="68"/>
      <c r="M31" s="69"/>
      <c r="N31" s="69"/>
      <c r="O31" s="6">
        <f>IF(Q31&lt;&gt;"",1,0)</f>
        <v>0</v>
      </c>
      <c r="P31" s="6">
        <v>6</v>
      </c>
      <c r="Q31" s="6" t="str">
        <f>IF(ISBLANK(B31),"",IF(VLOOKUP(B31,'[1]Empleados Contratista'!$A$2:$E$51,5,FALSE)=0,"NU",VLOOKUP(B31,'[1]Empleados Contratista'!$A$2:$E$51,5,FALSE)))</f>
        <v/>
      </c>
      <c r="R31" s="69"/>
      <c r="S31" s="8">
        <v>29</v>
      </c>
      <c r="T31" s="14" t="e">
        <f t="shared" si="0"/>
        <v>#VALUE!</v>
      </c>
      <c r="U31" s="8"/>
      <c r="V31" s="14"/>
      <c r="AB31" s="17">
        <f>IF($K$12="Seleccione Fecha",0,'[1]Empleados Contratista'!A30)</f>
        <v>0</v>
      </c>
      <c r="AC31" s="17">
        <f>IF($K$12="Seleccione Fecha",0,IF('[1]Equipo Contratista'!A30="",0,'[1]Equipo Contratista'!A30))</f>
        <v>0</v>
      </c>
    </row>
    <row r="32" spans="1:29" x14ac:dyDescent="0.25">
      <c r="A32" s="58"/>
      <c r="B32" s="70" t="str">
        <f>IF(ISBLANK(B31),"",VLOOKUP(B31,'[1]Empleados Contratista'!$A$2:$E$51,2,FALSE))</f>
        <v/>
      </c>
      <c r="C32" s="71"/>
      <c r="D32" s="72"/>
      <c r="E32" s="73"/>
      <c r="F32" s="74"/>
      <c r="G32" s="64" t="s">
        <v>47</v>
      </c>
      <c r="H32" s="65"/>
      <c r="I32" s="66" t="str">
        <f>IF(ISBLANK(H32),"",I31*2)</f>
        <v/>
      </c>
      <c r="J32" s="66" t="str">
        <f t="shared" si="1"/>
        <v/>
      </c>
      <c r="K32" s="75"/>
      <c r="L32" s="76"/>
      <c r="M32" s="69"/>
      <c r="N32" s="69"/>
      <c r="O32" s="6"/>
      <c r="P32" s="6"/>
      <c r="Q32" s="6"/>
      <c r="R32" s="69"/>
      <c r="S32" s="8">
        <v>30</v>
      </c>
      <c r="T32" s="14" t="e">
        <f t="shared" si="0"/>
        <v>#VALUE!</v>
      </c>
      <c r="U32" s="8"/>
      <c r="V32" s="14"/>
      <c r="AB32" s="17">
        <f>IF($K$12="Seleccione Fecha",0,'[1]Empleados Contratista'!A31)</f>
        <v>0</v>
      </c>
      <c r="AC32" s="17">
        <f>IF($K$12="Seleccione Fecha",0,IF('[1]Equipo Contratista'!A31="",0,'[1]Equipo Contratista'!A31))</f>
        <v>0</v>
      </c>
    </row>
    <row r="33" spans="1:29" ht="12.6" customHeight="1" x14ac:dyDescent="0.25">
      <c r="A33" s="58"/>
      <c r="B33" s="59"/>
      <c r="C33" s="60"/>
      <c r="D33" s="61"/>
      <c r="E33" s="62" t="str">
        <f>IF(ISBLANK(B33),"",VLOOKUP(B33,'[1]Empleados Contratista'!$A$2:$E$51,3,FALSE))</f>
        <v/>
      </c>
      <c r="F33" s="63"/>
      <c r="G33" s="64" t="s">
        <v>46</v>
      </c>
      <c r="H33" s="65"/>
      <c r="I33" s="66" t="str">
        <f>IF(ISBLANK(B33),"",VLOOKUP(B33,'[1]Empleados Contratista'!$A$2:$E$51,4,FALSE))</f>
        <v/>
      </c>
      <c r="J33" s="66" t="str">
        <f t="shared" si="1"/>
        <v/>
      </c>
      <c r="K33" s="67" t="str">
        <f>IF(ISBLANK(B33),"",SUM(J33:J34))</f>
        <v/>
      </c>
      <c r="L33" s="68"/>
      <c r="M33" s="69"/>
      <c r="N33" s="69"/>
      <c r="O33" s="6">
        <f>IF(Q33&lt;&gt;"",1,0)</f>
        <v>0</v>
      </c>
      <c r="P33" s="6">
        <v>7</v>
      </c>
      <c r="Q33" s="6" t="str">
        <f>IF(ISBLANK(B33),"",IF(VLOOKUP(B33,'[1]Empleados Contratista'!$A$2:$E$51,5,FALSE)=0,"NU",VLOOKUP(B33,'[1]Empleados Contratista'!$A$2:$E$51,5,FALSE)))</f>
        <v/>
      </c>
      <c r="R33" s="69"/>
      <c r="S33" s="8">
        <v>31</v>
      </c>
      <c r="T33" s="14" t="e">
        <f t="shared" si="0"/>
        <v>#VALUE!</v>
      </c>
      <c r="U33" s="8"/>
      <c r="V33" s="14"/>
      <c r="AB33" s="17">
        <f>IF($K$12="Seleccione Fecha",0,'[1]Empleados Contratista'!A32)</f>
        <v>0</v>
      </c>
      <c r="AC33" s="17">
        <f>IF($K$12="Seleccione Fecha",0,IF('[1]Equipo Contratista'!A32="",0,'[1]Equipo Contratista'!A32))</f>
        <v>0</v>
      </c>
    </row>
    <row r="34" spans="1:29" x14ac:dyDescent="0.25">
      <c r="A34" s="58"/>
      <c r="B34" s="70" t="str">
        <f>IF(ISBLANK(B33),"",VLOOKUP(B33,'[1]Empleados Contratista'!$A$2:$E$51,2,FALSE))</f>
        <v/>
      </c>
      <c r="C34" s="71"/>
      <c r="D34" s="72"/>
      <c r="E34" s="73"/>
      <c r="F34" s="74"/>
      <c r="G34" s="64" t="s">
        <v>47</v>
      </c>
      <c r="H34" s="65"/>
      <c r="I34" s="66" t="str">
        <f>IF(ISBLANK(H34),"",I33*2)</f>
        <v/>
      </c>
      <c r="J34" s="66" t="str">
        <f t="shared" si="1"/>
        <v/>
      </c>
      <c r="K34" s="75"/>
      <c r="L34" s="76"/>
      <c r="M34" s="69"/>
      <c r="N34" s="69"/>
      <c r="O34" s="6"/>
      <c r="P34" s="6"/>
      <c r="Q34" s="6"/>
      <c r="R34" s="69"/>
      <c r="S34" s="8"/>
      <c r="T34" s="14"/>
      <c r="U34" s="8"/>
      <c r="V34" s="14"/>
      <c r="AB34" s="17">
        <f>IF($K$12="Seleccione Fecha",0,'[1]Empleados Contratista'!A33)</f>
        <v>0</v>
      </c>
      <c r="AC34" s="17">
        <f>IF($K$12="Seleccione Fecha",0,IF('[1]Equipo Contratista'!A33="",0,'[1]Equipo Contratista'!A33))</f>
        <v>0</v>
      </c>
    </row>
    <row r="35" spans="1:29" ht="12.6" customHeight="1" x14ac:dyDescent="0.25">
      <c r="A35" s="58"/>
      <c r="B35" s="59"/>
      <c r="C35" s="60"/>
      <c r="D35" s="61"/>
      <c r="E35" s="62" t="str">
        <f>IF(ISBLANK(B35),"",VLOOKUP(B35,'[1]Empleados Contratista'!$A$2:$E$51,3,FALSE))</f>
        <v/>
      </c>
      <c r="F35" s="63"/>
      <c r="G35" s="64" t="s">
        <v>46</v>
      </c>
      <c r="H35" s="65"/>
      <c r="I35" s="66" t="str">
        <f>IF(ISBLANK(B35),"",VLOOKUP(B35,'[1]Empleados Contratista'!$A$2:$E$51,4,FALSE))</f>
        <v/>
      </c>
      <c r="J35" s="66" t="str">
        <f t="shared" si="1"/>
        <v/>
      </c>
      <c r="K35" s="67" t="str">
        <f>IF(ISBLANK(B35),"",SUM(J35:J36))</f>
        <v/>
      </c>
      <c r="L35" s="68"/>
      <c r="M35" s="69"/>
      <c r="N35" s="69"/>
      <c r="O35" s="6">
        <f>IF(Q35&lt;&gt;"",1,0)</f>
        <v>0</v>
      </c>
      <c r="P35" s="6">
        <v>8</v>
      </c>
      <c r="Q35" s="6" t="str">
        <f>IF(ISBLANK(B35),"",IF(VLOOKUP(B35,'[1]Empleados Contratista'!$A$2:$E$51,5,FALSE)=0,"NU",VLOOKUP(B35,'[1]Empleados Contratista'!$A$2:$E$51,5,FALSE)))</f>
        <v/>
      </c>
      <c r="R35" s="69"/>
      <c r="S35" s="69"/>
      <c r="AB35" s="17">
        <f>IF($K$12="Seleccione Fecha",0,'[1]Empleados Contratista'!A34)</f>
        <v>0</v>
      </c>
      <c r="AC35" s="17">
        <f>IF($K$12="Seleccione Fecha",0,IF('[1]Equipo Contratista'!A34="",0,'[1]Equipo Contratista'!A34))</f>
        <v>0</v>
      </c>
    </row>
    <row r="36" spans="1:29" x14ac:dyDescent="0.25">
      <c r="A36" s="58"/>
      <c r="B36" s="70" t="str">
        <f>IF(ISBLANK(B35),"",VLOOKUP(B35,'[1]Empleados Contratista'!$A$2:$E$51,2,FALSE))</f>
        <v/>
      </c>
      <c r="C36" s="71"/>
      <c r="D36" s="72"/>
      <c r="E36" s="73"/>
      <c r="F36" s="74"/>
      <c r="G36" s="64" t="s">
        <v>47</v>
      </c>
      <c r="H36" s="65"/>
      <c r="I36" s="66" t="str">
        <f>IF(ISBLANK(H36),"",I35*2)</f>
        <v/>
      </c>
      <c r="J36" s="66" t="str">
        <f t="shared" si="1"/>
        <v/>
      </c>
      <c r="K36" s="75"/>
      <c r="L36" s="76"/>
      <c r="M36" s="69"/>
      <c r="N36" s="69"/>
      <c r="O36" s="6"/>
      <c r="P36" s="6"/>
      <c r="Q36" s="6"/>
      <c r="R36" s="69"/>
      <c r="S36" s="69"/>
      <c r="AB36" s="17">
        <f>IF($K$12="Seleccione Fecha",0,'[1]Empleados Contratista'!A35)</f>
        <v>0</v>
      </c>
      <c r="AC36" s="17">
        <f>IF($K$12="Seleccione Fecha",0,IF('[1]Equipo Contratista'!A35="",0,'[1]Equipo Contratista'!A35))</f>
        <v>0</v>
      </c>
    </row>
    <row r="37" spans="1:29" ht="12.6" customHeight="1" x14ac:dyDescent="0.25">
      <c r="A37" s="58"/>
      <c r="B37" s="59"/>
      <c r="C37" s="60"/>
      <c r="D37" s="61"/>
      <c r="E37" s="62" t="str">
        <f>IF(ISBLANK(B37),"",VLOOKUP(B37,'[1]Empleados Contratista'!$A$2:$E$51,3,FALSE))</f>
        <v/>
      </c>
      <c r="F37" s="63"/>
      <c r="G37" s="64" t="s">
        <v>46</v>
      </c>
      <c r="H37" s="65"/>
      <c r="I37" s="66" t="str">
        <f>IF(ISBLANK(B37),"",VLOOKUP(B37,'[1]Empleados Contratista'!$A$2:$E$51,4,FALSE))</f>
        <v/>
      </c>
      <c r="J37" s="66" t="str">
        <f t="shared" si="1"/>
        <v/>
      </c>
      <c r="K37" s="67" t="str">
        <f>IF(ISBLANK(B37),"",SUM(J37:J38))</f>
        <v/>
      </c>
      <c r="L37" s="68"/>
      <c r="M37" s="69"/>
      <c r="N37" s="69"/>
      <c r="O37" s="6">
        <f>IF(Q37&lt;&gt;"",1,0)</f>
        <v>0</v>
      </c>
      <c r="P37" s="6">
        <v>9</v>
      </c>
      <c r="Q37" s="6" t="str">
        <f>IF(ISBLANK(B37),"",IF(VLOOKUP(B37,'[1]Empleados Contratista'!$A$2:$E$51,5,FALSE)=0,"NU",VLOOKUP(B37,'[1]Empleados Contratista'!$A$2:$E$51,5,FALSE)))</f>
        <v/>
      </c>
      <c r="R37" s="69"/>
      <c r="S37" s="69"/>
      <c r="AB37" s="17">
        <f>IF($K$12="Seleccione Fecha",0,'[1]Empleados Contratista'!A36)</f>
        <v>0</v>
      </c>
      <c r="AC37" s="17">
        <f>IF($K$12="Seleccione Fecha",0,IF('[1]Equipo Contratista'!A36="",0,'[1]Equipo Contratista'!A36))</f>
        <v>0</v>
      </c>
    </row>
    <row r="38" spans="1:29" x14ac:dyDescent="0.25">
      <c r="A38" s="58"/>
      <c r="B38" s="70" t="str">
        <f>IF(ISBLANK(B37),"",VLOOKUP(B37,'[1]Empleados Contratista'!$A$2:$E$51,2,FALSE))</f>
        <v/>
      </c>
      <c r="C38" s="71"/>
      <c r="D38" s="72"/>
      <c r="E38" s="73"/>
      <c r="F38" s="74"/>
      <c r="G38" s="64" t="s">
        <v>47</v>
      </c>
      <c r="H38" s="65"/>
      <c r="I38" s="66" t="str">
        <f>IF(ISBLANK(H38),"",I37*2)</f>
        <v/>
      </c>
      <c r="J38" s="66" t="str">
        <f t="shared" si="1"/>
        <v/>
      </c>
      <c r="K38" s="75"/>
      <c r="L38" s="76"/>
      <c r="M38" s="69"/>
      <c r="N38" s="69"/>
      <c r="O38" s="6"/>
      <c r="P38" s="6"/>
      <c r="Q38" s="6"/>
      <c r="R38" s="69"/>
      <c r="S38" s="69"/>
      <c r="AB38" s="17">
        <f>IF($K$12="Seleccione Fecha",0,'[1]Empleados Contratista'!A37)</f>
        <v>0</v>
      </c>
      <c r="AC38" s="17">
        <f>IF($K$12="Seleccione Fecha",0,IF('[1]Equipo Contratista'!A37="",0,'[1]Equipo Contratista'!A37))</f>
        <v>0</v>
      </c>
    </row>
    <row r="39" spans="1:29" ht="12.6" customHeight="1" x14ac:dyDescent="0.25">
      <c r="A39" s="58"/>
      <c r="B39" s="59"/>
      <c r="C39" s="60"/>
      <c r="D39" s="61"/>
      <c r="E39" s="62" t="str">
        <f>IF(ISBLANK(B39),"",VLOOKUP(B39,'[1]Empleados Contratista'!$A$2:$E$51,3,FALSE))</f>
        <v/>
      </c>
      <c r="F39" s="63"/>
      <c r="G39" s="64" t="s">
        <v>46</v>
      </c>
      <c r="H39" s="65"/>
      <c r="I39" s="66" t="str">
        <f>IF(ISBLANK(B39),"",VLOOKUP(B39,'[1]Empleados Contratista'!$A$2:$E$51,4,FALSE))</f>
        <v/>
      </c>
      <c r="J39" s="66" t="str">
        <f t="shared" si="1"/>
        <v/>
      </c>
      <c r="K39" s="67" t="str">
        <f>IF(ISBLANK(B39),"",SUM(J39:J40))</f>
        <v/>
      </c>
      <c r="L39" s="68"/>
      <c r="M39" s="69"/>
      <c r="N39" s="69"/>
      <c r="O39" s="6">
        <f>IF(Q39&lt;&gt;"",1,0)</f>
        <v>0</v>
      </c>
      <c r="P39" s="6">
        <v>10</v>
      </c>
      <c r="Q39" s="6" t="str">
        <f>IF(ISBLANK(B39),"",IF(VLOOKUP(B39,'[1]Empleados Contratista'!$A$2:$E$51,5,FALSE)=0,"NU",VLOOKUP(B39,'[1]Empleados Contratista'!$A$2:$E$51,5,FALSE)))</f>
        <v/>
      </c>
      <c r="R39" s="69"/>
      <c r="S39" s="69"/>
      <c r="AB39" s="17">
        <f>IF($K$12="Seleccione Fecha",0,'[1]Empleados Contratista'!A38)</f>
        <v>0</v>
      </c>
      <c r="AC39" s="17">
        <f>IF($K$12="Seleccione Fecha",0,IF('[1]Equipo Contratista'!A38="",0,'[1]Equipo Contratista'!A38))</f>
        <v>0</v>
      </c>
    </row>
    <row r="40" spans="1:29" x14ac:dyDescent="0.25">
      <c r="A40" s="58"/>
      <c r="B40" s="70" t="str">
        <f>IF(ISBLANK(B39),"",VLOOKUP(B39,'[1]Empleados Contratista'!$A$2:$E$51,2,FALSE))</f>
        <v/>
      </c>
      <c r="C40" s="71"/>
      <c r="D40" s="72"/>
      <c r="E40" s="73"/>
      <c r="F40" s="74"/>
      <c r="G40" s="64" t="s">
        <v>47</v>
      </c>
      <c r="H40" s="65"/>
      <c r="I40" s="66" t="str">
        <f>IF(ISBLANK(H40),"",I39*2)</f>
        <v/>
      </c>
      <c r="J40" s="66" t="str">
        <f t="shared" si="1"/>
        <v/>
      </c>
      <c r="K40" s="75"/>
      <c r="L40" s="76"/>
      <c r="M40" s="69"/>
      <c r="N40" s="69"/>
      <c r="O40" s="6"/>
      <c r="P40" s="6"/>
      <c r="Q40" s="6"/>
      <c r="R40" s="69"/>
      <c r="S40" s="69"/>
      <c r="AB40" s="17">
        <f>IF($K$12="Seleccione Fecha",0,'[1]Empleados Contratista'!A39)</f>
        <v>0</v>
      </c>
      <c r="AC40" s="17">
        <f>IF($K$12="Seleccione Fecha",0,IF('[1]Equipo Contratista'!A39="",0,'[1]Equipo Contratista'!A39))</f>
        <v>0</v>
      </c>
    </row>
    <row r="41" spans="1:29" ht="12.6" customHeight="1" x14ac:dyDescent="0.25">
      <c r="A41" s="58"/>
      <c r="B41" s="59"/>
      <c r="C41" s="60"/>
      <c r="D41" s="61"/>
      <c r="E41" s="62" t="str">
        <f>IF(ISBLANK(B41),"",VLOOKUP(B41,'[1]Empleados Contratista'!$A$2:$E$51,3,FALSE))</f>
        <v/>
      </c>
      <c r="F41" s="63"/>
      <c r="G41" s="64" t="s">
        <v>46</v>
      </c>
      <c r="H41" s="65"/>
      <c r="I41" s="66" t="str">
        <f>IF(ISBLANK(B41),"",VLOOKUP(B41,'[1]Empleados Contratista'!$A$2:$E$51,4,FALSE))</f>
        <v/>
      </c>
      <c r="J41" s="66" t="str">
        <f t="shared" si="1"/>
        <v/>
      </c>
      <c r="K41" s="67" t="str">
        <f>IF(ISBLANK(B41),"",SUM(J41:J42))</f>
        <v/>
      </c>
      <c r="L41" s="68"/>
      <c r="M41" s="69"/>
      <c r="N41" s="69"/>
      <c r="O41" s="6">
        <f>IF(Q41&lt;&gt;"",1,0)</f>
        <v>0</v>
      </c>
      <c r="P41" s="6">
        <v>11</v>
      </c>
      <c r="Q41" s="6" t="str">
        <f>IF(ISBLANK(B41),"",IF(VLOOKUP(B41,'[1]Empleados Contratista'!$A$2:$E$51,5,FALSE)=0,"NU",VLOOKUP(B41,'[1]Empleados Contratista'!$A$2:$E$51,5,FALSE)))</f>
        <v/>
      </c>
      <c r="R41" s="69"/>
      <c r="S41" s="69"/>
      <c r="AB41" s="17">
        <f>IF($K$12="Seleccione Fecha",0,'[1]Empleados Contratista'!A40)</f>
        <v>0</v>
      </c>
      <c r="AC41" s="17">
        <f>IF($K$12="Seleccione Fecha",0,IF('[1]Equipo Contratista'!A40="",0,'[1]Equipo Contratista'!A40))</f>
        <v>0</v>
      </c>
    </row>
    <row r="42" spans="1:29" x14ac:dyDescent="0.25">
      <c r="A42" s="58"/>
      <c r="B42" s="70" t="str">
        <f>IF(ISBLANK(B41),"",VLOOKUP(B41,'[1]Empleados Contratista'!$A$2:$E$51,2,FALSE))</f>
        <v/>
      </c>
      <c r="C42" s="71"/>
      <c r="D42" s="72"/>
      <c r="E42" s="73"/>
      <c r="F42" s="74"/>
      <c r="G42" s="64" t="s">
        <v>47</v>
      </c>
      <c r="H42" s="65"/>
      <c r="I42" s="66" t="str">
        <f>IF(ISBLANK(H42),"",I41*2)</f>
        <v/>
      </c>
      <c r="J42" s="66" t="str">
        <f t="shared" si="1"/>
        <v/>
      </c>
      <c r="K42" s="75"/>
      <c r="L42" s="76"/>
      <c r="M42" s="69"/>
      <c r="N42" s="69"/>
      <c r="O42" s="6"/>
      <c r="P42" s="6"/>
      <c r="Q42" s="6"/>
      <c r="R42" s="69"/>
      <c r="S42" s="69"/>
      <c r="AB42" s="17">
        <f>IF($K$12="Seleccione Fecha",0,'[1]Empleados Contratista'!A41)</f>
        <v>0</v>
      </c>
      <c r="AC42" s="17">
        <f>IF($K$12="Seleccione Fecha",0,IF('[1]Equipo Contratista'!A41="",0,'[1]Equipo Contratista'!A41))</f>
        <v>0</v>
      </c>
    </row>
    <row r="43" spans="1:29" ht="12.6" customHeight="1" x14ac:dyDescent="0.25">
      <c r="A43" s="58"/>
      <c r="B43" s="59"/>
      <c r="C43" s="60"/>
      <c r="D43" s="61"/>
      <c r="E43" s="62" t="str">
        <f>IF(ISBLANK(B43),"",VLOOKUP(B43,'[1]Empleados Contratista'!$A$2:$E$51,3,FALSE))</f>
        <v/>
      </c>
      <c r="F43" s="63"/>
      <c r="G43" s="64" t="s">
        <v>46</v>
      </c>
      <c r="H43" s="65"/>
      <c r="I43" s="66" t="str">
        <f>IF(ISBLANK(B43),"",VLOOKUP(B43,'[1]Empleados Contratista'!$A$2:$E$51,4,FALSE))</f>
        <v/>
      </c>
      <c r="J43" s="66" t="str">
        <f t="shared" si="1"/>
        <v/>
      </c>
      <c r="K43" s="67" t="str">
        <f>IF(ISBLANK(B43),"",SUM(J43:J44))</f>
        <v/>
      </c>
      <c r="L43" s="68"/>
      <c r="M43" s="69"/>
      <c r="N43" s="69"/>
      <c r="O43" s="6">
        <f>IF(Q43&lt;&gt;"",1,0)</f>
        <v>0</v>
      </c>
      <c r="P43" s="6">
        <v>12</v>
      </c>
      <c r="Q43" s="6" t="str">
        <f>IF(ISBLANK(B43),"",IF(VLOOKUP(B43,'[1]Empleados Contratista'!$A$2:$E$51,5,FALSE)=0,"NU",VLOOKUP(B43,'[1]Empleados Contratista'!$A$2:$E$51,5,FALSE)))</f>
        <v/>
      </c>
      <c r="R43" s="69"/>
      <c r="S43" s="69"/>
      <c r="AB43" s="17">
        <f>IF($K$12="Seleccione Fecha",0,'[1]Empleados Contratista'!A42)</f>
        <v>0</v>
      </c>
      <c r="AC43" s="17">
        <f>IF($K$12="Seleccione Fecha",0,IF('[1]Equipo Contratista'!A42="",0,'[1]Equipo Contratista'!A42))</f>
        <v>0</v>
      </c>
    </row>
    <row r="44" spans="1:29" x14ac:dyDescent="0.25">
      <c r="A44" s="58"/>
      <c r="B44" s="70" t="str">
        <f>IF(ISBLANK(B43),"",VLOOKUP(B43,'[1]Empleados Contratista'!$A$2:$E$51,2,FALSE))</f>
        <v/>
      </c>
      <c r="C44" s="71"/>
      <c r="D44" s="72"/>
      <c r="E44" s="73"/>
      <c r="F44" s="74"/>
      <c r="G44" s="64" t="s">
        <v>47</v>
      </c>
      <c r="H44" s="65"/>
      <c r="I44" s="66" t="str">
        <f>IF(ISBLANK(H44),"",I43*2)</f>
        <v/>
      </c>
      <c r="J44" s="66" t="str">
        <f t="shared" si="1"/>
        <v/>
      </c>
      <c r="K44" s="75"/>
      <c r="L44" s="76"/>
      <c r="M44" s="69"/>
      <c r="N44" s="69"/>
      <c r="O44" s="6"/>
      <c r="P44" s="6"/>
      <c r="Q44" s="6"/>
      <c r="R44" s="69"/>
      <c r="S44" s="69"/>
      <c r="AB44" s="17">
        <f>IF($K$12="Seleccione Fecha",0,'[1]Empleados Contratista'!A43)</f>
        <v>0</v>
      </c>
      <c r="AC44" s="17">
        <f>IF($K$12="Seleccione Fecha",0,IF('[1]Equipo Contratista'!A43="",0,'[1]Equipo Contratista'!A43))</f>
        <v>0</v>
      </c>
    </row>
    <row r="45" spans="1:29" ht="12.6" customHeight="1" x14ac:dyDescent="0.25">
      <c r="A45" s="58"/>
      <c r="B45" s="59"/>
      <c r="C45" s="60"/>
      <c r="D45" s="61"/>
      <c r="E45" s="62" t="str">
        <f>IF(ISBLANK(B45),"",VLOOKUP(B45,'[1]Empleados Contratista'!$A$2:$E$51,3,FALSE))</f>
        <v/>
      </c>
      <c r="F45" s="63"/>
      <c r="G45" s="64" t="s">
        <v>46</v>
      </c>
      <c r="H45" s="65"/>
      <c r="I45" s="66" t="str">
        <f>IF(ISBLANK(B45),"",VLOOKUP(B45,'[1]Empleados Contratista'!$A$2:$E$51,4,FALSE))</f>
        <v/>
      </c>
      <c r="J45" s="66" t="str">
        <f t="shared" si="1"/>
        <v/>
      </c>
      <c r="K45" s="67" t="str">
        <f>IF(ISBLANK(B45),"",SUM(J45:J46))</f>
        <v/>
      </c>
      <c r="L45" s="68"/>
      <c r="M45" s="69"/>
      <c r="N45" s="69"/>
      <c r="O45" s="6">
        <f>IF(Q45&lt;&gt;"",1,0)</f>
        <v>0</v>
      </c>
      <c r="P45" s="6">
        <v>13</v>
      </c>
      <c r="Q45" s="6" t="str">
        <f>IF(ISBLANK(B45),"",IF(VLOOKUP(B45,'[1]Empleados Contratista'!$A$2:$E$51,5,FALSE)=0,"NU",VLOOKUP(B45,'[1]Empleados Contratista'!$A$2:$E$51,5,FALSE)))</f>
        <v/>
      </c>
      <c r="R45" s="69"/>
      <c r="S45" s="69"/>
      <c r="AB45" s="17">
        <f>IF($K$12="Seleccione Fecha",0,'[1]Empleados Contratista'!A44)</f>
        <v>0</v>
      </c>
      <c r="AC45" s="17">
        <f>IF($K$12="Seleccione Fecha",0,IF('[1]Equipo Contratista'!A44="",0,'[1]Equipo Contratista'!A44))</f>
        <v>0</v>
      </c>
    </row>
    <row r="46" spans="1:29" x14ac:dyDescent="0.25">
      <c r="A46" s="58"/>
      <c r="B46" s="70" t="str">
        <f>IF(ISBLANK(B45),"",VLOOKUP(B45,'[1]Empleados Contratista'!$A$2:$E$51,2,FALSE))</f>
        <v/>
      </c>
      <c r="C46" s="71"/>
      <c r="D46" s="72"/>
      <c r="E46" s="73"/>
      <c r="F46" s="74"/>
      <c r="G46" s="64" t="s">
        <v>47</v>
      </c>
      <c r="H46" s="65"/>
      <c r="I46" s="66" t="str">
        <f>IF(ISBLANK(H46),"",I45*2)</f>
        <v/>
      </c>
      <c r="J46" s="66" t="str">
        <f t="shared" si="1"/>
        <v/>
      </c>
      <c r="K46" s="75"/>
      <c r="L46" s="76"/>
      <c r="M46" s="69"/>
      <c r="N46" s="69"/>
      <c r="O46" s="6"/>
      <c r="P46" s="6"/>
      <c r="Q46" s="6"/>
      <c r="R46" s="69"/>
      <c r="S46" s="69"/>
      <c r="AB46" s="17">
        <f>IF($K$12="Seleccione Fecha",0,'[1]Empleados Contratista'!A45)</f>
        <v>0</v>
      </c>
      <c r="AC46" s="17">
        <f>IF($K$12="Seleccione Fecha",0,IF('[1]Equipo Contratista'!A45="",0,'[1]Equipo Contratista'!A45))</f>
        <v>0</v>
      </c>
    </row>
    <row r="47" spans="1:29" ht="12.6" customHeight="1" x14ac:dyDescent="0.25">
      <c r="A47" s="58"/>
      <c r="B47" s="59"/>
      <c r="C47" s="60"/>
      <c r="D47" s="61"/>
      <c r="E47" s="62" t="str">
        <f>IF(ISBLANK(B47),"",VLOOKUP(B47,'[1]Empleados Contratista'!$A$2:$E$51,3,FALSE))</f>
        <v/>
      </c>
      <c r="F47" s="63"/>
      <c r="G47" s="64" t="s">
        <v>46</v>
      </c>
      <c r="H47" s="65"/>
      <c r="I47" s="66" t="str">
        <f>IF(ISBLANK(B47),"",VLOOKUP(B47,'[1]Empleados Contratista'!$A$2:$E$51,4,FALSE))</f>
        <v/>
      </c>
      <c r="J47" s="66" t="str">
        <f t="shared" si="1"/>
        <v/>
      </c>
      <c r="K47" s="67" t="str">
        <f>IF(ISBLANK(B47),"",SUM(J47:J48))</f>
        <v/>
      </c>
      <c r="L47" s="68"/>
      <c r="M47" s="69"/>
      <c r="N47" s="69"/>
      <c r="O47" s="6">
        <f>IF(Q47&lt;&gt;"",1,0)</f>
        <v>0</v>
      </c>
      <c r="P47" s="6">
        <v>14</v>
      </c>
      <c r="Q47" s="6" t="str">
        <f>IF(ISBLANK(B47),"",IF(VLOOKUP(B47,'[1]Empleados Contratista'!$A$2:$E$51,5,FALSE)=0,"NU",VLOOKUP(B47,'[1]Empleados Contratista'!$A$2:$E$51,5,FALSE)))</f>
        <v/>
      </c>
      <c r="R47" s="69"/>
      <c r="S47" s="69"/>
      <c r="AB47" s="17">
        <f>IF($K$12="Seleccione Fecha",0,'[1]Empleados Contratista'!A46)</f>
        <v>0</v>
      </c>
      <c r="AC47" s="17">
        <f>IF($K$12="Seleccione Fecha",0,IF('[1]Equipo Contratista'!A46="",0,'[1]Equipo Contratista'!A46))</f>
        <v>0</v>
      </c>
    </row>
    <row r="48" spans="1:29" x14ac:dyDescent="0.25">
      <c r="A48" s="58"/>
      <c r="B48" s="70" t="str">
        <f>IF(ISBLANK(B47),"",VLOOKUP(B47,'[1]Empleados Contratista'!$A$2:$E$51,2,FALSE))</f>
        <v/>
      </c>
      <c r="C48" s="71"/>
      <c r="D48" s="72"/>
      <c r="E48" s="73"/>
      <c r="F48" s="74"/>
      <c r="G48" s="64" t="s">
        <v>47</v>
      </c>
      <c r="H48" s="65"/>
      <c r="I48" s="66" t="str">
        <f>IF(ISBLANK(H48),"",I47*2)</f>
        <v/>
      </c>
      <c r="J48" s="66" t="str">
        <f t="shared" si="1"/>
        <v/>
      </c>
      <c r="K48" s="75"/>
      <c r="L48" s="76"/>
      <c r="M48" s="69"/>
      <c r="N48" s="69"/>
      <c r="O48" s="6"/>
      <c r="P48" s="6"/>
      <c r="Q48" s="6"/>
      <c r="R48" s="69"/>
      <c r="S48" s="69"/>
      <c r="AB48" s="17">
        <f>IF($K$12="Seleccione Fecha",0,'[1]Empleados Contratista'!A47)</f>
        <v>0</v>
      </c>
      <c r="AC48" s="17">
        <f>IF($K$12="Seleccione Fecha",0,IF('[1]Equipo Contratista'!A47="",0,'[1]Equipo Contratista'!A47))</f>
        <v>0</v>
      </c>
    </row>
    <row r="49" spans="1:29" ht="12.6" customHeight="1" x14ac:dyDescent="0.25">
      <c r="A49" s="58"/>
      <c r="B49" s="59"/>
      <c r="C49" s="60"/>
      <c r="D49" s="61"/>
      <c r="E49" s="62" t="str">
        <f>IF(ISBLANK(B49),"",VLOOKUP(B49,'[1]Empleados Contratista'!$A$2:$E$51,3,FALSE))</f>
        <v/>
      </c>
      <c r="F49" s="63"/>
      <c r="G49" s="64" t="s">
        <v>46</v>
      </c>
      <c r="H49" s="65"/>
      <c r="I49" s="66" t="str">
        <f>IF(ISBLANK(B49),"",VLOOKUP(B49,'[1]Empleados Contratista'!$A$2:$E$51,4,FALSE))</f>
        <v/>
      </c>
      <c r="J49" s="66" t="str">
        <f t="shared" si="1"/>
        <v/>
      </c>
      <c r="K49" s="67" t="str">
        <f>IF(ISBLANK(B49),"",SUM(J49:J50))</f>
        <v/>
      </c>
      <c r="L49" s="68"/>
      <c r="M49" s="69"/>
      <c r="N49" s="69"/>
      <c r="O49" s="6">
        <f>IF(Q49&lt;&gt;"",1,0)</f>
        <v>0</v>
      </c>
      <c r="P49" s="6">
        <v>15</v>
      </c>
      <c r="Q49" s="6" t="str">
        <f>IF(ISBLANK(B49),"",IF(VLOOKUP(B49,'[1]Empleados Contratista'!$A$2:$E$51,5,FALSE)=0,"NU",VLOOKUP(B49,'[1]Empleados Contratista'!$A$2:$E$51,5,FALSE)))</f>
        <v/>
      </c>
      <c r="R49" s="69"/>
      <c r="S49" s="69"/>
      <c r="AB49" s="17">
        <f>IF($K$12="Seleccione Fecha",0,'[1]Empleados Contratista'!A48)</f>
        <v>0</v>
      </c>
      <c r="AC49" s="17">
        <f>IF($K$12="Seleccione Fecha",0,IF('[1]Equipo Contratista'!A48="",0,'[1]Equipo Contratista'!A48))</f>
        <v>0</v>
      </c>
    </row>
    <row r="50" spans="1:29" ht="13.8" thickBot="1" x14ac:dyDescent="0.3">
      <c r="A50" s="58"/>
      <c r="B50" s="77" t="str">
        <f>IF(ISBLANK(B49),"",VLOOKUP(B49,'[1]Empleados Contratista'!$A$2:$E$51,2,FALSE))</f>
        <v/>
      </c>
      <c r="C50" s="78"/>
      <c r="D50" s="79"/>
      <c r="E50" s="80"/>
      <c r="F50" s="81"/>
      <c r="G50" s="82" t="s">
        <v>47</v>
      </c>
      <c r="H50" s="83"/>
      <c r="I50" s="84" t="str">
        <f>IF(ISBLANK(H50),"",I49*2)</f>
        <v/>
      </c>
      <c r="J50" s="84" t="str">
        <f t="shared" si="1"/>
        <v/>
      </c>
      <c r="K50" s="85"/>
      <c r="L50" s="86"/>
      <c r="M50" s="69"/>
      <c r="N50" s="69"/>
      <c r="O50" s="6"/>
      <c r="P50" s="6"/>
      <c r="Q50" s="6"/>
      <c r="R50" s="69"/>
      <c r="S50" s="69"/>
      <c r="AB50" s="17">
        <f>IF($K$12="Seleccione Fecha",0,'[1]Empleados Contratista'!A49)</f>
        <v>0</v>
      </c>
      <c r="AC50" s="17">
        <f>IF($K$12="Seleccione Fecha",0,IF('[1]Equipo Contratista'!A49="",0,'[1]Equipo Contratista'!A49))</f>
        <v>0</v>
      </c>
    </row>
    <row r="51" spans="1:29" x14ac:dyDescent="0.25">
      <c r="B51" s="87" t="s">
        <v>48</v>
      </c>
      <c r="C51" s="54"/>
      <c r="D51" s="88" t="s">
        <v>49</v>
      </c>
      <c r="E51" s="54"/>
      <c r="F51" s="53" t="s">
        <v>50</v>
      </c>
      <c r="G51" s="53"/>
      <c r="H51" s="89"/>
      <c r="N51" s="12"/>
      <c r="O51" s="12">
        <f>SUM(O21:O50)</f>
        <v>0</v>
      </c>
      <c r="P51" s="12"/>
      <c r="AB51" s="17">
        <f>IF($K$12="Seleccione Fecha",0,'[1]Empleados Contratista'!A50)</f>
        <v>0</v>
      </c>
      <c r="AC51" s="17">
        <f>IF($K$12="Seleccione Fecha",0,IF('[1]Equipo Contratista'!A50="",0,'[1]Equipo Contratista'!A50))</f>
        <v>0</v>
      </c>
    </row>
    <row r="52" spans="1:29" x14ac:dyDescent="0.25">
      <c r="B52" s="90"/>
      <c r="C52" s="54"/>
      <c r="D52" s="54"/>
      <c r="E52" s="54"/>
      <c r="F52" s="53"/>
      <c r="G52" s="53"/>
      <c r="H52" s="89"/>
      <c r="N52" s="91"/>
      <c r="O52" s="91"/>
      <c r="P52" s="12"/>
      <c r="AB52" s="17">
        <f>IF($K$12="Seleccione Fecha",0,'[1]Empleados Contratista'!A51)</f>
        <v>0</v>
      </c>
      <c r="AC52" s="17">
        <f>IF($K$12="Seleccione Fecha",0,IF('[1]Equipo Contratista'!A51="",0,'[1]Equipo Contratista'!A51))</f>
        <v>0</v>
      </c>
    </row>
    <row r="53" spans="1:29" x14ac:dyDescent="0.25">
      <c r="B53" s="92" t="str">
        <f>IF('[1]Información Force Account'!I2,SUMIFS(Total_PC,Pag_PC,$Q$1,Union_PC,"Operadores"),"")</f>
        <v/>
      </c>
      <c r="C53" s="93"/>
      <c r="D53" s="93" t="str">
        <f>IF('[1]Información Force Account'!I2,SUMIFS(Total_PC,Pag_PC,$Q$1,Union_PC,"Carpinteros"),"")</f>
        <v/>
      </c>
      <c r="E53" s="93"/>
      <c r="F53" s="93" t="str">
        <f>IF('[1]Información Force Account'!I2,SUMIFS(Total_PC,Pag_PC,$Q$1,Union_PC,"NU"),"")</f>
        <v/>
      </c>
      <c r="G53" s="93"/>
      <c r="H53" s="94"/>
      <c r="AC53" s="17">
        <f>IF($K$12="Seleccione Fecha",0,IF('[1]Equipo Contratista'!A52="",0,'[1]Equipo Contratista'!A52))</f>
        <v>0</v>
      </c>
    </row>
    <row r="54" spans="1:29" ht="13.8" thickBot="1" x14ac:dyDescent="0.3">
      <c r="B54" s="95"/>
      <c r="C54" s="96"/>
      <c r="D54" s="96"/>
      <c r="E54" s="96"/>
      <c r="F54" s="96"/>
      <c r="G54" s="96"/>
      <c r="H54" s="97"/>
      <c r="I54" s="98" t="s">
        <v>51</v>
      </c>
      <c r="J54" s="98"/>
      <c r="K54" s="99">
        <f>SUM(K21:L50)</f>
        <v>0</v>
      </c>
      <c r="L54" s="100"/>
      <c r="M54" s="101"/>
      <c r="N54" s="101"/>
      <c r="O54" s="101"/>
      <c r="P54" s="101"/>
      <c r="Q54" s="101"/>
      <c r="R54" s="102"/>
      <c r="S54" s="102"/>
      <c r="AC54" s="17">
        <f>IF($K$12="Seleccione Fecha",0,IF('[1]Equipo Contratista'!A53="",0,'[1]Equipo Contratista'!A53))</f>
        <v>0</v>
      </c>
    </row>
    <row r="55" spans="1:29" x14ac:dyDescent="0.25">
      <c r="AC55" s="17">
        <f>IF($K$12="Seleccione Fecha",0,IF('[1]Equipo Contratista'!A54="",0,'[1]Equipo Contratista'!A54))</f>
        <v>0</v>
      </c>
    </row>
    <row r="56" spans="1:29" x14ac:dyDescent="0.25">
      <c r="AC56" s="17">
        <f>IF($K$12="Seleccione Fecha",0,IF('[1]Equipo Contratista'!A55="",0,'[1]Equipo Contratista'!A55))</f>
        <v>0</v>
      </c>
    </row>
    <row r="57" spans="1:29" ht="21" x14ac:dyDescent="0.4">
      <c r="B57" s="103" t="s">
        <v>52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4"/>
      <c r="N57" s="104"/>
      <c r="O57" s="104"/>
      <c r="P57" s="104"/>
      <c r="Q57" s="104"/>
      <c r="R57" s="104"/>
      <c r="S57" s="104"/>
      <c r="AC57" s="17">
        <f>IF($K$12="Seleccione Fecha",0,IF('[1]Equipo Contratista'!A56="",0,'[1]Equipo Contratista'!A56))</f>
        <v>0</v>
      </c>
    </row>
    <row r="58" spans="1:29" ht="13.8" thickBot="1" x14ac:dyDescent="0.3">
      <c r="AC58" s="17">
        <f>IF($K$12="Seleccione Fecha",0,IF('[1]Equipo Contratista'!A57="",0,'[1]Equipo Contratista'!A57))</f>
        <v>0</v>
      </c>
    </row>
    <row r="59" spans="1:29" x14ac:dyDescent="0.25">
      <c r="A59" s="8"/>
      <c r="B59" s="105" t="s">
        <v>53</v>
      </c>
      <c r="C59" s="106"/>
      <c r="D59" s="106" t="s">
        <v>54</v>
      </c>
      <c r="E59" s="106" t="s">
        <v>5</v>
      </c>
      <c r="F59" s="106" t="s">
        <v>55</v>
      </c>
      <c r="G59" s="106"/>
      <c r="H59" s="107" t="s">
        <v>56</v>
      </c>
      <c r="I59" s="108" t="s">
        <v>57</v>
      </c>
      <c r="J59" s="106" t="s">
        <v>58</v>
      </c>
      <c r="K59" s="106"/>
      <c r="L59" s="109"/>
      <c r="M59" s="6"/>
      <c r="N59" s="6"/>
      <c r="O59" s="6"/>
      <c r="P59" s="6"/>
      <c r="Q59" s="8"/>
      <c r="R59" s="8"/>
      <c r="S59" s="8"/>
      <c r="AC59" s="17">
        <f>IF($K$12="Seleccione Fecha",0,IF('[1]Equipo Contratista'!A58="",0,'[1]Equipo Contratista'!A58))</f>
        <v>0</v>
      </c>
    </row>
    <row r="60" spans="1:29" x14ac:dyDescent="0.25">
      <c r="A60" s="8"/>
      <c r="B60" s="51"/>
      <c r="C60" s="52"/>
      <c r="D60" s="52"/>
      <c r="E60" s="52"/>
      <c r="F60" s="52"/>
      <c r="G60" s="52"/>
      <c r="H60" s="110"/>
      <c r="I60" s="54"/>
      <c r="J60" s="111" t="s">
        <v>59</v>
      </c>
      <c r="K60" s="111" t="s">
        <v>60</v>
      </c>
      <c r="L60" s="112" t="s">
        <v>61</v>
      </c>
      <c r="M60" s="6"/>
      <c r="N60" s="6"/>
      <c r="O60" s="6"/>
      <c r="P60" s="6"/>
      <c r="Q60" s="8"/>
      <c r="R60" s="8"/>
      <c r="S60" s="8"/>
      <c r="AC60" s="17">
        <f>IF($K$12="Seleccione Fecha",0,IF('[1]Equipo Contratista'!A59="",0,'[1]Equipo Contratista'!A59))</f>
        <v>0</v>
      </c>
    </row>
    <row r="61" spans="1:29" x14ac:dyDescent="0.25">
      <c r="A61" s="58"/>
      <c r="B61" s="113"/>
      <c r="C61" s="114"/>
      <c r="D61" s="115" t="str">
        <f>IFERROR(IF(VLOOKUP(B61,Equipos,4,FALSE)=0,"",VLOOKUP(B61,Equipos,4,FALSE)),"")</f>
        <v/>
      </c>
      <c r="E61" s="116" t="str">
        <f>IFERROR(IF(VLOOKUP(B61,Equipos,5,FALSE)=0,"",VLOOKUP(B61,Equipos,5,FALSE)),"")</f>
        <v/>
      </c>
      <c r="F61" s="62" t="str">
        <f>IFERROR(IF(VLOOKUP(B61,Equipos,6,FALSE)=0,"",VLOOKUP(B61,Equipos,6,FALSE)),"")</f>
        <v/>
      </c>
      <c r="G61" s="63"/>
      <c r="H61" s="116" t="str">
        <f>IFERROR(IF(VLOOKUP(B61,Equipos,7,FALSE)=0,"",VLOOKUP(B61,Equipos,7,FALSE)),"")</f>
        <v/>
      </c>
      <c r="I61" s="116" t="str">
        <f>IFERROR(IF(VLOOKUP(B61,Equipos,8,FALSE)=0,"",VLOOKUP(B61,Equipos,8,FALSE)),"")</f>
        <v/>
      </c>
      <c r="J61" s="117"/>
      <c r="K61" s="117"/>
      <c r="L61" s="118"/>
      <c r="M61" s="119"/>
      <c r="N61" s="120"/>
      <c r="O61" s="121">
        <f>IF(B61&lt;&gt;"",1,0)</f>
        <v>0</v>
      </c>
      <c r="P61" s="121">
        <v>1</v>
      </c>
      <c r="Q61" s="119"/>
      <c r="R61" s="119"/>
      <c r="S61" s="119"/>
      <c r="AC61" s="17">
        <f>IF($K$12="Seleccione Fecha",0,IF('[1]Equipo Contratista'!A60="",0,'[1]Equipo Contratista'!A60))</f>
        <v>0</v>
      </c>
    </row>
    <row r="62" spans="1:29" x14ac:dyDescent="0.25">
      <c r="A62" s="58"/>
      <c r="B62" s="122"/>
      <c r="C62" s="123"/>
      <c r="D62" s="124"/>
      <c r="E62" s="125"/>
      <c r="F62" s="73"/>
      <c r="G62" s="74"/>
      <c r="H62" s="125"/>
      <c r="I62" s="125"/>
      <c r="J62" s="126"/>
      <c r="K62" s="126"/>
      <c r="L62" s="127"/>
      <c r="M62" s="119"/>
      <c r="N62" s="120"/>
      <c r="O62" s="119"/>
      <c r="P62" s="121"/>
      <c r="Q62" s="119"/>
      <c r="R62" s="119"/>
      <c r="S62" s="119"/>
      <c r="AC62" s="17">
        <f>IF($K$12="Seleccione Fecha",0,IF('[1]Equipo Contratista'!A61="",0,'[1]Equipo Contratista'!A61))</f>
        <v>0</v>
      </c>
    </row>
    <row r="63" spans="1:29" x14ac:dyDescent="0.25">
      <c r="A63" s="58"/>
      <c r="B63" s="113"/>
      <c r="C63" s="114"/>
      <c r="D63" s="115" t="str">
        <f>IFERROR(IF(VLOOKUP(B63,Equipos,4,FALSE)=0,"",VLOOKUP(B63,Equipos,4,FALSE)),"")</f>
        <v/>
      </c>
      <c r="E63" s="116" t="str">
        <f>IFERROR(IF(VLOOKUP(B63,Equipos,5,FALSE)=0,"",VLOOKUP(B63,Equipos,5,FALSE)),"")</f>
        <v/>
      </c>
      <c r="F63" s="62" t="str">
        <f>IFERROR(IF(VLOOKUP(B63,Equipos,6,FALSE)=0,"",VLOOKUP(B63,Equipos,6,FALSE)),"")</f>
        <v/>
      </c>
      <c r="G63" s="63"/>
      <c r="H63" s="116" t="str">
        <f>IFERROR(IF(VLOOKUP(B63,Equipos,7,FALSE)=0,"",VLOOKUP(B63,Equipos,7,FALSE)),"")</f>
        <v/>
      </c>
      <c r="I63" s="116" t="str">
        <f>IFERROR(IF(VLOOKUP(B63,Equipos,8,FALSE)=0,"",VLOOKUP(B63,Equipos,8,FALSE)),"")</f>
        <v/>
      </c>
      <c r="J63" s="117"/>
      <c r="K63" s="117"/>
      <c r="L63" s="118"/>
      <c r="M63" s="119"/>
      <c r="N63" s="120"/>
      <c r="O63" s="121">
        <f>IF(B63&lt;&gt;"",1,0)</f>
        <v>0</v>
      </c>
      <c r="P63" s="121">
        <v>2</v>
      </c>
      <c r="Q63" s="119"/>
      <c r="R63" s="119"/>
      <c r="S63" s="119"/>
      <c r="AC63" s="17">
        <f>IF($K$12="Seleccione Fecha",0,IF('[1]Equipo Contratista'!A62="",0,'[1]Equipo Contratista'!A62))</f>
        <v>0</v>
      </c>
    </row>
    <row r="64" spans="1:29" x14ac:dyDescent="0.25">
      <c r="A64" s="58"/>
      <c r="B64" s="122"/>
      <c r="C64" s="123"/>
      <c r="D64" s="124"/>
      <c r="E64" s="125"/>
      <c r="F64" s="73"/>
      <c r="G64" s="74"/>
      <c r="H64" s="125"/>
      <c r="I64" s="125"/>
      <c r="J64" s="126"/>
      <c r="K64" s="126"/>
      <c r="L64" s="127"/>
      <c r="M64" s="119"/>
      <c r="N64" s="120"/>
      <c r="O64" s="119"/>
      <c r="P64" s="121"/>
      <c r="Q64" s="119"/>
      <c r="R64" s="119"/>
      <c r="S64" s="119"/>
      <c r="AC64" s="17">
        <f>IF($K$12="Seleccione Fecha",0,IF('[1]Equipo Contratista'!A63="",0,'[1]Equipo Contratista'!A63))</f>
        <v>0</v>
      </c>
    </row>
    <row r="65" spans="1:29" x14ac:dyDescent="0.25">
      <c r="A65" s="58"/>
      <c r="B65" s="113"/>
      <c r="C65" s="114"/>
      <c r="D65" s="115" t="str">
        <f>IFERROR(IF(VLOOKUP(B65,Equipos,4,FALSE)=0,"",VLOOKUP(B65,Equipos,4,FALSE)),"")</f>
        <v/>
      </c>
      <c r="E65" s="116" t="str">
        <f>IFERROR(IF(VLOOKUP(B65,Equipos,5,FALSE)=0,"",VLOOKUP(B65,Equipos,5,FALSE)),"")</f>
        <v/>
      </c>
      <c r="F65" s="62" t="str">
        <f>IFERROR(IF(VLOOKUP(B65,Equipos,6,FALSE)=0,"",VLOOKUP(B65,Equipos,6,FALSE)),"")</f>
        <v/>
      </c>
      <c r="G65" s="63"/>
      <c r="H65" s="116" t="str">
        <f>IFERROR(IF(VLOOKUP(B65,Equipos,7,FALSE)=0,"",VLOOKUP(B65,Equipos,7,FALSE)),"")</f>
        <v/>
      </c>
      <c r="I65" s="116" t="str">
        <f>IFERROR(IF(VLOOKUP(B65,Equipos,8,FALSE)=0,"",VLOOKUP(B65,Equipos,8,FALSE)),"")</f>
        <v/>
      </c>
      <c r="J65" s="117"/>
      <c r="K65" s="117"/>
      <c r="L65" s="118"/>
      <c r="M65" s="119"/>
      <c r="N65" s="120"/>
      <c r="O65" s="121">
        <f>IF(B65&lt;&gt;"",1,0)</f>
        <v>0</v>
      </c>
      <c r="P65" s="121">
        <v>3</v>
      </c>
      <c r="Q65" s="119"/>
      <c r="R65" s="119"/>
      <c r="S65" s="119"/>
      <c r="AC65" s="17">
        <f>IF($K$12="Seleccione Fecha",0,IF('[1]Equipo Contratista'!A64="",0,'[1]Equipo Contratista'!A64))</f>
        <v>0</v>
      </c>
    </row>
    <row r="66" spans="1:29" x14ac:dyDescent="0.25">
      <c r="A66" s="58"/>
      <c r="B66" s="122"/>
      <c r="C66" s="123"/>
      <c r="D66" s="124"/>
      <c r="E66" s="125"/>
      <c r="F66" s="73"/>
      <c r="G66" s="74"/>
      <c r="H66" s="125"/>
      <c r="I66" s="125"/>
      <c r="J66" s="126"/>
      <c r="K66" s="126"/>
      <c r="L66" s="127"/>
      <c r="M66" s="119"/>
      <c r="N66" s="120"/>
      <c r="O66" s="119"/>
      <c r="P66" s="121"/>
      <c r="Q66" s="119"/>
      <c r="R66" s="119"/>
      <c r="S66" s="119"/>
      <c r="AC66" s="17">
        <f>IF($K$12="Seleccione Fecha",0,IF('[1]Equipo Contratista'!A65="",0,'[1]Equipo Contratista'!A65))</f>
        <v>0</v>
      </c>
    </row>
    <row r="67" spans="1:29" x14ac:dyDescent="0.25">
      <c r="A67" s="58"/>
      <c r="B67" s="113"/>
      <c r="C67" s="114"/>
      <c r="D67" s="115" t="str">
        <f>IFERROR(IF(VLOOKUP(B67,Equipos,4,FALSE)=0,"",VLOOKUP(B67,Equipos,4,FALSE)),"")</f>
        <v/>
      </c>
      <c r="E67" s="116" t="str">
        <f>IFERROR(IF(VLOOKUP(B67,Equipos,5,FALSE)=0,"",VLOOKUP(B67,Equipos,5,FALSE)),"")</f>
        <v/>
      </c>
      <c r="F67" s="62" t="str">
        <f>IFERROR(IF(VLOOKUP(B67,Equipos,6,FALSE)=0,"",VLOOKUP(B67,Equipos,6,FALSE)),"")</f>
        <v/>
      </c>
      <c r="G67" s="63"/>
      <c r="H67" s="116" t="str">
        <f>IFERROR(IF(VLOOKUP(B67,Equipos,7,FALSE)=0,"",VLOOKUP(B67,Equipos,7,FALSE)),"")</f>
        <v/>
      </c>
      <c r="I67" s="116" t="str">
        <f>IFERROR(IF(VLOOKUP(B67,Equipos,8,FALSE)=0,"",VLOOKUP(B67,Equipos,8,FALSE)),"")</f>
        <v/>
      </c>
      <c r="J67" s="117"/>
      <c r="K67" s="117"/>
      <c r="L67" s="118"/>
      <c r="M67" s="119"/>
      <c r="N67" s="120"/>
      <c r="O67" s="121">
        <f>IF(B67&lt;&gt;"",1,0)</f>
        <v>0</v>
      </c>
      <c r="P67" s="121">
        <v>4</v>
      </c>
      <c r="Q67" s="119"/>
      <c r="R67" s="119"/>
      <c r="S67" s="119"/>
      <c r="AC67" s="17">
        <f>IF($K$12="Seleccione Fecha",0,IF('[1]Equipo Contratista'!A66="",0,'[1]Equipo Contratista'!A66))</f>
        <v>0</v>
      </c>
    </row>
    <row r="68" spans="1:29" x14ac:dyDescent="0.25">
      <c r="A68" s="58"/>
      <c r="B68" s="122"/>
      <c r="C68" s="123"/>
      <c r="D68" s="124"/>
      <c r="E68" s="125"/>
      <c r="F68" s="73"/>
      <c r="G68" s="74"/>
      <c r="H68" s="125"/>
      <c r="I68" s="125"/>
      <c r="J68" s="126"/>
      <c r="K68" s="126"/>
      <c r="L68" s="127"/>
      <c r="M68" s="119"/>
      <c r="N68" s="120"/>
      <c r="O68" s="119"/>
      <c r="P68" s="121"/>
      <c r="Q68" s="119"/>
      <c r="R68" s="119"/>
      <c r="S68" s="119"/>
      <c r="AC68" s="17">
        <f>IF($K$12="Seleccione Fecha",0,IF('[1]Equipo Contratista'!A67="",0,'[1]Equipo Contratista'!A67))</f>
        <v>0</v>
      </c>
    </row>
    <row r="69" spans="1:29" x14ac:dyDescent="0.25">
      <c r="A69" s="58"/>
      <c r="B69" s="113"/>
      <c r="C69" s="114"/>
      <c r="D69" s="115" t="str">
        <f>IFERROR(IF(VLOOKUP(B69,Equipos,4,FALSE)=0,"",VLOOKUP(B69,Equipos,4,FALSE)),"")</f>
        <v/>
      </c>
      <c r="E69" s="116" t="str">
        <f>IFERROR(IF(VLOOKUP(B69,Equipos,5,FALSE)=0,"",VLOOKUP(B69,Equipos,5,FALSE)),"")</f>
        <v/>
      </c>
      <c r="F69" s="62" t="str">
        <f>IFERROR(IF(VLOOKUP(B69,Equipos,6,FALSE)=0,"",VLOOKUP(B69,Equipos,6,FALSE)),"")</f>
        <v/>
      </c>
      <c r="G69" s="63"/>
      <c r="H69" s="116" t="str">
        <f>IFERROR(IF(VLOOKUP(B69,Equipos,7,FALSE)=0,"",VLOOKUP(B69,Equipos,7,FALSE)),"")</f>
        <v/>
      </c>
      <c r="I69" s="116" t="str">
        <f>IFERROR(IF(VLOOKUP(B69,Equipos,8,FALSE)=0,"",VLOOKUP(B69,Equipos,8,FALSE)),"")</f>
        <v/>
      </c>
      <c r="J69" s="117"/>
      <c r="K69" s="117"/>
      <c r="L69" s="118"/>
      <c r="M69" s="119"/>
      <c r="N69" s="120"/>
      <c r="O69" s="121">
        <f>IF(B69&lt;&gt;"",1,0)</f>
        <v>0</v>
      </c>
      <c r="P69" s="121">
        <v>5</v>
      </c>
      <c r="Q69" s="119"/>
      <c r="R69" s="119"/>
      <c r="S69" s="119"/>
      <c r="AC69" s="17">
        <f>IF($K$12="Seleccione Fecha",0,IF('[1]Equipo Contratista'!A68="",0,'[1]Equipo Contratista'!A68))</f>
        <v>0</v>
      </c>
    </row>
    <row r="70" spans="1:29" x14ac:dyDescent="0.25">
      <c r="A70" s="58"/>
      <c r="B70" s="122"/>
      <c r="C70" s="123"/>
      <c r="D70" s="124"/>
      <c r="E70" s="125"/>
      <c r="F70" s="73"/>
      <c r="G70" s="74"/>
      <c r="H70" s="125"/>
      <c r="I70" s="125"/>
      <c r="J70" s="126"/>
      <c r="K70" s="126"/>
      <c r="L70" s="127"/>
      <c r="M70" s="119"/>
      <c r="N70" s="120"/>
      <c r="O70" s="119"/>
      <c r="P70" s="121"/>
      <c r="Q70" s="119"/>
      <c r="R70" s="119"/>
      <c r="S70" s="119"/>
      <c r="AC70" s="17">
        <f>IF($K$12="Seleccione Fecha",0,IF('[1]Equipo Contratista'!A69="",0,'[1]Equipo Contratista'!A69))</f>
        <v>0</v>
      </c>
    </row>
    <row r="71" spans="1:29" x14ac:dyDescent="0.25">
      <c r="A71" s="58"/>
      <c r="B71" s="113"/>
      <c r="C71" s="114"/>
      <c r="D71" s="115" t="str">
        <f>IFERROR(IF(VLOOKUP(B71,Equipos,4,FALSE)=0,"",VLOOKUP(B71,Equipos,4,FALSE)),"")</f>
        <v/>
      </c>
      <c r="E71" s="116" t="str">
        <f>IFERROR(IF(VLOOKUP(B71,Equipos,5,FALSE)=0,"",VLOOKUP(B71,Equipos,5,FALSE)),"")</f>
        <v/>
      </c>
      <c r="F71" s="62" t="str">
        <f>IFERROR(IF(VLOOKUP(B71,Equipos,6,FALSE)=0,"",VLOOKUP(B71,Equipos,6,FALSE)),"")</f>
        <v/>
      </c>
      <c r="G71" s="63"/>
      <c r="H71" s="116" t="str">
        <f>IFERROR(IF(VLOOKUP(B71,Equipos,7,FALSE)=0,"",VLOOKUP(B71,Equipos,7,FALSE)),"")</f>
        <v/>
      </c>
      <c r="I71" s="116" t="str">
        <f>IFERROR(IF(VLOOKUP(B71,Equipos,8,FALSE)=0,"",VLOOKUP(B71,Equipos,8,FALSE)),"")</f>
        <v/>
      </c>
      <c r="J71" s="117"/>
      <c r="K71" s="117"/>
      <c r="L71" s="118"/>
      <c r="M71" s="119"/>
      <c r="N71" s="120"/>
      <c r="O71" s="121">
        <f>IF(B71&lt;&gt;"",1,0)</f>
        <v>0</v>
      </c>
      <c r="P71" s="121">
        <v>6</v>
      </c>
      <c r="Q71" s="119"/>
      <c r="R71" s="119"/>
      <c r="S71" s="119"/>
      <c r="AC71" s="17">
        <f>IF($K$12="Seleccione Fecha",0,IF('[1]Equipo Contratista'!A70="",0,'[1]Equipo Contratista'!A70))</f>
        <v>0</v>
      </c>
    </row>
    <row r="72" spans="1:29" x14ac:dyDescent="0.25">
      <c r="A72" s="58"/>
      <c r="B72" s="122"/>
      <c r="C72" s="123"/>
      <c r="D72" s="124"/>
      <c r="E72" s="125"/>
      <c r="F72" s="73"/>
      <c r="G72" s="74"/>
      <c r="H72" s="125"/>
      <c r="I72" s="125"/>
      <c r="J72" s="126"/>
      <c r="K72" s="126"/>
      <c r="L72" s="127"/>
      <c r="M72" s="119"/>
      <c r="N72" s="120"/>
      <c r="O72" s="119"/>
      <c r="P72" s="121"/>
      <c r="Q72" s="119"/>
      <c r="R72" s="119"/>
      <c r="S72" s="119"/>
      <c r="AC72" s="17">
        <f>IF($K$12="Seleccione Fecha",0,IF('[1]Equipo Contratista'!A71="",0,'[1]Equipo Contratista'!A71))</f>
        <v>0</v>
      </c>
    </row>
    <row r="73" spans="1:29" x14ac:dyDescent="0.25">
      <c r="A73" s="58"/>
      <c r="B73" s="113"/>
      <c r="C73" s="114"/>
      <c r="D73" s="115" t="str">
        <f>IFERROR(IF(VLOOKUP(B73,Equipos,4,FALSE)=0,"",VLOOKUP(B73,Equipos,4,FALSE)),"")</f>
        <v/>
      </c>
      <c r="E73" s="116" t="str">
        <f>IFERROR(IF(VLOOKUP(B73,Equipos,5,FALSE)=0,"",VLOOKUP(B73,Equipos,5,FALSE)),"")</f>
        <v/>
      </c>
      <c r="F73" s="62" t="str">
        <f>IFERROR(IF(VLOOKUP(B73,Equipos,6,FALSE)=0,"",VLOOKUP(B73,Equipos,6,FALSE)),"")</f>
        <v/>
      </c>
      <c r="G73" s="63"/>
      <c r="H73" s="116" t="str">
        <f>IFERROR(IF(VLOOKUP(B73,Equipos,7,FALSE)=0,"",VLOOKUP(B73,Equipos,7,FALSE)),"")</f>
        <v/>
      </c>
      <c r="I73" s="116" t="str">
        <f>IFERROR(IF(VLOOKUP(B73,Equipos,8,FALSE)=0,"",VLOOKUP(B73,Equipos,8,FALSE)),"")</f>
        <v/>
      </c>
      <c r="J73" s="117"/>
      <c r="K73" s="117"/>
      <c r="L73" s="118"/>
      <c r="M73" s="119"/>
      <c r="N73" s="120"/>
      <c r="O73" s="121">
        <f>IF(B73&lt;&gt;"",1,0)</f>
        <v>0</v>
      </c>
      <c r="P73" s="121">
        <v>7</v>
      </c>
      <c r="Q73" s="119"/>
      <c r="R73" s="119"/>
      <c r="S73" s="119"/>
      <c r="AC73" s="17">
        <f>IF($K$12="Seleccione Fecha",0,IF('[1]Equipo Contratista'!A72="",0,'[1]Equipo Contratista'!A72))</f>
        <v>0</v>
      </c>
    </row>
    <row r="74" spans="1:29" x14ac:dyDescent="0.25">
      <c r="A74" s="58"/>
      <c r="B74" s="122"/>
      <c r="C74" s="123"/>
      <c r="D74" s="124"/>
      <c r="E74" s="125"/>
      <c r="F74" s="73"/>
      <c r="G74" s="74"/>
      <c r="H74" s="125"/>
      <c r="I74" s="125"/>
      <c r="J74" s="126"/>
      <c r="K74" s="126"/>
      <c r="L74" s="127"/>
      <c r="M74" s="119"/>
      <c r="N74" s="120"/>
      <c r="O74" s="119"/>
      <c r="P74" s="121"/>
      <c r="Q74" s="119"/>
      <c r="R74" s="119"/>
      <c r="S74" s="119"/>
      <c r="AC74" s="17">
        <f>IF($K$12="Seleccione Fecha",0,IF('[1]Equipo Contratista'!A73="",0,'[1]Equipo Contratista'!A73))</f>
        <v>0</v>
      </c>
    </row>
    <row r="75" spans="1:29" x14ac:dyDescent="0.25">
      <c r="A75" s="58"/>
      <c r="B75" s="113"/>
      <c r="C75" s="114"/>
      <c r="D75" s="115" t="str">
        <f>IFERROR(IF(VLOOKUP(B75,Equipos,4,FALSE)=0,"",VLOOKUP(B75,Equipos,4,FALSE)),"")</f>
        <v/>
      </c>
      <c r="E75" s="116" t="str">
        <f>IFERROR(IF(VLOOKUP(B75,Equipos,5,FALSE)=0,"",VLOOKUP(B75,Equipos,5,FALSE)),"")</f>
        <v/>
      </c>
      <c r="F75" s="62" t="str">
        <f>IFERROR(IF(VLOOKUP(B75,Equipos,6,FALSE)=0,"",VLOOKUP(B75,Equipos,6,FALSE)),"")</f>
        <v/>
      </c>
      <c r="G75" s="63"/>
      <c r="H75" s="116" t="str">
        <f>IFERROR(IF(VLOOKUP(B75,Equipos,7,FALSE)=0,"",VLOOKUP(B75,Equipos,7,FALSE)),"")</f>
        <v/>
      </c>
      <c r="I75" s="116" t="str">
        <f>IFERROR(IF(VLOOKUP(B75,Equipos,8,FALSE)=0,"",VLOOKUP(B75,Equipos,8,FALSE)),"")</f>
        <v/>
      </c>
      <c r="J75" s="117"/>
      <c r="K75" s="117"/>
      <c r="L75" s="118"/>
      <c r="M75" s="119"/>
      <c r="N75" s="120"/>
      <c r="O75" s="121">
        <f>IF(B75&lt;&gt;"",1,0)</f>
        <v>0</v>
      </c>
      <c r="P75" s="121">
        <v>8</v>
      </c>
      <c r="Q75" s="119"/>
      <c r="R75" s="119"/>
      <c r="S75" s="119"/>
      <c r="AC75" s="17">
        <f>IF($K$12="Seleccione Fecha",0,IF('[1]Equipo Contratista'!A74="",0,'[1]Equipo Contratista'!A74))</f>
        <v>0</v>
      </c>
    </row>
    <row r="76" spans="1:29" x14ac:dyDescent="0.25">
      <c r="A76" s="58"/>
      <c r="B76" s="122"/>
      <c r="C76" s="123"/>
      <c r="D76" s="124"/>
      <c r="E76" s="125"/>
      <c r="F76" s="73"/>
      <c r="G76" s="74"/>
      <c r="H76" s="125"/>
      <c r="I76" s="125"/>
      <c r="J76" s="126"/>
      <c r="K76" s="126"/>
      <c r="L76" s="127"/>
      <c r="M76" s="119"/>
      <c r="N76" s="120"/>
      <c r="O76" s="119"/>
      <c r="P76" s="121"/>
      <c r="Q76" s="119"/>
      <c r="R76" s="119"/>
      <c r="S76" s="119"/>
      <c r="AC76" s="17">
        <f>IF($K$12="Seleccione Fecha",0,IF('[1]Equipo Contratista'!A75="",0,'[1]Equipo Contratista'!A75))</f>
        <v>0</v>
      </c>
    </row>
    <row r="77" spans="1:29" x14ac:dyDescent="0.25">
      <c r="A77" s="58"/>
      <c r="B77" s="113"/>
      <c r="C77" s="114"/>
      <c r="D77" s="115" t="str">
        <f>IFERROR(IF(VLOOKUP(B77,Equipos,4,FALSE)=0,"",VLOOKUP(B77,Equipos,4,FALSE)),"")</f>
        <v/>
      </c>
      <c r="E77" s="116" t="str">
        <f>IFERROR(IF(VLOOKUP(B77,Equipos,5,FALSE)=0,"",VLOOKUP(B77,Equipos,5,FALSE)),"")</f>
        <v/>
      </c>
      <c r="F77" s="62" t="str">
        <f>IFERROR(IF(VLOOKUP(B77,Equipos,6,FALSE)=0,"",VLOOKUP(B77,Equipos,6,FALSE)),"")</f>
        <v/>
      </c>
      <c r="G77" s="63"/>
      <c r="H77" s="116" t="str">
        <f>IFERROR(IF(VLOOKUP(B77,Equipos,7,FALSE)=0,"",VLOOKUP(B77,Equipos,7,FALSE)),"")</f>
        <v/>
      </c>
      <c r="I77" s="116" t="str">
        <f>IFERROR(IF(VLOOKUP(B77,Equipos,8,FALSE)=0,"",VLOOKUP(B77,Equipos,8,FALSE)),"")</f>
        <v/>
      </c>
      <c r="J77" s="117"/>
      <c r="K77" s="117"/>
      <c r="L77" s="118"/>
      <c r="M77" s="119"/>
      <c r="N77" s="120"/>
      <c r="O77" s="121">
        <f>IF(B77&lt;&gt;"",1,0)</f>
        <v>0</v>
      </c>
      <c r="P77" s="121">
        <v>9</v>
      </c>
      <c r="Q77" s="119"/>
      <c r="R77" s="119"/>
      <c r="S77" s="119"/>
      <c r="AC77" s="17">
        <f>IF($K$12="Seleccione Fecha",0,IF('[1]Equipo Contratista'!A76="",0,'[1]Equipo Contratista'!A76))</f>
        <v>0</v>
      </c>
    </row>
    <row r="78" spans="1:29" x14ac:dyDescent="0.25">
      <c r="A78" s="58"/>
      <c r="B78" s="122"/>
      <c r="C78" s="123"/>
      <c r="D78" s="124"/>
      <c r="E78" s="125"/>
      <c r="F78" s="73"/>
      <c r="G78" s="74"/>
      <c r="H78" s="125"/>
      <c r="I78" s="125"/>
      <c r="J78" s="126"/>
      <c r="K78" s="126"/>
      <c r="L78" s="127"/>
      <c r="M78" s="119"/>
      <c r="N78" s="120"/>
      <c r="O78" s="119"/>
      <c r="P78" s="121"/>
      <c r="Q78" s="119"/>
      <c r="R78" s="119"/>
      <c r="S78" s="119"/>
      <c r="AC78" s="17">
        <f>IF($K$12="Seleccione Fecha",0,IF('[1]Equipo Contratista'!A77="",0,'[1]Equipo Contratista'!A77))</f>
        <v>0</v>
      </c>
    </row>
    <row r="79" spans="1:29" x14ac:dyDescent="0.25">
      <c r="A79" s="58"/>
      <c r="B79" s="113"/>
      <c r="C79" s="114"/>
      <c r="D79" s="115" t="str">
        <f>IFERROR(IF(VLOOKUP(B79,Equipos,4,FALSE)=0,"",VLOOKUP(B79,Equipos,4,FALSE)),"")</f>
        <v/>
      </c>
      <c r="E79" s="116" t="str">
        <f>IFERROR(IF(VLOOKUP(B79,Equipos,5,FALSE)=0,"",VLOOKUP(B79,Equipos,5,FALSE)),"")</f>
        <v/>
      </c>
      <c r="F79" s="62" t="str">
        <f>IFERROR(IF(VLOOKUP(B79,Equipos,6,FALSE)=0,"",VLOOKUP(B79,Equipos,6,FALSE)),"")</f>
        <v/>
      </c>
      <c r="G79" s="63"/>
      <c r="H79" s="116" t="str">
        <f>IFERROR(IF(VLOOKUP(B79,Equipos,7,FALSE)=0,"",VLOOKUP(B79,Equipos,7,FALSE)),"")</f>
        <v/>
      </c>
      <c r="I79" s="116" t="str">
        <f>IFERROR(IF(VLOOKUP(B79,Equipos,8,FALSE)=0,"",VLOOKUP(B79,Equipos,8,FALSE)),"")</f>
        <v/>
      </c>
      <c r="J79" s="117"/>
      <c r="K79" s="117"/>
      <c r="L79" s="118"/>
      <c r="M79" s="119"/>
      <c r="N79" s="120"/>
      <c r="O79" s="121">
        <f>IF(B79&lt;&gt;"",1,0)</f>
        <v>0</v>
      </c>
      <c r="P79" s="121">
        <v>10</v>
      </c>
      <c r="Q79" s="119"/>
      <c r="R79" s="119"/>
      <c r="S79" s="119"/>
      <c r="AC79" s="17">
        <f>IF($K$12="Seleccione Fecha",0,IF('[1]Equipo Contratista'!A78="",0,'[1]Equipo Contratista'!A78))</f>
        <v>0</v>
      </c>
    </row>
    <row r="80" spans="1:29" ht="13.8" thickBot="1" x14ac:dyDescent="0.3">
      <c r="A80" s="58"/>
      <c r="B80" s="128"/>
      <c r="C80" s="129"/>
      <c r="D80" s="130"/>
      <c r="E80" s="131"/>
      <c r="F80" s="132"/>
      <c r="G80" s="133"/>
      <c r="H80" s="131"/>
      <c r="I80" s="131"/>
      <c r="J80" s="134"/>
      <c r="K80" s="134"/>
      <c r="L80" s="135"/>
      <c r="M80" s="119"/>
      <c r="N80" s="120"/>
      <c r="O80" s="119"/>
      <c r="P80" s="119"/>
      <c r="Q80" s="119"/>
      <c r="R80" s="119"/>
      <c r="S80" s="119"/>
      <c r="AC80" s="17">
        <f>IF($K$12="Seleccione Fecha",0,IF('[1]Equipo Contratista'!A79="",0,'[1]Equipo Contratista'!A79))</f>
        <v>0</v>
      </c>
    </row>
    <row r="81" spans="2:29" x14ac:dyDescent="0.25">
      <c r="N81" s="47"/>
      <c r="O81" s="8">
        <f>SUM(O61:O79)</f>
        <v>0</v>
      </c>
      <c r="AC81" s="17">
        <f>IF($K$12="Seleccione Fecha",0,IF('[1]Equipo Contratista'!A80="",0,'[1]Equipo Contratista'!A80))</f>
        <v>0</v>
      </c>
    </row>
    <row r="82" spans="2:29" ht="13.8" thickBot="1" x14ac:dyDescent="0.3">
      <c r="B82" s="1" t="s">
        <v>62</v>
      </c>
      <c r="D82" s="136"/>
      <c r="E82" s="136"/>
      <c r="F82" s="136"/>
      <c r="G82" s="136"/>
      <c r="H82" s="136"/>
      <c r="I82" s="136"/>
      <c r="J82" s="136"/>
      <c r="K82" s="136"/>
      <c r="L82" s="136"/>
      <c r="M82" s="137"/>
      <c r="N82" s="137"/>
      <c r="O82" s="137"/>
      <c r="P82" s="137"/>
      <c r="Q82" s="8"/>
      <c r="R82" s="8"/>
      <c r="S82" s="8"/>
      <c r="AC82" s="17">
        <f>IF($K$12="Seleccione Fecha",0,IF('[1]Equipo Contratista'!A81="",0,'[1]Equipo Contratista'!A81))</f>
        <v>0</v>
      </c>
    </row>
    <row r="83" spans="2:29" x14ac:dyDescent="0.25">
      <c r="B83" s="138"/>
      <c r="C83" s="139"/>
      <c r="D83" s="139"/>
      <c r="E83" s="139"/>
      <c r="F83" s="139"/>
      <c r="G83" s="139"/>
      <c r="H83" s="139"/>
      <c r="I83" s="139"/>
      <c r="J83" s="139"/>
      <c r="K83" s="139"/>
      <c r="L83" s="140"/>
      <c r="M83" s="141"/>
      <c r="N83" s="141"/>
      <c r="O83" s="141"/>
      <c r="P83" s="141"/>
      <c r="Q83" s="8"/>
      <c r="R83" s="8"/>
      <c r="S83" s="8"/>
      <c r="AC83" s="17">
        <f>IF($K$12="Seleccione Fecha",0,IF('[1]Equipo Contratista'!A82="",0,'[1]Equipo Contratista'!A82))</f>
        <v>0</v>
      </c>
    </row>
    <row r="84" spans="2:29" x14ac:dyDescent="0.25">
      <c r="B84" s="142"/>
      <c r="C84" s="143"/>
      <c r="D84" s="143"/>
      <c r="E84" s="143"/>
      <c r="F84" s="143"/>
      <c r="G84" s="143"/>
      <c r="H84" s="143"/>
      <c r="I84" s="143"/>
      <c r="J84" s="143"/>
      <c r="K84" s="143"/>
      <c r="L84" s="144"/>
      <c r="M84" s="141"/>
      <c r="N84" s="141"/>
      <c r="O84" s="141"/>
      <c r="P84" s="141"/>
      <c r="Q84" s="8"/>
      <c r="R84" s="8"/>
      <c r="S84" s="8"/>
      <c r="AC84" s="17">
        <f>IF($K$12="Seleccione Fecha",0,IF('[1]Equipo Contratista'!A83="",0,'[1]Equipo Contratista'!A83))</f>
        <v>0</v>
      </c>
    </row>
    <row r="85" spans="2:29" x14ac:dyDescent="0.25">
      <c r="B85" s="142"/>
      <c r="C85" s="143"/>
      <c r="D85" s="143"/>
      <c r="E85" s="143"/>
      <c r="F85" s="143"/>
      <c r="G85" s="143"/>
      <c r="H85" s="143"/>
      <c r="I85" s="143"/>
      <c r="J85" s="143"/>
      <c r="K85" s="143"/>
      <c r="L85" s="144"/>
      <c r="M85" s="141"/>
      <c r="N85" s="141"/>
      <c r="O85" s="141"/>
      <c r="P85" s="141"/>
      <c r="Q85" s="8"/>
      <c r="R85" s="8"/>
      <c r="S85" s="8"/>
      <c r="AC85" s="17">
        <f>IF($K$12="Seleccione Fecha",0,IF('[1]Equipo Contratista'!A84="",0,'[1]Equipo Contratista'!A84))</f>
        <v>0</v>
      </c>
    </row>
    <row r="86" spans="2:29" x14ac:dyDescent="0.25">
      <c r="B86" s="142"/>
      <c r="C86" s="143"/>
      <c r="D86" s="143"/>
      <c r="E86" s="143"/>
      <c r="F86" s="143"/>
      <c r="G86" s="143"/>
      <c r="H86" s="143"/>
      <c r="I86" s="143"/>
      <c r="J86" s="143"/>
      <c r="K86" s="143"/>
      <c r="L86" s="144"/>
      <c r="M86" s="141"/>
      <c r="N86" s="141"/>
      <c r="O86" s="141"/>
      <c r="P86" s="141"/>
      <c r="Q86" s="8"/>
      <c r="R86" s="8"/>
      <c r="S86" s="8"/>
      <c r="AC86" s="17">
        <f>IF($K$12="Seleccione Fecha",0,IF('[1]Equipo Contratista'!A85="",0,'[1]Equipo Contratista'!A85))</f>
        <v>0</v>
      </c>
    </row>
    <row r="87" spans="2:29" ht="13.8" thickBot="1" x14ac:dyDescent="0.3">
      <c r="B87" s="145"/>
      <c r="C87" s="146"/>
      <c r="D87" s="146"/>
      <c r="E87" s="146"/>
      <c r="F87" s="146"/>
      <c r="G87" s="146"/>
      <c r="H87" s="146"/>
      <c r="I87" s="146"/>
      <c r="J87" s="146"/>
      <c r="K87" s="146"/>
      <c r="L87" s="147"/>
      <c r="M87" s="141"/>
      <c r="N87" s="141"/>
      <c r="O87" s="141"/>
      <c r="P87" s="141"/>
      <c r="Q87" s="8"/>
      <c r="R87" s="8"/>
      <c r="S87" s="8"/>
      <c r="AC87" s="17">
        <f>IF($K$12="Seleccione Fecha",0,IF('[1]Equipo Contratista'!A86="",0,'[1]Equipo Contratista'!A86))</f>
        <v>0</v>
      </c>
    </row>
    <row r="88" spans="2:29" x14ac:dyDescent="0.25">
      <c r="AC88" s="17">
        <f>IF($K$12="Seleccione Fecha",0,IF('[1]Equipo Contratista'!A87="",0,'[1]Equipo Contratista'!A87))</f>
        <v>0</v>
      </c>
    </row>
    <row r="89" spans="2:29" x14ac:dyDescent="0.25">
      <c r="AC89" s="17">
        <f>IF($K$12="Seleccione Fecha",0,IF('[1]Equipo Contratista'!A88="",0,'[1]Equipo Contratista'!A88))</f>
        <v>0</v>
      </c>
    </row>
    <row r="90" spans="2:29" x14ac:dyDescent="0.25">
      <c r="AC90" s="17">
        <f>IF($K$12="Seleccione Fecha",0,IF('[1]Equipo Contratista'!A89="",0,'[1]Equipo Contratista'!A89))</f>
        <v>0</v>
      </c>
    </row>
    <row r="91" spans="2:29" x14ac:dyDescent="0.25">
      <c r="AC91" s="17">
        <f>IF($K$12="Seleccione Fecha",0,IF('[1]Equipo Contratista'!A90="",0,'[1]Equipo Contratista'!A90))</f>
        <v>0</v>
      </c>
    </row>
    <row r="92" spans="2:29" x14ac:dyDescent="0.25">
      <c r="H92" s="1"/>
      <c r="AC92" s="17">
        <f>IF($K$12="Seleccione Fecha",0,IF('[1]Equipo Contratista'!A91="",0,'[1]Equipo Contratista'!A91))</f>
        <v>0</v>
      </c>
    </row>
    <row r="93" spans="2:29" x14ac:dyDescent="0.25">
      <c r="H93" s="1"/>
      <c r="AC93" s="17">
        <f>IF($K$12="Seleccione Fecha",0,IF('[1]Equipo Contratista'!A92="",0,'[1]Equipo Contratista'!A92))</f>
        <v>0</v>
      </c>
    </row>
    <row r="94" spans="2:29" x14ac:dyDescent="0.25">
      <c r="H94" s="1"/>
      <c r="AC94" s="17">
        <f>IF($K$12="Seleccione Fecha",0,IF('[1]Equipo Contratista'!A93="",0,'[1]Equipo Contratista'!A93))</f>
        <v>0</v>
      </c>
    </row>
    <row r="95" spans="2:29" ht="13.8" thickBot="1" x14ac:dyDescent="0.3">
      <c r="H95" s="1"/>
      <c r="AC95" s="17">
        <f>IF($K$12="Seleccione Fecha",0,IF('[1]Equipo Contratista'!A94="",0,'[1]Equipo Contratista'!A94))</f>
        <v>0</v>
      </c>
    </row>
    <row r="96" spans="2:29" ht="21" x14ac:dyDescent="0.25">
      <c r="B96" s="148" t="s">
        <v>63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50"/>
      <c r="M96" s="151"/>
      <c r="N96" s="151"/>
      <c r="O96" s="151"/>
      <c r="P96" s="151"/>
      <c r="Q96" s="151"/>
      <c r="R96" s="151"/>
      <c r="S96" s="151"/>
      <c r="AC96" s="17">
        <f>IF($K$12="Seleccione Fecha",0,IF('[1]Equipo Contratista'!A95="",0,'[1]Equipo Contratista'!A95))</f>
        <v>0</v>
      </c>
    </row>
    <row r="97" spans="1:29" ht="21" x14ac:dyDescent="0.25">
      <c r="B97" s="152"/>
      <c r="C97" s="153"/>
      <c r="D97" s="153"/>
      <c r="E97" s="153"/>
      <c r="F97" s="153"/>
      <c r="G97" s="153"/>
      <c r="H97" s="153"/>
      <c r="I97" s="153"/>
      <c r="J97" s="153"/>
      <c r="K97" s="153"/>
      <c r="L97" s="154"/>
      <c r="M97" s="151"/>
      <c r="N97" s="151"/>
      <c r="O97" s="151"/>
      <c r="P97" s="151"/>
      <c r="Q97" s="151"/>
      <c r="R97" s="151"/>
      <c r="S97" s="151"/>
      <c r="AC97" s="17">
        <f>IF($K$12="Seleccione Fecha",0,IF('[1]Equipo Contratista'!A96="",0,'[1]Equipo Contratista'!A96))</f>
        <v>0</v>
      </c>
    </row>
    <row r="98" spans="1:29" ht="12.6" customHeight="1" x14ac:dyDescent="0.25">
      <c r="A98" s="155"/>
      <c r="B98" s="156" t="s">
        <v>64</v>
      </c>
      <c r="C98" s="157" t="s">
        <v>65</v>
      </c>
      <c r="D98" s="158"/>
      <c r="E98" s="158"/>
      <c r="F98" s="63"/>
      <c r="G98" s="116" t="s">
        <v>66</v>
      </c>
      <c r="H98" s="116"/>
      <c r="I98" s="116" t="s">
        <v>67</v>
      </c>
      <c r="J98" s="116"/>
      <c r="K98" s="116" t="s">
        <v>43</v>
      </c>
      <c r="L98" s="159"/>
      <c r="M98" s="121"/>
      <c r="N98" s="6"/>
      <c r="O98" s="121"/>
      <c r="P98" s="121"/>
      <c r="Q98" s="121"/>
      <c r="R98" s="121"/>
      <c r="S98" s="121"/>
      <c r="AC98" s="17">
        <f>IF($K$12="Seleccione Fecha",0,IF('[1]Equipo Contratista'!A97="",0,'[1]Equipo Contratista'!A97))</f>
        <v>0</v>
      </c>
    </row>
    <row r="99" spans="1:29" x14ac:dyDescent="0.25">
      <c r="A99" s="155"/>
      <c r="B99" s="160"/>
      <c r="C99" s="80"/>
      <c r="D99" s="155"/>
      <c r="E99" s="155"/>
      <c r="F99" s="81"/>
      <c r="G99" s="161"/>
      <c r="H99" s="161"/>
      <c r="I99" s="161"/>
      <c r="J99" s="161"/>
      <c r="K99" s="161"/>
      <c r="L99" s="162"/>
      <c r="M99" s="121"/>
      <c r="N99" s="6"/>
      <c r="O99" s="121"/>
      <c r="P99" s="121"/>
      <c r="R99" s="121"/>
      <c r="S99" s="121"/>
      <c r="AC99" s="17">
        <f>IF($K$12="Seleccione Fecha",0,IF('[1]Equipo Contratista'!A98="",0,'[1]Equipo Contratista'!A98))</f>
        <v>0</v>
      </c>
    </row>
    <row r="100" spans="1:29" x14ac:dyDescent="0.25">
      <c r="A100" s="155"/>
      <c r="B100" s="160"/>
      <c r="C100" s="73"/>
      <c r="D100" s="163"/>
      <c r="E100" s="163"/>
      <c r="F100" s="74"/>
      <c r="G100" s="125"/>
      <c r="H100" s="125"/>
      <c r="I100" s="125"/>
      <c r="J100" s="125"/>
      <c r="K100" s="125"/>
      <c r="L100" s="164"/>
      <c r="M100" s="121"/>
      <c r="N100" s="6"/>
      <c r="O100" s="121"/>
      <c r="P100" s="121"/>
      <c r="R100" s="121"/>
      <c r="S100" s="121"/>
      <c r="AC100" s="17">
        <f>IF($K$12="Seleccione Fecha",0,IF('[1]Equipo Contratista'!A99="",0,'[1]Equipo Contratista'!A99))</f>
        <v>0</v>
      </c>
    </row>
    <row r="101" spans="1:29" x14ac:dyDescent="0.25">
      <c r="A101" s="58"/>
      <c r="B101" s="165"/>
      <c r="C101" s="166"/>
      <c r="D101" s="167"/>
      <c r="E101" s="167"/>
      <c r="F101" s="168"/>
      <c r="G101" s="169"/>
      <c r="H101" s="170"/>
      <c r="I101" s="169"/>
      <c r="J101" s="170"/>
      <c r="K101" s="171"/>
      <c r="L101" s="172"/>
      <c r="M101" s="173"/>
      <c r="N101" s="69"/>
      <c r="O101" s="121">
        <f>IF(B101&lt;&gt;"",1,0)</f>
        <v>0</v>
      </c>
      <c r="P101" s="121">
        <v>1</v>
      </c>
      <c r="R101" s="173"/>
      <c r="S101" s="173"/>
      <c r="AC101" s="17">
        <f>IF($K$12="Seleccione Fecha",0,IF('[1]Equipo Contratista'!A100="",0,'[1]Equipo Contratista'!A100))</f>
        <v>0</v>
      </c>
    </row>
    <row r="102" spans="1:29" x14ac:dyDescent="0.25">
      <c r="A102" s="58"/>
      <c r="B102" s="174"/>
      <c r="C102" s="175"/>
      <c r="D102" s="176"/>
      <c r="E102" s="176"/>
      <c r="F102" s="177"/>
      <c r="G102" s="170"/>
      <c r="H102" s="170"/>
      <c r="I102" s="170"/>
      <c r="J102" s="170"/>
      <c r="K102" s="178"/>
      <c r="L102" s="179"/>
      <c r="M102" s="173"/>
      <c r="N102" s="69"/>
      <c r="O102" s="121"/>
      <c r="P102" s="121"/>
      <c r="R102" s="173"/>
      <c r="S102" s="173"/>
      <c r="AC102" s="17">
        <f>IF($K$12="Seleccione Fecha",0,IF('[1]Equipo Contratista'!A101="",0,'[1]Equipo Contratista'!A101))</f>
        <v>0</v>
      </c>
    </row>
    <row r="103" spans="1:29" x14ac:dyDescent="0.25">
      <c r="A103" s="58"/>
      <c r="B103" s="165"/>
      <c r="C103" s="166"/>
      <c r="D103" s="167"/>
      <c r="E103" s="167"/>
      <c r="F103" s="168"/>
      <c r="G103" s="169"/>
      <c r="H103" s="170"/>
      <c r="I103" s="169"/>
      <c r="J103" s="170"/>
      <c r="K103" s="180"/>
      <c r="L103" s="181"/>
      <c r="M103" s="173"/>
      <c r="N103" s="69"/>
      <c r="O103" s="121">
        <f>IF(B103&lt;&gt;"",1,0)</f>
        <v>0</v>
      </c>
      <c r="P103" s="121">
        <v>2</v>
      </c>
      <c r="Q103" s="173"/>
      <c r="R103" s="173"/>
      <c r="S103" s="173"/>
      <c r="AC103" s="17">
        <f>IF($K$12="Seleccione Fecha",0,IF('[1]Equipo Contratista'!A102="",0,'[1]Equipo Contratista'!A102))</f>
        <v>0</v>
      </c>
    </row>
    <row r="104" spans="1:29" x14ac:dyDescent="0.25">
      <c r="A104" s="58"/>
      <c r="B104" s="174"/>
      <c r="C104" s="175"/>
      <c r="D104" s="176"/>
      <c r="E104" s="176"/>
      <c r="F104" s="177"/>
      <c r="G104" s="170"/>
      <c r="H104" s="170"/>
      <c r="I104" s="170"/>
      <c r="J104" s="170"/>
      <c r="K104" s="180"/>
      <c r="L104" s="181"/>
      <c r="M104" s="173"/>
      <c r="N104" s="69"/>
      <c r="O104" s="121"/>
      <c r="P104" s="121"/>
      <c r="Q104" s="173"/>
      <c r="R104" s="173"/>
      <c r="S104" s="173"/>
      <c r="AC104" s="17">
        <f>IF($K$12="Seleccione Fecha",0,IF('[1]Equipo Contratista'!A103="",0,'[1]Equipo Contratista'!A103))</f>
        <v>0</v>
      </c>
    </row>
    <row r="105" spans="1:29" x14ac:dyDescent="0.25">
      <c r="A105" s="58"/>
      <c r="B105" s="165"/>
      <c r="C105" s="182"/>
      <c r="D105" s="167"/>
      <c r="E105" s="167"/>
      <c r="F105" s="168"/>
      <c r="G105" s="169"/>
      <c r="H105" s="170"/>
      <c r="I105" s="170"/>
      <c r="J105" s="170"/>
      <c r="K105" s="180"/>
      <c r="L105" s="181"/>
      <c r="M105" s="173"/>
      <c r="N105" s="69"/>
      <c r="O105" s="121">
        <f>IF(B105&lt;&gt;"",1,0)</f>
        <v>0</v>
      </c>
      <c r="P105" s="121">
        <v>3</v>
      </c>
      <c r="Q105" s="173"/>
      <c r="R105" s="173"/>
      <c r="S105" s="173"/>
      <c r="AC105" s="17">
        <f>IF($K$12="Seleccione Fecha",0,IF('[1]Equipo Contratista'!A104="",0,'[1]Equipo Contratista'!A104))</f>
        <v>0</v>
      </c>
    </row>
    <row r="106" spans="1:29" x14ac:dyDescent="0.25">
      <c r="A106" s="58"/>
      <c r="B106" s="174"/>
      <c r="C106" s="175"/>
      <c r="D106" s="176"/>
      <c r="E106" s="176"/>
      <c r="F106" s="177"/>
      <c r="G106" s="170"/>
      <c r="H106" s="170"/>
      <c r="I106" s="170"/>
      <c r="J106" s="170"/>
      <c r="K106" s="180"/>
      <c r="L106" s="181"/>
      <c r="M106" s="173"/>
      <c r="N106" s="69"/>
      <c r="O106" s="121"/>
      <c r="P106" s="121"/>
      <c r="Q106" s="173"/>
      <c r="R106" s="173"/>
      <c r="S106" s="173"/>
      <c r="AC106" s="17">
        <f>IF($K$12="Seleccione Fecha",0,IF('[1]Equipo Contratista'!A105="",0,'[1]Equipo Contratista'!A105))</f>
        <v>0</v>
      </c>
    </row>
    <row r="107" spans="1:29" x14ac:dyDescent="0.25">
      <c r="A107" s="58"/>
      <c r="B107" s="165"/>
      <c r="C107" s="182"/>
      <c r="D107" s="167"/>
      <c r="E107" s="167"/>
      <c r="F107" s="168"/>
      <c r="G107" s="169"/>
      <c r="H107" s="170"/>
      <c r="I107" s="170"/>
      <c r="J107" s="170"/>
      <c r="K107" s="180"/>
      <c r="L107" s="181"/>
      <c r="M107" s="173"/>
      <c r="N107" s="69"/>
      <c r="O107" s="121">
        <f>IF(B107&lt;&gt;"",1,0)</f>
        <v>0</v>
      </c>
      <c r="P107" s="121">
        <v>4</v>
      </c>
      <c r="Q107" s="173"/>
      <c r="R107" s="173"/>
      <c r="S107" s="173"/>
      <c r="AC107" s="17">
        <f>IF($K$12="Seleccione Fecha",0,IF('[1]Equipo Contratista'!A106="",0,'[1]Equipo Contratista'!A106))</f>
        <v>0</v>
      </c>
    </row>
    <row r="108" spans="1:29" x14ac:dyDescent="0.25">
      <c r="A108" s="58"/>
      <c r="B108" s="174"/>
      <c r="C108" s="175"/>
      <c r="D108" s="176"/>
      <c r="E108" s="176"/>
      <c r="F108" s="177"/>
      <c r="G108" s="170"/>
      <c r="H108" s="170"/>
      <c r="I108" s="170"/>
      <c r="J108" s="170"/>
      <c r="K108" s="180"/>
      <c r="L108" s="181"/>
      <c r="M108" s="173"/>
      <c r="N108" s="69"/>
      <c r="O108" s="121"/>
      <c r="P108" s="121"/>
      <c r="Q108" s="173"/>
      <c r="R108" s="173"/>
      <c r="S108" s="173"/>
      <c r="AC108" s="17">
        <f>IF($K$12="Seleccione Fecha",0,IF('[1]Equipo Contratista'!A107="",0,'[1]Equipo Contratista'!A107))</f>
        <v>0</v>
      </c>
    </row>
    <row r="109" spans="1:29" x14ac:dyDescent="0.25">
      <c r="A109" s="58"/>
      <c r="B109" s="165"/>
      <c r="C109" s="182"/>
      <c r="D109" s="167"/>
      <c r="E109" s="167"/>
      <c r="F109" s="168"/>
      <c r="G109" s="170"/>
      <c r="H109" s="170"/>
      <c r="I109" s="170"/>
      <c r="J109" s="170"/>
      <c r="K109" s="180"/>
      <c r="L109" s="181"/>
      <c r="M109" s="173"/>
      <c r="N109" s="69"/>
      <c r="O109" s="121">
        <f>IF(B109&lt;&gt;"",1,0)</f>
        <v>0</v>
      </c>
      <c r="P109" s="121">
        <v>5</v>
      </c>
      <c r="Q109" s="173"/>
      <c r="R109" s="173"/>
      <c r="S109" s="173"/>
      <c r="AC109" s="17">
        <f>IF($K$12="Seleccione Fecha",0,IF('[1]Equipo Contratista'!A108="",0,'[1]Equipo Contratista'!A108))</f>
        <v>0</v>
      </c>
    </row>
    <row r="110" spans="1:29" x14ac:dyDescent="0.25">
      <c r="A110" s="58"/>
      <c r="B110" s="174"/>
      <c r="C110" s="175"/>
      <c r="D110" s="176"/>
      <c r="E110" s="176"/>
      <c r="F110" s="177"/>
      <c r="G110" s="170"/>
      <c r="H110" s="170"/>
      <c r="I110" s="170"/>
      <c r="J110" s="170"/>
      <c r="K110" s="180"/>
      <c r="L110" s="181"/>
      <c r="M110" s="173"/>
      <c r="N110" s="69"/>
      <c r="O110" s="121"/>
      <c r="P110" s="121"/>
      <c r="Q110" s="173"/>
      <c r="R110" s="173"/>
      <c r="S110" s="173"/>
      <c r="AC110" s="17">
        <f>IF($K$12="Seleccione Fecha",0,IF('[1]Equipo Contratista'!A109="",0,'[1]Equipo Contratista'!A109))</f>
        <v>0</v>
      </c>
    </row>
    <row r="111" spans="1:29" x14ac:dyDescent="0.25">
      <c r="A111" s="58"/>
      <c r="B111" s="165"/>
      <c r="C111" s="182"/>
      <c r="D111" s="167"/>
      <c r="E111" s="167"/>
      <c r="F111" s="168"/>
      <c r="G111" s="170"/>
      <c r="H111" s="170"/>
      <c r="I111" s="170"/>
      <c r="J111" s="170"/>
      <c r="K111" s="180"/>
      <c r="L111" s="181"/>
      <c r="M111" s="173"/>
      <c r="N111" s="69"/>
      <c r="O111" s="121">
        <f>IF(B111&lt;&gt;"",1,0)</f>
        <v>0</v>
      </c>
      <c r="P111" s="121">
        <v>6</v>
      </c>
      <c r="Q111" s="173"/>
      <c r="R111" s="173"/>
      <c r="S111" s="173"/>
      <c r="AC111" s="17">
        <f>IF($K$12="Seleccione Fecha",0,IF('[1]Equipo Contratista'!A110="",0,'[1]Equipo Contratista'!A110))</f>
        <v>0</v>
      </c>
    </row>
    <row r="112" spans="1:29" x14ac:dyDescent="0.25">
      <c r="A112" s="58"/>
      <c r="B112" s="174"/>
      <c r="C112" s="175"/>
      <c r="D112" s="176"/>
      <c r="E112" s="176"/>
      <c r="F112" s="177"/>
      <c r="G112" s="170"/>
      <c r="H112" s="170"/>
      <c r="I112" s="170"/>
      <c r="J112" s="170"/>
      <c r="K112" s="180"/>
      <c r="L112" s="181"/>
      <c r="M112" s="173"/>
      <c r="N112" s="69"/>
      <c r="O112" s="121"/>
      <c r="P112" s="121"/>
      <c r="Q112" s="173"/>
      <c r="R112" s="173"/>
      <c r="S112" s="173"/>
      <c r="AC112" s="17">
        <f>IF($K$12="Seleccione Fecha",0,IF('[1]Equipo Contratista'!A111="",0,'[1]Equipo Contratista'!A111))</f>
        <v>0</v>
      </c>
    </row>
    <row r="113" spans="1:29" x14ac:dyDescent="0.25">
      <c r="A113" s="58"/>
      <c r="B113" s="165"/>
      <c r="C113" s="182"/>
      <c r="D113" s="167"/>
      <c r="E113" s="167"/>
      <c r="F113" s="168"/>
      <c r="G113" s="170"/>
      <c r="H113" s="170"/>
      <c r="I113" s="170"/>
      <c r="J113" s="170"/>
      <c r="K113" s="180"/>
      <c r="L113" s="181"/>
      <c r="M113" s="173"/>
      <c r="N113" s="69"/>
      <c r="O113" s="121">
        <f>IF(B113&lt;&gt;"",1,0)</f>
        <v>0</v>
      </c>
      <c r="P113" s="121">
        <v>7</v>
      </c>
      <c r="Q113" s="173"/>
      <c r="R113" s="173"/>
      <c r="S113" s="173"/>
      <c r="AC113" s="17">
        <f>IF($K$12="Seleccione Fecha",0,IF('[1]Equipo Contratista'!A112="",0,'[1]Equipo Contratista'!A112))</f>
        <v>0</v>
      </c>
    </row>
    <row r="114" spans="1:29" x14ac:dyDescent="0.25">
      <c r="A114" s="58"/>
      <c r="B114" s="174"/>
      <c r="C114" s="175"/>
      <c r="D114" s="176"/>
      <c r="E114" s="176"/>
      <c r="F114" s="177"/>
      <c r="G114" s="170"/>
      <c r="H114" s="170"/>
      <c r="I114" s="170"/>
      <c r="J114" s="170"/>
      <c r="K114" s="180"/>
      <c r="L114" s="181"/>
      <c r="M114" s="173"/>
      <c r="N114" s="69"/>
      <c r="O114" s="121"/>
      <c r="P114" s="121"/>
      <c r="Q114" s="173"/>
      <c r="R114" s="173"/>
      <c r="S114" s="173"/>
      <c r="AC114" s="17">
        <f>IF($K$12="Seleccione Fecha",0,IF('[1]Equipo Contratista'!A113="",0,'[1]Equipo Contratista'!A113))</f>
        <v>0</v>
      </c>
    </row>
    <row r="115" spans="1:29" x14ac:dyDescent="0.25">
      <c r="A115" s="58"/>
      <c r="B115" s="165"/>
      <c r="C115" s="182"/>
      <c r="D115" s="167"/>
      <c r="E115" s="167"/>
      <c r="F115" s="168"/>
      <c r="G115" s="170"/>
      <c r="H115" s="170"/>
      <c r="I115" s="170"/>
      <c r="J115" s="170"/>
      <c r="K115" s="180"/>
      <c r="L115" s="181"/>
      <c r="M115" s="173"/>
      <c r="N115" s="69"/>
      <c r="O115" s="121">
        <f>IF(B115&lt;&gt;"",1,0)</f>
        <v>0</v>
      </c>
      <c r="P115" s="121">
        <v>8</v>
      </c>
      <c r="Q115" s="173"/>
      <c r="R115" s="173"/>
      <c r="S115" s="173"/>
      <c r="AC115" s="17">
        <f>IF($K$12="Seleccione Fecha",0,IF('[1]Equipo Contratista'!A114="",0,'[1]Equipo Contratista'!A114))</f>
        <v>0</v>
      </c>
    </row>
    <row r="116" spans="1:29" x14ac:dyDescent="0.25">
      <c r="A116" s="58"/>
      <c r="B116" s="174"/>
      <c r="C116" s="175"/>
      <c r="D116" s="176"/>
      <c r="E116" s="176"/>
      <c r="F116" s="177"/>
      <c r="G116" s="170"/>
      <c r="H116" s="170"/>
      <c r="I116" s="170"/>
      <c r="J116" s="170"/>
      <c r="K116" s="180"/>
      <c r="L116" s="181"/>
      <c r="M116" s="173"/>
      <c r="N116" s="69"/>
      <c r="O116" s="121"/>
      <c r="P116" s="121"/>
      <c r="Q116" s="173"/>
      <c r="R116" s="173"/>
      <c r="S116" s="173"/>
      <c r="AC116" s="17">
        <f>IF($K$12="Seleccione Fecha",0,IF('[1]Equipo Contratista'!A115="",0,'[1]Equipo Contratista'!A115))</f>
        <v>0</v>
      </c>
    </row>
    <row r="117" spans="1:29" x14ac:dyDescent="0.25">
      <c r="A117" s="58"/>
      <c r="B117" s="165"/>
      <c r="C117" s="182"/>
      <c r="D117" s="167"/>
      <c r="E117" s="167"/>
      <c r="F117" s="168"/>
      <c r="G117" s="170"/>
      <c r="H117" s="170"/>
      <c r="I117" s="170"/>
      <c r="J117" s="170"/>
      <c r="K117" s="180"/>
      <c r="L117" s="181"/>
      <c r="M117" s="173"/>
      <c r="N117" s="69"/>
      <c r="O117" s="121">
        <f>IF(B117&lt;&gt;"",1,0)</f>
        <v>0</v>
      </c>
      <c r="P117" s="121">
        <v>9</v>
      </c>
      <c r="Q117" s="173"/>
      <c r="R117" s="173"/>
      <c r="S117" s="173"/>
      <c r="AC117" s="17">
        <f>IF($K$12="Seleccione Fecha",0,IF('[1]Equipo Contratista'!A116="",0,'[1]Equipo Contratista'!A116))</f>
        <v>0</v>
      </c>
    </row>
    <row r="118" spans="1:29" x14ac:dyDescent="0.25">
      <c r="A118" s="58"/>
      <c r="B118" s="174"/>
      <c r="C118" s="175"/>
      <c r="D118" s="176"/>
      <c r="E118" s="176"/>
      <c r="F118" s="177"/>
      <c r="G118" s="170"/>
      <c r="H118" s="170"/>
      <c r="I118" s="170"/>
      <c r="J118" s="170"/>
      <c r="K118" s="180"/>
      <c r="L118" s="181"/>
      <c r="M118" s="173"/>
      <c r="N118" s="69"/>
      <c r="O118" s="121"/>
      <c r="P118" s="121"/>
      <c r="Q118" s="173"/>
      <c r="R118" s="173"/>
      <c r="S118" s="173"/>
      <c r="AC118" s="17">
        <f>IF($K$12="Seleccione Fecha",0,IF('[1]Equipo Contratista'!A117="",0,'[1]Equipo Contratista'!A117))</f>
        <v>0</v>
      </c>
    </row>
    <row r="119" spans="1:29" x14ac:dyDescent="0.25">
      <c r="A119" s="58"/>
      <c r="B119" s="165"/>
      <c r="C119" s="182"/>
      <c r="D119" s="167"/>
      <c r="E119" s="167"/>
      <c r="F119" s="168"/>
      <c r="G119" s="170"/>
      <c r="H119" s="170"/>
      <c r="I119" s="170"/>
      <c r="J119" s="170"/>
      <c r="K119" s="180"/>
      <c r="L119" s="181"/>
      <c r="M119" s="173"/>
      <c r="N119" s="69"/>
      <c r="O119" s="121">
        <f>IF(B119&lt;&gt;"",1,0)</f>
        <v>0</v>
      </c>
      <c r="P119" s="121">
        <v>10</v>
      </c>
      <c r="Q119" s="173"/>
      <c r="R119" s="173"/>
      <c r="S119" s="173"/>
      <c r="AC119" s="17">
        <f>IF($K$12="Seleccione Fecha",0,IF('[1]Equipo Contratista'!A118="",0,'[1]Equipo Contratista'!A118))</f>
        <v>0</v>
      </c>
    </row>
    <row r="120" spans="1:29" x14ac:dyDescent="0.25">
      <c r="A120" s="58"/>
      <c r="B120" s="174"/>
      <c r="C120" s="175"/>
      <c r="D120" s="176"/>
      <c r="E120" s="176"/>
      <c r="F120" s="177"/>
      <c r="G120" s="170"/>
      <c r="H120" s="170"/>
      <c r="I120" s="170"/>
      <c r="J120" s="170"/>
      <c r="K120" s="180"/>
      <c r="L120" s="181"/>
      <c r="M120" s="173"/>
      <c r="N120" s="69"/>
      <c r="O120" s="121"/>
      <c r="P120" s="121"/>
      <c r="Q120" s="173"/>
      <c r="R120" s="173"/>
      <c r="S120" s="173"/>
      <c r="AC120" s="17">
        <f>IF($K$12="Seleccione Fecha",0,IF('[1]Equipo Contratista'!A119="",0,'[1]Equipo Contratista'!A119))</f>
        <v>0</v>
      </c>
    </row>
    <row r="121" spans="1:29" x14ac:dyDescent="0.25">
      <c r="A121" s="58"/>
      <c r="B121" s="165"/>
      <c r="C121" s="182"/>
      <c r="D121" s="167"/>
      <c r="E121" s="167"/>
      <c r="F121" s="168"/>
      <c r="G121" s="170"/>
      <c r="H121" s="170"/>
      <c r="I121" s="170"/>
      <c r="J121" s="170"/>
      <c r="K121" s="180"/>
      <c r="L121" s="181"/>
      <c r="M121" s="173"/>
      <c r="N121" s="69"/>
      <c r="O121" s="121">
        <f>IF(B121&lt;&gt;"",1,0)</f>
        <v>0</v>
      </c>
      <c r="P121" s="121">
        <v>11</v>
      </c>
      <c r="Q121" s="173"/>
      <c r="R121" s="173"/>
      <c r="S121" s="173"/>
      <c r="AC121" s="17">
        <f>IF($K$12="Seleccione Fecha",0,IF('[1]Equipo Contratista'!A120="",0,'[1]Equipo Contratista'!A120))</f>
        <v>0</v>
      </c>
    </row>
    <row r="122" spans="1:29" x14ac:dyDescent="0.25">
      <c r="A122" s="58"/>
      <c r="B122" s="174"/>
      <c r="C122" s="175"/>
      <c r="D122" s="176"/>
      <c r="E122" s="176"/>
      <c r="F122" s="177"/>
      <c r="G122" s="170"/>
      <c r="H122" s="170"/>
      <c r="I122" s="170"/>
      <c r="J122" s="170"/>
      <c r="K122" s="180"/>
      <c r="L122" s="181"/>
      <c r="M122" s="173"/>
      <c r="N122" s="69"/>
      <c r="O122" s="121"/>
      <c r="P122" s="121"/>
      <c r="Q122" s="173"/>
      <c r="R122" s="173"/>
      <c r="S122" s="173"/>
      <c r="AC122" s="17">
        <f>IF($K$12="Seleccione Fecha",0,IF('[1]Equipo Contratista'!A121="",0,'[1]Equipo Contratista'!A121))</f>
        <v>0</v>
      </c>
    </row>
    <row r="123" spans="1:29" x14ac:dyDescent="0.25">
      <c r="A123" s="58"/>
      <c r="B123" s="165"/>
      <c r="C123" s="182"/>
      <c r="D123" s="167"/>
      <c r="E123" s="167"/>
      <c r="F123" s="168"/>
      <c r="G123" s="170"/>
      <c r="H123" s="170"/>
      <c r="I123" s="170"/>
      <c r="J123" s="170"/>
      <c r="K123" s="180"/>
      <c r="L123" s="181"/>
      <c r="M123" s="173"/>
      <c r="N123" s="69"/>
      <c r="O123" s="121">
        <f>IF(B123&lt;&gt;"",1,0)</f>
        <v>0</v>
      </c>
      <c r="P123" s="121">
        <v>12</v>
      </c>
      <c r="Q123" s="173"/>
      <c r="R123" s="173"/>
      <c r="S123" s="173"/>
      <c r="AC123" s="17">
        <f>IF($K$12="Seleccione Fecha",0,IF('[1]Equipo Contratista'!A122="",0,'[1]Equipo Contratista'!A122))</f>
        <v>0</v>
      </c>
    </row>
    <row r="124" spans="1:29" x14ac:dyDescent="0.25">
      <c r="A124" s="58"/>
      <c r="B124" s="174"/>
      <c r="C124" s="175"/>
      <c r="D124" s="176"/>
      <c r="E124" s="176"/>
      <c r="F124" s="177"/>
      <c r="G124" s="170"/>
      <c r="H124" s="170"/>
      <c r="I124" s="170"/>
      <c r="J124" s="170"/>
      <c r="K124" s="180"/>
      <c r="L124" s="181"/>
      <c r="M124" s="173"/>
      <c r="N124" s="69"/>
      <c r="O124" s="121"/>
      <c r="P124" s="121"/>
      <c r="Q124" s="173"/>
      <c r="R124" s="173"/>
      <c r="S124" s="173"/>
      <c r="AC124" s="17">
        <f>IF($K$12="Seleccione Fecha",0,IF('[1]Equipo Contratista'!A123="",0,'[1]Equipo Contratista'!A123))</f>
        <v>0</v>
      </c>
    </row>
    <row r="125" spans="1:29" x14ac:dyDescent="0.25">
      <c r="A125" s="58"/>
      <c r="B125" s="165"/>
      <c r="C125" s="182"/>
      <c r="D125" s="167"/>
      <c r="E125" s="167"/>
      <c r="F125" s="168"/>
      <c r="G125" s="170"/>
      <c r="H125" s="170"/>
      <c r="I125" s="170"/>
      <c r="J125" s="170"/>
      <c r="K125" s="180"/>
      <c r="L125" s="181"/>
      <c r="M125" s="173"/>
      <c r="N125" s="69"/>
      <c r="O125" s="121">
        <f>IF(B125&lt;&gt;"",1,0)</f>
        <v>0</v>
      </c>
      <c r="P125" s="121">
        <v>13</v>
      </c>
      <c r="Q125" s="173"/>
      <c r="R125" s="173"/>
      <c r="S125" s="173"/>
      <c r="AC125" s="17">
        <f>IF($K$12="Seleccione Fecha",0,IF('[1]Equipo Contratista'!A124="",0,'[1]Equipo Contratista'!A124))</f>
        <v>0</v>
      </c>
    </row>
    <row r="126" spans="1:29" x14ac:dyDescent="0.25">
      <c r="A126" s="58"/>
      <c r="B126" s="174"/>
      <c r="C126" s="175"/>
      <c r="D126" s="176"/>
      <c r="E126" s="176"/>
      <c r="F126" s="177"/>
      <c r="G126" s="170"/>
      <c r="H126" s="170"/>
      <c r="I126" s="170"/>
      <c r="J126" s="170"/>
      <c r="K126" s="180"/>
      <c r="L126" s="181"/>
      <c r="M126" s="173"/>
      <c r="N126" s="69"/>
      <c r="O126" s="121"/>
      <c r="P126" s="121"/>
      <c r="Q126" s="173"/>
      <c r="R126" s="173"/>
      <c r="S126" s="173"/>
      <c r="AC126" s="17">
        <f>IF($K$12="Seleccione Fecha",0,IF('[1]Equipo Contratista'!A125="",0,'[1]Equipo Contratista'!A125))</f>
        <v>0</v>
      </c>
    </row>
    <row r="127" spans="1:29" x14ac:dyDescent="0.25">
      <c r="A127" s="58"/>
      <c r="B127" s="165"/>
      <c r="C127" s="182"/>
      <c r="D127" s="167"/>
      <c r="E127" s="167"/>
      <c r="F127" s="168"/>
      <c r="G127" s="170"/>
      <c r="H127" s="170"/>
      <c r="I127" s="170"/>
      <c r="J127" s="170"/>
      <c r="K127" s="180"/>
      <c r="L127" s="181"/>
      <c r="M127" s="173"/>
      <c r="N127" s="69"/>
      <c r="O127" s="121">
        <f>IF(B127&lt;&gt;"",1,0)</f>
        <v>0</v>
      </c>
      <c r="P127" s="121">
        <v>14</v>
      </c>
      <c r="Q127" s="173"/>
      <c r="R127" s="173"/>
      <c r="S127" s="173"/>
      <c r="AC127" s="17">
        <f>IF($K$12="Seleccione Fecha",0,IF('[1]Equipo Contratista'!A126="",0,'[1]Equipo Contratista'!A126))</f>
        <v>0</v>
      </c>
    </row>
    <row r="128" spans="1:29" x14ac:dyDescent="0.25">
      <c r="A128" s="58"/>
      <c r="B128" s="174"/>
      <c r="C128" s="175"/>
      <c r="D128" s="176"/>
      <c r="E128" s="176"/>
      <c r="F128" s="177"/>
      <c r="G128" s="170"/>
      <c r="H128" s="170"/>
      <c r="I128" s="170"/>
      <c r="J128" s="170"/>
      <c r="K128" s="180"/>
      <c r="L128" s="181"/>
      <c r="M128" s="173"/>
      <c r="N128" s="69"/>
      <c r="O128" s="121"/>
      <c r="P128" s="121"/>
      <c r="Q128" s="173"/>
      <c r="R128" s="173"/>
      <c r="S128" s="173"/>
      <c r="AC128" s="17">
        <f>IF($K$12="Seleccione Fecha",0,IF('[1]Equipo Contratista'!A127="",0,'[1]Equipo Contratista'!A127))</f>
        <v>0</v>
      </c>
    </row>
    <row r="129" spans="1:29" x14ac:dyDescent="0.25">
      <c r="A129" s="58"/>
      <c r="B129" s="165"/>
      <c r="C129" s="182"/>
      <c r="D129" s="167"/>
      <c r="E129" s="167"/>
      <c r="F129" s="168"/>
      <c r="G129" s="170"/>
      <c r="H129" s="170"/>
      <c r="I129" s="170"/>
      <c r="J129" s="170"/>
      <c r="K129" s="180"/>
      <c r="L129" s="181"/>
      <c r="M129" s="173"/>
      <c r="N129" s="69"/>
      <c r="O129" s="121">
        <f>IF(B129&lt;&gt;"",1,0)</f>
        <v>0</v>
      </c>
      <c r="P129" s="121">
        <v>15</v>
      </c>
      <c r="Q129" s="173"/>
      <c r="R129" s="173"/>
      <c r="S129" s="173"/>
      <c r="AC129" s="17">
        <f>IF($K$12="Seleccione Fecha",0,IF('[1]Equipo Contratista'!A128="",0,'[1]Equipo Contratista'!A128))</f>
        <v>0</v>
      </c>
    </row>
    <row r="130" spans="1:29" ht="13.8" thickBot="1" x14ac:dyDescent="0.3">
      <c r="A130" s="58"/>
      <c r="B130" s="183"/>
      <c r="C130" s="184"/>
      <c r="D130" s="185"/>
      <c r="E130" s="185"/>
      <c r="F130" s="186"/>
      <c r="G130" s="187"/>
      <c r="H130" s="187"/>
      <c r="I130" s="187"/>
      <c r="J130" s="187"/>
      <c r="K130" s="188"/>
      <c r="L130" s="189"/>
      <c r="M130" s="173"/>
      <c r="N130" s="69"/>
      <c r="O130" s="121"/>
      <c r="P130" s="121"/>
      <c r="Q130" s="173"/>
      <c r="R130" s="173"/>
      <c r="S130" s="173"/>
      <c r="AC130" s="17">
        <f>IF($K$12="Seleccione Fecha",0,IF('[1]Equipo Contratista'!A129="",0,'[1]Equipo Contratista'!A129))</f>
        <v>0</v>
      </c>
    </row>
    <row r="131" spans="1:29" x14ac:dyDescent="0.25">
      <c r="H131" s="1"/>
      <c r="N131" s="47"/>
      <c r="O131" s="8">
        <f>SUM(O101:O130)</f>
        <v>0</v>
      </c>
      <c r="AC131" s="17">
        <f>IF($K$12="Seleccione Fecha",0,IF('[1]Equipo Contratista'!A130="",0,'[1]Equipo Contratista'!A130))</f>
        <v>0</v>
      </c>
    </row>
    <row r="132" spans="1:29" x14ac:dyDescent="0.25">
      <c r="H132" s="1"/>
      <c r="J132" s="1" t="s">
        <v>68</v>
      </c>
      <c r="K132" s="190">
        <f>SUM(K101:L130)</f>
        <v>0</v>
      </c>
      <c r="L132" s="190"/>
      <c r="M132" s="191"/>
      <c r="N132" s="191"/>
      <c r="O132" s="191"/>
      <c r="P132" s="191"/>
      <c r="Q132" s="191"/>
      <c r="R132" s="191"/>
      <c r="S132" s="191"/>
      <c r="AC132" s="17">
        <f>IF($K$12="Seleccione Fecha",0,IF('[1]Equipo Contratista'!A131="",0,'[1]Equipo Contratista'!A131))</f>
        <v>0</v>
      </c>
    </row>
    <row r="133" spans="1:29" x14ac:dyDescent="0.25">
      <c r="H133" s="1"/>
      <c r="AC133" s="17">
        <f>IF($K$12="Seleccione Fecha",0,IF('[1]Equipo Contratista'!A132="",0,'[1]Equipo Contratista'!A132))</f>
        <v>0</v>
      </c>
    </row>
    <row r="134" spans="1:29" x14ac:dyDescent="0.25">
      <c r="H134" s="1"/>
      <c r="AC134" s="17">
        <f>IF($K$12="Seleccione Fecha",0,IF('[1]Equipo Contratista'!A133="",0,'[1]Equipo Contratista'!A133))</f>
        <v>0</v>
      </c>
    </row>
    <row r="135" spans="1:29" x14ac:dyDescent="0.25">
      <c r="H135" s="1"/>
      <c r="AC135" s="17">
        <f>IF($K$12="Seleccione Fecha",0,IF('[1]Equipo Contratista'!A134="",0,'[1]Equipo Contratista'!A134))</f>
        <v>0</v>
      </c>
    </row>
    <row r="136" spans="1:29" x14ac:dyDescent="0.25">
      <c r="H136" s="1"/>
      <c r="AC136" s="17">
        <f>IF($K$12="Seleccione Fecha",0,IF('[1]Equipo Contratista'!A135="",0,'[1]Equipo Contratista'!A135))</f>
        <v>0</v>
      </c>
    </row>
    <row r="137" spans="1:29" x14ac:dyDescent="0.25">
      <c r="B137" s="192" t="s">
        <v>69</v>
      </c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3"/>
      <c r="N137" s="193"/>
      <c r="O137" s="193"/>
      <c r="P137" s="193"/>
      <c r="Q137" s="193"/>
      <c r="R137" s="193"/>
      <c r="S137" s="193"/>
      <c r="AC137" s="17">
        <f>IF($K$12="Seleccione Fecha",0,IF('[1]Equipo Contratista'!A136="",0,'[1]Equipo Contratista'!A136))</f>
        <v>0</v>
      </c>
    </row>
    <row r="138" spans="1:29" x14ac:dyDescent="0.25"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3"/>
      <c r="N138" s="193"/>
      <c r="O138" s="193"/>
      <c r="P138" s="193"/>
      <c r="Q138" s="193"/>
      <c r="R138" s="193"/>
      <c r="S138" s="193"/>
      <c r="AC138" s="17">
        <f>IF($K$12="Seleccione Fecha",0,IF('[1]Equipo Contratista'!A137="",0,'[1]Equipo Contratista'!A137))</f>
        <v>0</v>
      </c>
    </row>
    <row r="139" spans="1:29" ht="13.8" thickBot="1" x14ac:dyDescent="0.3">
      <c r="B139" s="194"/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AC139" s="17">
        <f>IF($K$12="Seleccione Fecha",0,IF('[1]Equipo Contratista'!A138="",0,'[1]Equipo Contratista'!A138))</f>
        <v>0</v>
      </c>
    </row>
    <row r="140" spans="1:29" x14ac:dyDescent="0.25">
      <c r="B140" s="195"/>
      <c r="C140" s="196"/>
      <c r="D140" s="196"/>
      <c r="E140" s="196"/>
      <c r="F140" s="196"/>
      <c r="G140" s="196"/>
      <c r="H140" s="196"/>
      <c r="I140" s="196"/>
      <c r="J140" s="196"/>
      <c r="K140" s="196"/>
      <c r="L140" s="197"/>
      <c r="M140" s="198"/>
      <c r="N140" s="8"/>
      <c r="O140" s="198"/>
      <c r="P140" s="198"/>
      <c r="Q140" s="199"/>
      <c r="R140" s="199"/>
      <c r="S140" s="199"/>
      <c r="AC140" s="17">
        <f>IF($K$12="Seleccione Fecha",0,IF('[1]Equipo Contratista'!A139="",0,'[1]Equipo Contratista'!A139))</f>
        <v>0</v>
      </c>
    </row>
    <row r="141" spans="1:29" x14ac:dyDescent="0.25">
      <c r="B141" s="200"/>
      <c r="C141" s="201"/>
      <c r="D141" s="201"/>
      <c r="E141" s="201"/>
      <c r="F141" s="201"/>
      <c r="G141" s="201"/>
      <c r="H141" s="201"/>
      <c r="I141" s="201"/>
      <c r="J141" s="201"/>
      <c r="K141" s="201"/>
      <c r="L141" s="202"/>
      <c r="M141" s="198"/>
      <c r="N141" s="8"/>
      <c r="O141" s="198"/>
      <c r="P141" s="198"/>
      <c r="Q141" s="199"/>
      <c r="R141" s="199"/>
      <c r="S141" s="199"/>
      <c r="AC141" s="17">
        <f>IF($K$12="Seleccione Fecha",0,IF('[1]Equipo Contratista'!A140="",0,'[1]Equipo Contratista'!A140))</f>
        <v>0</v>
      </c>
    </row>
    <row r="142" spans="1:29" x14ac:dyDescent="0.25">
      <c r="B142" s="200"/>
      <c r="C142" s="201"/>
      <c r="D142" s="201"/>
      <c r="E142" s="201"/>
      <c r="F142" s="201"/>
      <c r="G142" s="201"/>
      <c r="H142" s="201"/>
      <c r="I142" s="201"/>
      <c r="J142" s="201"/>
      <c r="K142" s="201"/>
      <c r="L142" s="202"/>
      <c r="M142" s="198"/>
      <c r="N142" s="8"/>
      <c r="O142" s="198"/>
      <c r="P142" s="198"/>
      <c r="Q142" s="199"/>
      <c r="R142" s="199"/>
      <c r="S142" s="199"/>
      <c r="AC142" s="17">
        <f>IF($K$12="Seleccione Fecha",0,IF('[1]Equipo Contratista'!A141="",0,'[1]Equipo Contratista'!A141))</f>
        <v>0</v>
      </c>
    </row>
    <row r="143" spans="1:29" x14ac:dyDescent="0.25">
      <c r="B143" s="200"/>
      <c r="C143" s="201"/>
      <c r="D143" s="201"/>
      <c r="E143" s="201"/>
      <c r="F143" s="201"/>
      <c r="G143" s="201"/>
      <c r="H143" s="201"/>
      <c r="I143" s="201"/>
      <c r="J143" s="201"/>
      <c r="K143" s="201"/>
      <c r="L143" s="202"/>
      <c r="M143" s="198"/>
      <c r="N143" s="8"/>
      <c r="O143" s="198"/>
      <c r="P143" s="198"/>
      <c r="Q143" s="199"/>
      <c r="R143" s="199"/>
      <c r="S143" s="199"/>
      <c r="AC143" s="17">
        <f>IF($K$12="Seleccione Fecha",0,IF('[1]Equipo Contratista'!A142="",0,'[1]Equipo Contratista'!A142))</f>
        <v>0</v>
      </c>
    </row>
    <row r="144" spans="1:29" x14ac:dyDescent="0.25">
      <c r="B144" s="200"/>
      <c r="C144" s="201"/>
      <c r="D144" s="201"/>
      <c r="E144" s="201"/>
      <c r="F144" s="201"/>
      <c r="G144" s="201"/>
      <c r="H144" s="201"/>
      <c r="I144" s="201"/>
      <c r="J144" s="201"/>
      <c r="K144" s="201"/>
      <c r="L144" s="202"/>
      <c r="M144" s="198"/>
      <c r="N144" s="8"/>
      <c r="O144" s="198"/>
      <c r="P144" s="198"/>
      <c r="Q144" s="199"/>
      <c r="R144" s="199"/>
      <c r="S144" s="199"/>
      <c r="AC144" s="17">
        <f>IF($K$12="Seleccione Fecha",0,IF('[1]Equipo Contratista'!A143="",0,'[1]Equipo Contratista'!A143))</f>
        <v>0</v>
      </c>
    </row>
    <row r="145" spans="2:29" x14ac:dyDescent="0.25">
      <c r="B145" s="200"/>
      <c r="C145" s="201"/>
      <c r="D145" s="201"/>
      <c r="E145" s="201"/>
      <c r="F145" s="201"/>
      <c r="G145" s="201"/>
      <c r="H145" s="201"/>
      <c r="I145" s="201"/>
      <c r="J145" s="201"/>
      <c r="K145" s="201"/>
      <c r="L145" s="202"/>
      <c r="M145" s="198"/>
      <c r="N145" s="8"/>
      <c r="O145" s="198"/>
      <c r="P145" s="198"/>
      <c r="Q145" s="199"/>
      <c r="R145" s="199"/>
      <c r="S145" s="199"/>
      <c r="AC145" s="17">
        <f>IF($K$12="Seleccione Fecha",0,IF('[1]Equipo Contratista'!A144="",0,'[1]Equipo Contratista'!A144))</f>
        <v>0</v>
      </c>
    </row>
    <row r="146" spans="2:29" x14ac:dyDescent="0.25">
      <c r="B146" s="200"/>
      <c r="C146" s="201"/>
      <c r="D146" s="201"/>
      <c r="E146" s="201"/>
      <c r="F146" s="201"/>
      <c r="G146" s="201"/>
      <c r="H146" s="201"/>
      <c r="I146" s="201"/>
      <c r="J146" s="201"/>
      <c r="K146" s="201"/>
      <c r="L146" s="202"/>
      <c r="M146" s="198"/>
      <c r="N146" s="8"/>
      <c r="O146" s="198"/>
      <c r="P146" s="198"/>
      <c r="Q146" s="203"/>
      <c r="R146" s="203"/>
      <c r="S146" s="203"/>
      <c r="AC146" s="17">
        <f>IF($K$12="Seleccione Fecha",0,IF('[1]Equipo Contratista'!A145="",0,'[1]Equipo Contratista'!A145))</f>
        <v>0</v>
      </c>
    </row>
    <row r="147" spans="2:29" x14ac:dyDescent="0.25">
      <c r="B147" s="200"/>
      <c r="C147" s="201"/>
      <c r="D147" s="201"/>
      <c r="E147" s="201"/>
      <c r="F147" s="201"/>
      <c r="G147" s="201"/>
      <c r="H147" s="201"/>
      <c r="I147" s="201"/>
      <c r="J147" s="201"/>
      <c r="K147" s="201"/>
      <c r="L147" s="202"/>
      <c r="M147" s="198"/>
      <c r="N147" s="8"/>
      <c r="O147" s="198"/>
      <c r="P147" s="198"/>
      <c r="Q147" s="203"/>
      <c r="R147" s="203"/>
      <c r="S147" s="203"/>
      <c r="AC147" s="17">
        <f>IF($K$12="Seleccione Fecha",0,IF('[1]Equipo Contratista'!A146="",0,'[1]Equipo Contratista'!A146))</f>
        <v>0</v>
      </c>
    </row>
    <row r="148" spans="2:29" x14ac:dyDescent="0.25">
      <c r="B148" s="200"/>
      <c r="C148" s="201"/>
      <c r="D148" s="201"/>
      <c r="E148" s="201"/>
      <c r="F148" s="201"/>
      <c r="G148" s="201"/>
      <c r="H148" s="201"/>
      <c r="I148" s="201"/>
      <c r="J148" s="201"/>
      <c r="K148" s="201"/>
      <c r="L148" s="202"/>
      <c r="M148" s="198"/>
      <c r="N148" s="8"/>
      <c r="O148" s="198"/>
      <c r="P148" s="198"/>
      <c r="Q148" s="203"/>
      <c r="R148" s="203"/>
      <c r="S148" s="203"/>
      <c r="AC148" s="17">
        <f>IF($K$12="Seleccione Fecha",0,IF('[1]Equipo Contratista'!A147="",0,'[1]Equipo Contratista'!A147))</f>
        <v>0</v>
      </c>
    </row>
    <row r="149" spans="2:29" x14ac:dyDescent="0.25">
      <c r="B149" s="200"/>
      <c r="C149" s="201"/>
      <c r="D149" s="201"/>
      <c r="E149" s="201"/>
      <c r="F149" s="201"/>
      <c r="G149" s="201"/>
      <c r="H149" s="201"/>
      <c r="I149" s="201"/>
      <c r="J149" s="201"/>
      <c r="K149" s="201"/>
      <c r="L149" s="202"/>
      <c r="M149" s="198"/>
      <c r="N149" s="8"/>
      <c r="O149" s="198"/>
      <c r="P149" s="198"/>
      <c r="Q149" s="203"/>
      <c r="R149" s="203"/>
      <c r="S149" s="203"/>
      <c r="AC149" s="17">
        <f>IF($K$12="Seleccione Fecha",0,IF('[1]Equipo Contratista'!A148="",0,'[1]Equipo Contratista'!A148))</f>
        <v>0</v>
      </c>
    </row>
    <row r="150" spans="2:29" x14ac:dyDescent="0.25">
      <c r="B150" s="200"/>
      <c r="C150" s="201"/>
      <c r="D150" s="201"/>
      <c r="E150" s="201"/>
      <c r="F150" s="201"/>
      <c r="G150" s="201"/>
      <c r="H150" s="201"/>
      <c r="I150" s="201"/>
      <c r="J150" s="201"/>
      <c r="K150" s="201"/>
      <c r="L150" s="202"/>
      <c r="M150" s="198"/>
      <c r="N150" s="8"/>
      <c r="O150" s="198"/>
      <c r="P150" s="198"/>
      <c r="Q150" s="203"/>
      <c r="R150" s="203"/>
      <c r="S150" s="203"/>
      <c r="AC150" s="17">
        <f>IF($K$12="Seleccione Fecha",0,IF('[1]Equipo Contratista'!A149="",0,'[1]Equipo Contratista'!A149))</f>
        <v>0</v>
      </c>
    </row>
    <row r="151" spans="2:29" x14ac:dyDescent="0.25">
      <c r="B151" s="200"/>
      <c r="C151" s="201"/>
      <c r="D151" s="201"/>
      <c r="E151" s="201"/>
      <c r="F151" s="201"/>
      <c r="G151" s="201"/>
      <c r="H151" s="201"/>
      <c r="I151" s="201"/>
      <c r="J151" s="201"/>
      <c r="K151" s="201"/>
      <c r="L151" s="202"/>
      <c r="M151" s="198"/>
      <c r="N151" s="8"/>
      <c r="O151" s="198"/>
      <c r="P151" s="198"/>
      <c r="Q151" s="203"/>
      <c r="R151" s="203"/>
      <c r="S151" s="203"/>
      <c r="AC151" s="17">
        <f>IF($K$12="Seleccione Fecha",0,IF('[1]Equipo Contratista'!A150="",0,'[1]Equipo Contratista'!A150))</f>
        <v>0</v>
      </c>
    </row>
    <row r="152" spans="2:29" x14ac:dyDescent="0.25">
      <c r="B152" s="200"/>
      <c r="C152" s="201"/>
      <c r="D152" s="201"/>
      <c r="E152" s="201"/>
      <c r="F152" s="201"/>
      <c r="G152" s="201"/>
      <c r="H152" s="201"/>
      <c r="I152" s="201"/>
      <c r="J152" s="201"/>
      <c r="K152" s="201"/>
      <c r="L152" s="202"/>
      <c r="M152" s="198"/>
      <c r="N152" s="8"/>
      <c r="O152" s="198"/>
      <c r="P152" s="198"/>
      <c r="Q152" s="203"/>
      <c r="R152" s="203"/>
      <c r="S152" s="203"/>
      <c r="AC152" s="17">
        <f>IF($K$12="Seleccione Fecha",0,IF('[1]Equipo Contratista'!A151="",0,'[1]Equipo Contratista'!A151))</f>
        <v>0</v>
      </c>
    </row>
    <row r="153" spans="2:29" x14ac:dyDescent="0.25">
      <c r="B153" s="200"/>
      <c r="C153" s="201"/>
      <c r="D153" s="201"/>
      <c r="E153" s="201"/>
      <c r="F153" s="201"/>
      <c r="G153" s="201"/>
      <c r="H153" s="201"/>
      <c r="I153" s="201"/>
      <c r="J153" s="201"/>
      <c r="K153" s="201"/>
      <c r="L153" s="202"/>
      <c r="M153" s="198"/>
      <c r="N153" s="8"/>
      <c r="O153" s="198"/>
      <c r="P153" s="198"/>
      <c r="Q153" s="203"/>
      <c r="R153" s="203"/>
      <c r="S153" s="203"/>
    </row>
    <row r="154" spans="2:29" x14ac:dyDescent="0.25">
      <c r="B154" s="200"/>
      <c r="C154" s="201"/>
      <c r="D154" s="201"/>
      <c r="E154" s="201"/>
      <c r="F154" s="201"/>
      <c r="G154" s="201"/>
      <c r="H154" s="201"/>
      <c r="I154" s="201"/>
      <c r="J154" s="201"/>
      <c r="K154" s="201"/>
      <c r="L154" s="202"/>
      <c r="M154" s="198"/>
      <c r="N154" s="8"/>
      <c r="O154" s="198"/>
      <c r="P154" s="198"/>
      <c r="Q154" s="203"/>
      <c r="R154" s="203"/>
      <c r="S154" s="203"/>
    </row>
    <row r="155" spans="2:29" x14ac:dyDescent="0.25">
      <c r="B155" s="200"/>
      <c r="C155" s="201"/>
      <c r="D155" s="201"/>
      <c r="E155" s="201"/>
      <c r="F155" s="201"/>
      <c r="G155" s="201"/>
      <c r="H155" s="201"/>
      <c r="I155" s="201"/>
      <c r="J155" s="201"/>
      <c r="K155" s="201"/>
      <c r="L155" s="202"/>
      <c r="M155" s="198"/>
      <c r="N155" s="8"/>
      <c r="O155" s="198"/>
      <c r="P155" s="198"/>
      <c r="Q155" s="203"/>
      <c r="R155" s="203"/>
      <c r="S155" s="203"/>
    </row>
    <row r="156" spans="2:29" x14ac:dyDescent="0.25">
      <c r="B156" s="200"/>
      <c r="C156" s="201"/>
      <c r="D156" s="201"/>
      <c r="E156" s="201"/>
      <c r="F156" s="201"/>
      <c r="G156" s="201"/>
      <c r="H156" s="201"/>
      <c r="I156" s="201"/>
      <c r="J156" s="201"/>
      <c r="K156" s="201"/>
      <c r="L156" s="202"/>
      <c r="M156" s="198"/>
      <c r="N156" s="8"/>
      <c r="O156" s="198"/>
      <c r="P156" s="198"/>
      <c r="Q156" s="203"/>
      <c r="R156" s="203"/>
      <c r="S156" s="203"/>
    </row>
    <row r="157" spans="2:29" x14ac:dyDescent="0.25">
      <c r="B157" s="200"/>
      <c r="C157" s="201"/>
      <c r="D157" s="201"/>
      <c r="E157" s="201"/>
      <c r="F157" s="201"/>
      <c r="G157" s="201"/>
      <c r="H157" s="201"/>
      <c r="I157" s="201"/>
      <c r="J157" s="201"/>
      <c r="K157" s="201"/>
      <c r="L157" s="202"/>
      <c r="M157" s="198"/>
      <c r="N157" s="8"/>
      <c r="O157" s="198"/>
      <c r="P157" s="198"/>
      <c r="Q157" s="203"/>
      <c r="R157" s="203"/>
      <c r="S157" s="203"/>
    </row>
    <row r="158" spans="2:29" x14ac:dyDescent="0.25">
      <c r="B158" s="200"/>
      <c r="C158" s="201"/>
      <c r="D158" s="201"/>
      <c r="E158" s="201"/>
      <c r="F158" s="201"/>
      <c r="G158" s="201"/>
      <c r="H158" s="201"/>
      <c r="I158" s="201"/>
      <c r="J158" s="201"/>
      <c r="K158" s="201"/>
      <c r="L158" s="202"/>
      <c r="M158" s="198"/>
      <c r="N158" s="8"/>
      <c r="O158" s="198"/>
      <c r="P158" s="198"/>
      <c r="Q158" s="203"/>
      <c r="R158" s="203"/>
      <c r="S158" s="203"/>
    </row>
    <row r="159" spans="2:29" x14ac:dyDescent="0.25">
      <c r="B159" s="200"/>
      <c r="C159" s="201"/>
      <c r="D159" s="201"/>
      <c r="E159" s="201"/>
      <c r="F159" s="201"/>
      <c r="G159" s="201"/>
      <c r="H159" s="201"/>
      <c r="I159" s="201"/>
      <c r="J159" s="201"/>
      <c r="K159" s="201"/>
      <c r="L159" s="202"/>
      <c r="M159" s="198"/>
      <c r="N159" s="8"/>
      <c r="O159" s="198"/>
      <c r="P159" s="198"/>
      <c r="Q159" s="203"/>
      <c r="R159" s="203"/>
      <c r="S159" s="203"/>
    </row>
    <row r="160" spans="2:29" x14ac:dyDescent="0.25">
      <c r="B160" s="200"/>
      <c r="C160" s="201"/>
      <c r="D160" s="201"/>
      <c r="E160" s="201"/>
      <c r="F160" s="201"/>
      <c r="G160" s="201"/>
      <c r="H160" s="201"/>
      <c r="I160" s="201"/>
      <c r="J160" s="201"/>
      <c r="K160" s="201"/>
      <c r="L160" s="202"/>
      <c r="M160" s="198"/>
      <c r="N160" s="8"/>
      <c r="O160" s="198"/>
      <c r="P160" s="198"/>
      <c r="Q160" s="203"/>
      <c r="R160" s="203"/>
      <c r="S160" s="203"/>
    </row>
    <row r="161" spans="2:19" ht="13.8" thickBot="1" x14ac:dyDescent="0.3">
      <c r="B161" s="204"/>
      <c r="C161" s="205"/>
      <c r="D161" s="205"/>
      <c r="E161" s="205"/>
      <c r="F161" s="205"/>
      <c r="G161" s="205"/>
      <c r="H161" s="205"/>
      <c r="I161" s="205"/>
      <c r="J161" s="205"/>
      <c r="K161" s="205"/>
      <c r="L161" s="206"/>
      <c r="M161" s="198"/>
      <c r="N161" s="8"/>
      <c r="O161" s="198"/>
      <c r="P161" s="198"/>
      <c r="Q161" s="203"/>
      <c r="R161" s="203"/>
      <c r="S161" s="203"/>
    </row>
    <row r="162" spans="2:19" x14ac:dyDescent="0.25">
      <c r="N162" s="207"/>
      <c r="O162" s="1">
        <f>IF(OR(B83&lt;&gt;"",B140&lt;&gt;""),1,0)</f>
        <v>0</v>
      </c>
    </row>
    <row r="163" spans="2:19" x14ac:dyDescent="0.25"/>
    <row r="164" spans="2:19" x14ac:dyDescent="0.25">
      <c r="B164" s="208" t="s">
        <v>70</v>
      </c>
      <c r="C164" s="208"/>
      <c r="D164" s="208"/>
      <c r="E164" s="208"/>
      <c r="F164" s="208"/>
      <c r="G164" s="208"/>
      <c r="H164" s="208"/>
      <c r="I164" s="208"/>
      <c r="J164" s="208"/>
      <c r="K164" s="208"/>
      <c r="L164" s="208"/>
      <c r="M164" s="209"/>
      <c r="N164" s="209"/>
      <c r="O164" s="209"/>
      <c r="P164" s="209"/>
      <c r="Q164" s="209"/>
      <c r="R164" s="209"/>
      <c r="S164" s="209"/>
    </row>
    <row r="165" spans="2:19" x14ac:dyDescent="0.25"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  <c r="L165" s="208"/>
      <c r="M165" s="209"/>
      <c r="N165" s="209"/>
      <c r="O165" s="209"/>
      <c r="P165" s="209"/>
      <c r="Q165" s="209"/>
      <c r="R165" s="209"/>
      <c r="S165" s="209"/>
    </row>
    <row r="166" spans="2:19" x14ac:dyDescent="0.25"/>
    <row r="167" spans="2:19" x14ac:dyDescent="0.25"/>
    <row r="168" spans="2:19" x14ac:dyDescent="0.25">
      <c r="B168" s="1" t="s">
        <v>71</v>
      </c>
      <c r="F168" s="1" t="s">
        <v>72</v>
      </c>
      <c r="J168" s="1" t="s">
        <v>73</v>
      </c>
    </row>
    <row r="169" spans="2:19" x14ac:dyDescent="0.25"/>
    <row r="170" spans="2:19" x14ac:dyDescent="0.25"/>
    <row r="171" spans="2:19" x14ac:dyDescent="0.25">
      <c r="B171" s="9">
        <f>'[1]Información Force Account'!B3</f>
        <v>0</v>
      </c>
      <c r="C171" s="9"/>
      <c r="D171" s="9"/>
      <c r="F171" s="210">
        <f>'[1]Información Force Account'!B5</f>
        <v>0</v>
      </c>
      <c r="G171" s="210"/>
      <c r="H171" s="210"/>
      <c r="J171" s="210">
        <f>'[1]Información Force Account'!B4</f>
        <v>0</v>
      </c>
      <c r="K171" s="210"/>
      <c r="L171" s="210"/>
      <c r="M171" s="11"/>
      <c r="N171" s="11"/>
      <c r="O171" s="11"/>
      <c r="P171" s="11"/>
      <c r="Q171" s="8"/>
      <c r="R171" s="8"/>
      <c r="S171" s="8"/>
    </row>
    <row r="172" spans="2:19" x14ac:dyDescent="0.25">
      <c r="B172" s="211" t="s">
        <v>74</v>
      </c>
      <c r="C172" s="211"/>
      <c r="D172" s="211"/>
      <c r="F172" s="9" t="s">
        <v>75</v>
      </c>
      <c r="G172" s="9"/>
      <c r="H172" s="9"/>
      <c r="J172" s="211" t="s">
        <v>76</v>
      </c>
      <c r="K172" s="211"/>
      <c r="L172" s="211"/>
      <c r="M172" s="11"/>
      <c r="N172" s="11"/>
      <c r="O172" s="11"/>
      <c r="P172" s="11"/>
      <c r="Q172" s="8"/>
      <c r="R172" s="8"/>
      <c r="S172" s="8"/>
    </row>
    <row r="173" spans="2:19" x14ac:dyDescent="0.25"/>
  </sheetData>
  <sheetProtection password="AE77" sheet="1" objects="1" scenarios="1"/>
  <mergeCells count="329">
    <mergeCell ref="B172:D172"/>
    <mergeCell ref="F172:H172"/>
    <mergeCell ref="J172:L172"/>
    <mergeCell ref="K132:L132"/>
    <mergeCell ref="B137:L139"/>
    <mergeCell ref="B140:L161"/>
    <mergeCell ref="B164:L165"/>
    <mergeCell ref="B171:D171"/>
    <mergeCell ref="F171:H171"/>
    <mergeCell ref="J171:L171"/>
    <mergeCell ref="A129:A130"/>
    <mergeCell ref="B129:B130"/>
    <mergeCell ref="C129:F130"/>
    <mergeCell ref="G129:H130"/>
    <mergeCell ref="I129:J130"/>
    <mergeCell ref="K129:L130"/>
    <mergeCell ref="A127:A128"/>
    <mergeCell ref="B127:B128"/>
    <mergeCell ref="C127:F128"/>
    <mergeCell ref="G127:H128"/>
    <mergeCell ref="I127:J128"/>
    <mergeCell ref="K127:L128"/>
    <mergeCell ref="A125:A126"/>
    <mergeCell ref="B125:B126"/>
    <mergeCell ref="C125:F126"/>
    <mergeCell ref="G125:H126"/>
    <mergeCell ref="I125:J126"/>
    <mergeCell ref="K125:L126"/>
    <mergeCell ref="A123:A124"/>
    <mergeCell ref="B123:B124"/>
    <mergeCell ref="C123:F124"/>
    <mergeCell ref="G123:H124"/>
    <mergeCell ref="I123:J124"/>
    <mergeCell ref="K123:L124"/>
    <mergeCell ref="A121:A122"/>
    <mergeCell ref="B121:B122"/>
    <mergeCell ref="C121:F122"/>
    <mergeCell ref="G121:H122"/>
    <mergeCell ref="I121:J122"/>
    <mergeCell ref="K121:L122"/>
    <mergeCell ref="A119:A120"/>
    <mergeCell ref="B119:B120"/>
    <mergeCell ref="C119:F120"/>
    <mergeCell ref="G119:H120"/>
    <mergeCell ref="I119:J120"/>
    <mergeCell ref="K119:L120"/>
    <mergeCell ref="A117:A118"/>
    <mergeCell ref="B117:B118"/>
    <mergeCell ref="C117:F118"/>
    <mergeCell ref="G117:H118"/>
    <mergeCell ref="I117:J118"/>
    <mergeCell ref="K117:L118"/>
    <mergeCell ref="A115:A116"/>
    <mergeCell ref="B115:B116"/>
    <mergeCell ref="C115:F116"/>
    <mergeCell ref="G115:H116"/>
    <mergeCell ref="I115:J116"/>
    <mergeCell ref="K115:L116"/>
    <mergeCell ref="A113:A114"/>
    <mergeCell ref="B113:B114"/>
    <mergeCell ref="C113:F114"/>
    <mergeCell ref="G113:H114"/>
    <mergeCell ref="I113:J114"/>
    <mergeCell ref="K113:L114"/>
    <mergeCell ref="A111:A112"/>
    <mergeCell ref="B111:B112"/>
    <mergeCell ref="C111:F112"/>
    <mergeCell ref="G111:H112"/>
    <mergeCell ref="I111:J112"/>
    <mergeCell ref="K111:L112"/>
    <mergeCell ref="A109:A110"/>
    <mergeCell ref="B109:B110"/>
    <mergeCell ref="C109:F110"/>
    <mergeCell ref="G109:H110"/>
    <mergeCell ref="I109:J110"/>
    <mergeCell ref="K109:L110"/>
    <mergeCell ref="A107:A108"/>
    <mergeCell ref="B107:B108"/>
    <mergeCell ref="C107:F108"/>
    <mergeCell ref="G107:H108"/>
    <mergeCell ref="I107:J108"/>
    <mergeCell ref="K107:L108"/>
    <mergeCell ref="A105:A106"/>
    <mergeCell ref="B105:B106"/>
    <mergeCell ref="C105:F106"/>
    <mergeCell ref="G105:H106"/>
    <mergeCell ref="I105:J106"/>
    <mergeCell ref="K105:L106"/>
    <mergeCell ref="A103:A104"/>
    <mergeCell ref="B103:B104"/>
    <mergeCell ref="C103:F104"/>
    <mergeCell ref="G103:H104"/>
    <mergeCell ref="I103:J104"/>
    <mergeCell ref="K103:L104"/>
    <mergeCell ref="A101:A102"/>
    <mergeCell ref="B101:B102"/>
    <mergeCell ref="C101:F102"/>
    <mergeCell ref="G101:H102"/>
    <mergeCell ref="I101:J102"/>
    <mergeCell ref="K101:L102"/>
    <mergeCell ref="B96:L97"/>
    <mergeCell ref="A98:A100"/>
    <mergeCell ref="B98:B100"/>
    <mergeCell ref="C98:F100"/>
    <mergeCell ref="G98:H100"/>
    <mergeCell ref="I98:J100"/>
    <mergeCell ref="K98:L100"/>
    <mergeCell ref="I79:I80"/>
    <mergeCell ref="J79:J80"/>
    <mergeCell ref="K79:K80"/>
    <mergeCell ref="L79:L80"/>
    <mergeCell ref="D82:L82"/>
    <mergeCell ref="B83:L87"/>
    <mergeCell ref="I77:I78"/>
    <mergeCell ref="J77:J78"/>
    <mergeCell ref="K77:K78"/>
    <mergeCell ref="L77:L78"/>
    <mergeCell ref="A79:A80"/>
    <mergeCell ref="B79:C80"/>
    <mergeCell ref="D79:D80"/>
    <mergeCell ref="E79:E80"/>
    <mergeCell ref="F79:G80"/>
    <mergeCell ref="H79:H80"/>
    <mergeCell ref="I75:I76"/>
    <mergeCell ref="J75:J76"/>
    <mergeCell ref="K75:K76"/>
    <mergeCell ref="L75:L76"/>
    <mergeCell ref="A77:A78"/>
    <mergeCell ref="B77:C78"/>
    <mergeCell ref="D77:D78"/>
    <mergeCell ref="E77:E78"/>
    <mergeCell ref="F77:G78"/>
    <mergeCell ref="H77:H78"/>
    <mergeCell ref="I73:I74"/>
    <mergeCell ref="J73:J74"/>
    <mergeCell ref="K73:K74"/>
    <mergeCell ref="L73:L74"/>
    <mergeCell ref="A75:A76"/>
    <mergeCell ref="B75:C76"/>
    <mergeCell ref="D75:D76"/>
    <mergeCell ref="E75:E76"/>
    <mergeCell ref="F75:G76"/>
    <mergeCell ref="H75:H76"/>
    <mergeCell ref="I71:I72"/>
    <mergeCell ref="J71:J72"/>
    <mergeCell ref="K71:K72"/>
    <mergeCell ref="L71:L72"/>
    <mergeCell ref="A73:A74"/>
    <mergeCell ref="B73:C74"/>
    <mergeCell ref="D73:D74"/>
    <mergeCell ref="E73:E74"/>
    <mergeCell ref="F73:G74"/>
    <mergeCell ref="H73:H74"/>
    <mergeCell ref="I69:I70"/>
    <mergeCell ref="J69:J70"/>
    <mergeCell ref="K69:K70"/>
    <mergeCell ref="L69:L70"/>
    <mergeCell ref="A71:A72"/>
    <mergeCell ref="B71:C72"/>
    <mergeCell ref="D71:D72"/>
    <mergeCell ref="E71:E72"/>
    <mergeCell ref="F71:G72"/>
    <mergeCell ref="H71:H72"/>
    <mergeCell ref="I67:I68"/>
    <mergeCell ref="J67:J68"/>
    <mergeCell ref="K67:K68"/>
    <mergeCell ref="L67:L68"/>
    <mergeCell ref="A69:A70"/>
    <mergeCell ref="B69:C70"/>
    <mergeCell ref="D69:D70"/>
    <mergeCell ref="E69:E70"/>
    <mergeCell ref="F69:G70"/>
    <mergeCell ref="H69:H70"/>
    <mergeCell ref="I65:I66"/>
    <mergeCell ref="J65:J66"/>
    <mergeCell ref="K65:K66"/>
    <mergeCell ref="L65:L66"/>
    <mergeCell ref="A67:A68"/>
    <mergeCell ref="B67:C68"/>
    <mergeCell ref="D67:D68"/>
    <mergeCell ref="E67:E68"/>
    <mergeCell ref="F67:G68"/>
    <mergeCell ref="H67:H68"/>
    <mergeCell ref="I63:I64"/>
    <mergeCell ref="J63:J64"/>
    <mergeCell ref="K63:K64"/>
    <mergeCell ref="L63:L64"/>
    <mergeCell ref="A65:A66"/>
    <mergeCell ref="B65:C66"/>
    <mergeCell ref="D65:D66"/>
    <mergeCell ref="E65:E66"/>
    <mergeCell ref="F65:G66"/>
    <mergeCell ref="H65:H66"/>
    <mergeCell ref="I61:I62"/>
    <mergeCell ref="J61:J62"/>
    <mergeCell ref="K61:K62"/>
    <mergeCell ref="L61:L62"/>
    <mergeCell ref="A63:A64"/>
    <mergeCell ref="B63:C64"/>
    <mergeCell ref="D63:D64"/>
    <mergeCell ref="E63:E64"/>
    <mergeCell ref="F63:G64"/>
    <mergeCell ref="H63:H64"/>
    <mergeCell ref="A61:A62"/>
    <mergeCell ref="B61:C62"/>
    <mergeCell ref="D61:D62"/>
    <mergeCell ref="E61:E62"/>
    <mergeCell ref="F61:G62"/>
    <mergeCell ref="H61:H62"/>
    <mergeCell ref="I54:J54"/>
    <mergeCell ref="K54:L54"/>
    <mergeCell ref="B57:L57"/>
    <mergeCell ref="B59:C60"/>
    <mergeCell ref="D59:D60"/>
    <mergeCell ref="E59:E60"/>
    <mergeCell ref="F59:G60"/>
    <mergeCell ref="H59:H60"/>
    <mergeCell ref="I59:I60"/>
    <mergeCell ref="J59:L59"/>
    <mergeCell ref="B51:C52"/>
    <mergeCell ref="D51:E52"/>
    <mergeCell ref="F51:H52"/>
    <mergeCell ref="B53:C54"/>
    <mergeCell ref="D53:E54"/>
    <mergeCell ref="F53:H54"/>
    <mergeCell ref="A47:A48"/>
    <mergeCell ref="B47:D47"/>
    <mergeCell ref="E47:F48"/>
    <mergeCell ref="K47:L48"/>
    <mergeCell ref="B48:D48"/>
    <mergeCell ref="A49:A50"/>
    <mergeCell ref="B49:D49"/>
    <mergeCell ref="E49:F50"/>
    <mergeCell ref="K49:L50"/>
    <mergeCell ref="B50:D50"/>
    <mergeCell ref="A43:A44"/>
    <mergeCell ref="B43:D43"/>
    <mergeCell ref="E43:F44"/>
    <mergeCell ref="K43:L44"/>
    <mergeCell ref="B44:D44"/>
    <mergeCell ref="A45:A46"/>
    <mergeCell ref="B45:D45"/>
    <mergeCell ref="E45:F46"/>
    <mergeCell ref="K45:L46"/>
    <mergeCell ref="B46:D46"/>
    <mergeCell ref="A39:A40"/>
    <mergeCell ref="B39:D39"/>
    <mergeCell ref="E39:F40"/>
    <mergeCell ref="K39:L40"/>
    <mergeCell ref="B40:D40"/>
    <mergeCell ref="A41:A42"/>
    <mergeCell ref="B41:D41"/>
    <mergeCell ref="E41:F42"/>
    <mergeCell ref="K41:L42"/>
    <mergeCell ref="B42:D42"/>
    <mergeCell ref="A35:A36"/>
    <mergeCell ref="B35:D35"/>
    <mergeCell ref="E35:F36"/>
    <mergeCell ref="K35:L36"/>
    <mergeCell ref="B36:D36"/>
    <mergeCell ref="A37:A38"/>
    <mergeCell ref="B37:D37"/>
    <mergeCell ref="E37:F38"/>
    <mergeCell ref="K37:L38"/>
    <mergeCell ref="B38:D38"/>
    <mergeCell ref="A31:A32"/>
    <mergeCell ref="B31:D31"/>
    <mergeCell ref="E31:F32"/>
    <mergeCell ref="K31:L32"/>
    <mergeCell ref="B32:D32"/>
    <mergeCell ref="A33:A34"/>
    <mergeCell ref="B33:D33"/>
    <mergeCell ref="E33:F34"/>
    <mergeCell ref="K33:L34"/>
    <mergeCell ref="B34:D34"/>
    <mergeCell ref="A27:A28"/>
    <mergeCell ref="B27:D27"/>
    <mergeCell ref="E27:F28"/>
    <mergeCell ref="K27:L28"/>
    <mergeCell ref="B28:D28"/>
    <mergeCell ref="A29:A30"/>
    <mergeCell ref="B29:D29"/>
    <mergeCell ref="E29:F30"/>
    <mergeCell ref="K29:L30"/>
    <mergeCell ref="B30:D30"/>
    <mergeCell ref="A23:A24"/>
    <mergeCell ref="B23:D23"/>
    <mergeCell ref="E23:F24"/>
    <mergeCell ref="K23:L24"/>
    <mergeCell ref="B24:D24"/>
    <mergeCell ref="A25:A26"/>
    <mergeCell ref="B25:D25"/>
    <mergeCell ref="E25:F26"/>
    <mergeCell ref="K25:L26"/>
    <mergeCell ref="B26:D26"/>
    <mergeCell ref="K19:L20"/>
    <mergeCell ref="Q19:Q20"/>
    <mergeCell ref="A21:A22"/>
    <mergeCell ref="B21:D21"/>
    <mergeCell ref="E21:F22"/>
    <mergeCell ref="K21:L22"/>
    <mergeCell ref="B22:D22"/>
    <mergeCell ref="J13:K13"/>
    <mergeCell ref="D15:H15"/>
    <mergeCell ref="J15:K15"/>
    <mergeCell ref="B17:L18"/>
    <mergeCell ref="B19:D20"/>
    <mergeCell ref="E19:F20"/>
    <mergeCell ref="G19:G20"/>
    <mergeCell ref="H19:H20"/>
    <mergeCell ref="I19:I20"/>
    <mergeCell ref="J19:J20"/>
    <mergeCell ref="B5:L5"/>
    <mergeCell ref="O5:P5"/>
    <mergeCell ref="O6:P6"/>
    <mergeCell ref="B8:L8"/>
    <mergeCell ref="B9:D9"/>
    <mergeCell ref="O10:O20"/>
    <mergeCell ref="P10:P20"/>
    <mergeCell ref="D11:H13"/>
    <mergeCell ref="B12:C13"/>
    <mergeCell ref="K12:L12"/>
    <mergeCell ref="O1:P1"/>
    <mergeCell ref="B2:L2"/>
    <mergeCell ref="O2:P2"/>
    <mergeCell ref="B3:L3"/>
    <mergeCell ref="O3:P3"/>
    <mergeCell ref="B4:L4"/>
    <mergeCell ref="O4:P4"/>
  </mergeCells>
  <conditionalFormatting sqref="B171:D171 F171:H171 J171:L171 O171:P171">
    <cfRule type="cellIs" dxfId="3" priority="4" stopIfTrue="1" operator="equal">
      <formula>0</formula>
    </cfRule>
  </conditionalFormatting>
  <conditionalFormatting sqref="I21:L50 D61:I80">
    <cfRule type="cellIs" dxfId="2" priority="3" stopIfTrue="1" operator="equal">
      <formula>0</formula>
    </cfRule>
  </conditionalFormatting>
  <conditionalFormatting sqref="E9 H9 K9 D15:H15">
    <cfRule type="cellIs" dxfId="1" priority="2" stopIfTrue="1" operator="equal">
      <formula>0</formula>
    </cfRule>
  </conditionalFormatting>
  <conditionalFormatting sqref="D11:H13">
    <cfRule type="cellIs" dxfId="0" priority="1" stopIfTrue="1" operator="equal">
      <formula>""" ()"""</formula>
    </cfRule>
  </conditionalFormatting>
  <dataValidations count="4">
    <dataValidation type="list" allowBlank="1" showInputMessage="1" showErrorMessage="1" sqref="K12:L12" xr:uid="{993FDA2E-F491-4F36-A378-CB9A25C9E020}">
      <formula1>Dia_ID</formula1>
    </dataValidation>
    <dataValidation type="list" allowBlank="1" showInputMessage="1" showErrorMessage="1" sqref="B61:C80" xr:uid="{1E41CA63-063E-4211-A04E-7D8DC805236F}">
      <formula1>Descripción</formula1>
    </dataValidation>
    <dataValidation type="list" allowBlank="1" showInputMessage="1" showErrorMessage="1" sqref="B21:D21 B49:D49 B47:D47 B45:D45 B43:D43 B41:D41 B39:D39 B37:D37 B35:D35 B33:D33 B31:D31 B29:D29 B27:D27 B25:D25 B23:D23" xr:uid="{66A5FF53-CE83-49F8-9229-7ABA8FF71188}">
      <formula1>Nombres</formula1>
    </dataValidation>
    <dataValidation type="list" allowBlank="1" showInputMessage="1" showErrorMessage="1" sqref="B101:B130" xr:uid="{53A8CCE3-7C1B-4920-8A81-D2F2D2F7B820}">
      <formula1>"M,S"</formula1>
    </dataValidation>
  </dataValidations>
  <printOptions horizontalCentered="1"/>
  <pageMargins left="0" right="0" top="0.25" bottom="0" header="0" footer="0"/>
  <pageSetup paperSize="5" scale="86" orientation="portrait" blackAndWhite="1" r:id="rId1"/>
  <headerFooter alignWithMargins="0"/>
  <rowBreaks count="1" manualBreakCount="1">
    <brk id="87" min="1" max="11" man="1"/>
  </rowBreaks>
  <drawing r:id="rId2"/>
  <legacyDrawing r:id="rId3"/>
  <controls>
    <mc:AlternateContent xmlns:mc="http://schemas.openxmlformats.org/markup-compatibility/2006">
      <mc:Choice Requires="x14">
        <control shapeId="1029" r:id="rId4" name="CmdSave">
          <controlPr defaultSize="0" print="0" autoLine="0" r:id="rId5">
            <anchor>
              <from>
                <xdr:col>3</xdr:col>
                <xdr:colOff>312420</xdr:colOff>
                <xdr:row>0</xdr:row>
                <xdr:rowOff>45720</xdr:rowOff>
              </from>
              <to>
                <xdr:col>4</xdr:col>
                <xdr:colOff>304800</xdr:colOff>
                <xdr:row>0</xdr:row>
                <xdr:rowOff>335280</xdr:rowOff>
              </to>
            </anchor>
          </controlPr>
        </control>
      </mc:Choice>
      <mc:Fallback>
        <control shapeId="1029" r:id="rId4" name="CmdSave"/>
      </mc:Fallback>
    </mc:AlternateContent>
    <mc:AlternateContent xmlns:mc="http://schemas.openxmlformats.org/markup-compatibility/2006">
      <mc:Choice Requires="x14">
        <control shapeId="1028" r:id="rId6" name="cmdDel">
          <controlPr defaultSize="0" print="0" autoLine="0" r:id="rId7">
            <anchor>
              <from>
                <xdr:col>10</xdr:col>
                <xdr:colOff>487680</xdr:colOff>
                <xdr:row>0</xdr:row>
                <xdr:rowOff>45720</xdr:rowOff>
              </from>
              <to>
                <xdr:col>11</xdr:col>
                <xdr:colOff>594360</xdr:colOff>
                <xdr:row>0</xdr:row>
                <xdr:rowOff>335280</xdr:rowOff>
              </to>
            </anchor>
          </controlPr>
        </control>
      </mc:Choice>
      <mc:Fallback>
        <control shapeId="1028" r:id="rId6" name="cmdDel"/>
      </mc:Fallback>
    </mc:AlternateContent>
    <mc:AlternateContent xmlns:mc="http://schemas.openxmlformats.org/markup-compatibility/2006">
      <mc:Choice Requires="x14">
        <control shapeId="1027" r:id="rId8" name="cmdPrev">
          <controlPr defaultSize="0" print="0" autoLine="0" r:id="rId9">
            <anchor>
              <from>
                <xdr:col>1</xdr:col>
                <xdr:colOff>22860</xdr:colOff>
                <xdr:row>0</xdr:row>
                <xdr:rowOff>45720</xdr:rowOff>
              </from>
              <to>
                <xdr:col>2</xdr:col>
                <xdr:colOff>99060</xdr:colOff>
                <xdr:row>0</xdr:row>
                <xdr:rowOff>335280</xdr:rowOff>
              </to>
            </anchor>
          </controlPr>
        </control>
      </mc:Choice>
      <mc:Fallback>
        <control shapeId="1027" r:id="rId8" name="cmdPrev"/>
      </mc:Fallback>
    </mc:AlternateContent>
    <mc:AlternateContent xmlns:mc="http://schemas.openxmlformats.org/markup-compatibility/2006">
      <mc:Choice Requires="x14">
        <control shapeId="1026" r:id="rId10" name="cmdNext">
          <controlPr defaultSize="0" print="0" autoLine="0" r:id="rId11">
            <anchor>
              <from>
                <xdr:col>2</xdr:col>
                <xdr:colOff>152400</xdr:colOff>
                <xdr:row>0</xdr:row>
                <xdr:rowOff>45720</xdr:rowOff>
              </from>
              <to>
                <xdr:col>3</xdr:col>
                <xdr:colOff>274320</xdr:colOff>
                <xdr:row>0</xdr:row>
                <xdr:rowOff>335280</xdr:rowOff>
              </to>
            </anchor>
          </controlPr>
        </control>
      </mc:Choice>
      <mc:Fallback>
        <control shapeId="1026" r:id="rId10" name="cmdNext"/>
      </mc:Fallback>
    </mc:AlternateContent>
    <mc:AlternateContent xmlns:mc="http://schemas.openxmlformats.org/markup-compatibility/2006">
      <mc:Choice Requires="x14">
        <control shapeId="1025" r:id="rId12" name="cmdNew">
          <controlPr defaultSize="0" print="0" autoLine="0" r:id="rId13">
            <anchor>
              <from>
                <xdr:col>9</xdr:col>
                <xdr:colOff>373380</xdr:colOff>
                <xdr:row>0</xdr:row>
                <xdr:rowOff>45720</xdr:rowOff>
              </from>
              <to>
                <xdr:col>10</xdr:col>
                <xdr:colOff>449580</xdr:colOff>
                <xdr:row>0</xdr:row>
                <xdr:rowOff>335280</xdr:rowOff>
              </to>
            </anchor>
          </controlPr>
        </control>
      </mc:Choice>
      <mc:Fallback>
        <control shapeId="1025" r:id="rId12" name="cmdNew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Inf. Diario 49</vt:lpstr>
      <vt:lpstr>Desc_Equipos</vt:lpstr>
      <vt:lpstr>Nombre_y_Apellidos</vt:lpstr>
      <vt:lpstr>'Inf. Diario 49'!Print_Area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Saavedra</dc:creator>
  <cp:lastModifiedBy>Enrique Saavedra</cp:lastModifiedBy>
  <dcterms:created xsi:type="dcterms:W3CDTF">2026-03-16T13:56:34Z</dcterms:created>
  <dcterms:modified xsi:type="dcterms:W3CDTF">2026-03-16T13:57:15Z</dcterms:modified>
</cp:coreProperties>
</file>