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CT-122" sheetId="1" r:id="rId1"/>
    <sheet name="SUPP-ACT-ZZZ" sheetId="2" r:id="rId2" state="hidden"/>
    <sheet name="ROA" sheetId="3" r:id="rId3" state="hidden"/>
    <sheet name="Table for ROA" sheetId="4" r:id="rId4" state="hidden"/>
    <sheet name="Contralor" sheetId="5" r:id="rId5" state="hidden"/>
  </sheets>
  <definedNames>
    <definedName name="_AMT1">#REF!</definedName>
    <definedName name="_DSC1">#REF!</definedName>
    <definedName name="_QTY1">#REF!</definedName>
    <definedName name="_UN1">#REF!</definedName>
    <definedName name="_UP1">#REF!</definedName>
    <definedName name="ACCNUM">#REF!</definedName>
    <definedName name="ACTCOST">#REF!</definedName>
    <definedName name="ACTNUM">#REF!</definedName>
    <definedName name="ACTREP">#REF!</definedName>
    <definedName name="ADDTIME">#REF!</definedName>
    <definedName name="ADDTIME1">#REF!</definedName>
    <definedName name="AMT">#REF!</definedName>
    <definedName name="AREASUP">#REF!</definedName>
    <definedName name="ATMOVEFROM">#REF!</definedName>
    <definedName name="ATMOVETO">#REF!</definedName>
    <definedName name="BEGDATE">#REF!</definedName>
    <definedName name="CHKTIME">#REF!</definedName>
    <definedName name="CONSTDIR">#REF!</definedName>
    <definedName name="CONTDATE">#REF!</definedName>
    <definedName name="CONTNUM">#REF!</definedName>
    <definedName name="CONTRACTOR">#REF!</definedName>
    <definedName name="DATE">#REF!</definedName>
    <definedName name="DISENADOR">#REF!</definedName>
    <definedName name="DNUM">#REF!</definedName>
    <definedName name="DOCTOTAL">#REF!</definedName>
    <definedName name="DOCTOTAL1">#REF!</definedName>
    <definedName name="DSC">#REF!</definedName>
    <definedName name="EXEDIR">#REF!</definedName>
    <definedName name="FEDNUM">#REF!</definedName>
    <definedName name="ITM">#REF!</definedName>
    <definedName name="LETRA">#REF!</definedName>
    <definedName name="NEWADMDATE">#REF!</definedName>
    <definedName name="NEWDATE">#REF!</definedName>
    <definedName name="NEWTOTAL">#REF!</definedName>
    <definedName name="NEWTOTAL1">#REF!</definedName>
    <definedName name="OCPR">#REF!</definedName>
    <definedName name="ONUM">#REF!</definedName>
    <definedName name="ORIGCOST">#REF!</definedName>
    <definedName name="PAGE">#REF!</definedName>
    <definedName name="PAGENUM">#REF!</definedName>
    <definedName name="PAGETOTAL">#REF!</definedName>
    <definedName name="PNAME">#REF!</definedName>
    <definedName name="_xlnm.Print_Area" localSheetId="2">ROA!$B$2:$V$59</definedName>
    <definedName name="_xlnm.Print_Area" localSheetId="1">'SUPP-ACT-ZZZ'!$B$2:$AY$68</definedName>
    <definedName name="QTY">#REF!</definedName>
    <definedName name="REGDIR">#REF!</definedName>
    <definedName name="REPCONT">#REF!</definedName>
    <definedName name="RESENG">#REF!</definedName>
    <definedName name="REVDATE">#REF!</definedName>
    <definedName name="SC">#REF!</definedName>
    <definedName name="SCMOVEFROM">#REF!</definedName>
    <definedName name="SCMOVETO">#REF!</definedName>
    <definedName name="TIMEEXTNUM">#REF!</definedName>
    <definedName name="TO">#REF!</definedName>
    <definedName name="TOTAL">#REF!</definedName>
    <definedName name="TOTAL1">#REF!</definedName>
    <definedName name="TOTALDOC">#REF!</definedName>
    <definedName name="UN">#REF!</definedName>
    <definedName name="UP">#REF!</definedName>
  </definedNames>
</workbook>
</file>

<file path=xl/comments2.xml><?xml version="1.0" encoding="utf-8"?>
<comments xmlns="http://schemas.openxmlformats.org/spreadsheetml/2006/main">
  <authors>
    <author>Nilda L. Candelas Perez</author>
    <author>Ivette Maldonado Hernandez</author>
  </authors>
  <commentList>
    <comment ref="I11" authorId="0">
      <text>
        <t xml:space="preserve">Número de contrato asignado según registro del contralor. 
</t>
      </text>
    </comment>
    <comment ref="R23" authorId="1">
      <text>
        <t>Ivette Maldonado Hernandez:</t>
      </text>
    </comment>
    <comment ref="AF61" authorId="0">
      <text>
        <t xml:space="preserve">Si el representante de la compañia no está en las personas autorizadas en el RUL deben presentar la Resolución corporativa donde lo autoricen.
</t>
      </text>
    </comment>
    <comment ref="AF63" authorId="0">
      <text>
        <t xml:space="preserve">Incluir posición del representante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1">
    <numFmt numFmtId="7" formatCode="&quot;$&quot;#,##0.00_);\(&quot;$&quot;#,##0.00\)"/>
    <numFmt numFmtId="8" formatCode="&quot;$&quot;#,##0.00_);[Red]\(&quot;$&quot;#,##0.00\)"/>
    <numFmt numFmtId="43" formatCode="_(* #,##0.00_);_(* \(#,##0.00\);_(* &quot;-&quot;??_);_(@_)"/>
    <numFmt numFmtId="44" formatCode="_(&quot;$&quot;* #,##0.00_);_(&quot;$&quot;* \(#,##0.00\);_(&quot;$&quot;* &quot;-&quot;??_);_(@_)"/>
    <numFmt numFmtId="56" formatCode="&quot;上午/下午 &quot;hh&quot;時&quot;mm&quot;分&quot;ss&quot;秒 &quot;"/>
    <numFmt numFmtId="164" formatCode="[$-409]d\-mmm\-yy;@"/>
    <numFmt numFmtId="165" formatCode="[$-409]dd\-mmm\-yy;@"/>
    <numFmt numFmtId="166" formatCode="000"/>
    <numFmt numFmtId="167" formatCode="[$-409]mmmm\ d\,\ yyyy;@"/>
    <numFmt numFmtId="168" formatCode="&quot;$&quot;#,##0.00"/>
    <numFmt numFmtId="169" formatCode="#,##0.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IU113"/>
  <sheetViews>
    <sheetView workbookViewId="0" rightToLeft="0"/>
  </sheetViews>
  <sheetData>
    <row r="1">
      <c r="H1" t="str">
        <v>Government of Puerto Rico</v>
      </c>
      <c r="BE1" t="str">
        <v>ACT-122</v>
      </c>
    </row>
    <row r="2">
      <c r="H2" t="str">
        <v>Department of Transportation and Public Works</v>
      </c>
      <c r="BE2" t="str">
        <v>Rev 12/2024</v>
      </c>
    </row>
    <row r="3">
      <c r="H3" t="str">
        <v>HIGHWAY AND TRANSPORTATION AUTHORITY</v>
      </c>
    </row>
    <row r="5">
      <c r="B5" t="str">
        <v>CHANGE ORDER</v>
      </c>
    </row>
    <row r="7">
      <c r="B7" t="str">
        <v>1. Project Name:</v>
      </c>
      <c r="AN7" t="str">
        <v>9. Contract Beginning Date:</v>
      </c>
    </row>
    <row r="8">
      <c r="B8" t="str">
        <v>2. Contractor:</v>
      </c>
      <c r="AN8" t="str">
        <v>10. Revised Completion Date:</v>
      </c>
    </row>
    <row r="9">
      <c r="B9" t="str">
        <v>3. Project Num.:</v>
      </c>
      <c r="AN9" t="str">
        <v>11. Add Contract Time (Days):</v>
      </c>
    </row>
    <row r="10">
      <c r="B10" t="str">
        <v>4. Federal Num.:</v>
      </c>
      <c r="AN10" t="str">
        <v>11a. Compensable Days:</v>
      </c>
    </row>
    <row r="11">
      <c r="B11" t="str">
        <v>5. Oracle Num.:</v>
      </c>
      <c r="AN11" t="str">
        <v>12. New Completion Date:</v>
      </c>
      <c r="BA11">
        <f>BA8+BA9</f>
        <v>0</v>
      </c>
    </row>
    <row r="12">
      <c r="B12" t="str">
        <v>6. Contract Num.:</v>
      </c>
      <c r="AN12" t="str">
        <v>13. New Administrative Term Date:</v>
      </c>
      <c r="BA12">
        <f>BA11+730</f>
        <v>730</v>
      </c>
    </row>
    <row r="13">
      <c r="B13" t="str">
        <v>7. Amendment:</v>
      </c>
      <c r="AN13" t="str">
        <v>14. FMIS End Date:</v>
      </c>
    </row>
    <row r="14">
      <c r="B14" t="str">
        <v>8. CHO Number.:</v>
      </c>
    </row>
    <row r="16">
      <c r="B16" t="str">
        <v>15. Favor de marcar todas las opciones que apliquen</v>
      </c>
    </row>
    <row r="18">
      <c r="E18" t="str">
        <v>Change of Contract Items</v>
      </c>
      <c r="Y18" t="str">
        <v>New Items (Extra Work)</v>
      </c>
      <c r="AQ18" t="str">
        <v>Time Extension</v>
      </c>
    </row>
    <row r="20">
      <c r="B20" t="str">
        <v>16. Description of Work/Scope of Work:</v>
      </c>
    </row>
    <row r="28">
      <c r="B28" t="str">
        <v>Request is hereby made for approval of the following work to be performed in the above mentioned project. The contractor hereby agrees to perform the necessary work and furnish the necessary labor, materials and equipment that may be required by the Highway Authority and not to exceed the unit prices quoted below. The work to be performed and materials furnished shall be in accordance with the Standard Specifications of the P.R. Highway Authority and the Special Provisions applicable to the above project.</v>
      </c>
    </row>
    <row r="29">
      <c r="B29">
        <v>17</v>
      </c>
      <c r="E29">
        <v>18</v>
      </c>
      <c r="H29">
        <v>19</v>
      </c>
      <c r="AB29">
        <v>20</v>
      </c>
      <c r="AJ29">
        <v>21</v>
      </c>
      <c r="AN29">
        <v>22</v>
      </c>
      <c r="AT29">
        <v>23</v>
      </c>
      <c r="AZ29">
        <v>24</v>
      </c>
      <c r="BF29">
        <v>25</v>
      </c>
    </row>
    <row r="30" xml:space="preserve">
      <c r="B30" t="str">
        <v>Item Num</v>
      </c>
      <c r="E30" t="str" xml:space="preserve">
        <v xml:space="preserve">Item_x000d_
Spec. Code</v>
      </c>
      <c r="H30" t="str">
        <v>Item Name (Description)</v>
      </c>
      <c r="AB30" t="str">
        <v>Additional Information</v>
      </c>
      <c r="AG30" t="str">
        <v>Additional Code</v>
      </c>
      <c r="AJ30" t="str">
        <v>Unit</v>
      </c>
      <c r="AN30" t="str">
        <v>Quantity</v>
      </c>
      <c r="AT30" t="str">
        <v>Unit Price</v>
      </c>
      <c r="AZ30" t="str">
        <v>Amount</v>
      </c>
      <c r="BF30" t="str">
        <v>% Federal</v>
      </c>
    </row>
    <row r="31">
      <c r="B31" t="str">
        <v>Contract Items</v>
      </c>
    </row>
    <row r="32">
      <c r="AZ32">
        <f>AN32*AT32</f>
        <v>0</v>
      </c>
    </row>
    <row r="33">
      <c r="AV33" t="str">
        <v>*</v>
      </c>
      <c r="AZ33">
        <f>AN33*BF33</f>
        <v>0</v>
      </c>
    </row>
    <row r="34">
      <c r="AZ34">
        <f>AN34*BF34</f>
        <v>0</v>
      </c>
    </row>
    <row r="35">
      <c r="AZ35">
        <f>AN35*BF35</f>
        <v>0</v>
      </c>
    </row>
    <row r="36">
      <c r="AZ36">
        <f>AN36*BF36</f>
        <v>0</v>
      </c>
    </row>
    <row r="37">
      <c r="B37" t="str">
        <v xml:space="preserve"> 26 Subtotal Contract Items</v>
      </c>
      <c r="AZ37">
        <f>SUM(AZ32:BE36)</f>
        <v>0</v>
      </c>
    </row>
    <row r="38">
      <c r="B38" t="str">
        <v>New Items (Extra Work)</v>
      </c>
    </row>
    <row r="39">
      <c r="AZ39">
        <f>AN39*AT39</f>
        <v>0</v>
      </c>
    </row>
    <row r="40">
      <c r="AZ40">
        <f>AN40*AT40</f>
        <v>0</v>
      </c>
    </row>
    <row r="41">
      <c r="AZ41">
        <f>AN41*AT41</f>
        <v>0</v>
      </c>
    </row>
    <row r="42">
      <c r="B42" t="str">
        <v>27 Subtotal New Items</v>
      </c>
      <c r="AZ42">
        <f>SUM(AZ39:BE41)</f>
        <v>0</v>
      </c>
      <c r="BE42">
        <v>250000</v>
      </c>
    </row>
    <row r="44">
      <c r="B44" t="str">
        <v>31. Submitted by:</v>
      </c>
      <c r="AL44" t="str">
        <v>28. Change Order Amount:</v>
      </c>
      <c r="BA44">
        <f>AZ37+AZ42</f>
        <v>0</v>
      </c>
    </row>
    <row r="45" xml:space="preserve">
      <c r="M45" t="str" xml:space="preserve">
        <v xml:space="preserve">Project Administrator /_x000d_
Resident Engineer or Inspector </v>
      </c>
      <c r="AC45" t="str">
        <v>-</v>
      </c>
      <c r="AD45" t="str">
        <v>Date</v>
      </c>
      <c r="AL45" t="str">
        <v>29. Actual Contract Amount:</v>
      </c>
    </row>
    <row r="46">
      <c r="B46" t="str">
        <v>32. Accepted by:</v>
      </c>
      <c r="AL46" t="str">
        <v>30. New Contract Amount:</v>
      </c>
    </row>
    <row r="47">
      <c r="M47" t="str">
        <v>Contractor</v>
      </c>
      <c r="AC47" t="str">
        <v>-</v>
      </c>
      <c r="AD47" t="str">
        <v>Date</v>
      </c>
    </row>
    <row r="48">
      <c r="B48" t="str">
        <v>33. Recommended by:</v>
      </c>
    </row>
    <row r="49">
      <c r="M49" t="str">
        <v>Area Supervisor or Project Manager</v>
      </c>
      <c r="AC49" t="str">
        <v>-</v>
      </c>
      <c r="AD49" t="str">
        <v>Date</v>
      </c>
      <c r="AL49" t="str">
        <v>Construction Office Director</v>
      </c>
      <c r="BC49" t="str">
        <v>-</v>
      </c>
      <c r="BD49" t="str">
        <v>Date</v>
      </c>
    </row>
    <row r="51">
      <c r="M51" t="str">
        <v>Distric Director or Program Manager</v>
      </c>
      <c r="AC51" t="str">
        <v>-</v>
      </c>
      <c r="AD51" t="str">
        <v>Date</v>
      </c>
    </row>
    <row r="52">
      <c r="B52" t="str">
        <v>34.</v>
      </c>
      <c r="D52" t="str">
        <v>Approved by:</v>
      </c>
    </row>
    <row r="53">
      <c r="M53" t="str">
        <v>Executive Director</v>
      </c>
      <c r="AC53" t="str">
        <v>-</v>
      </c>
      <c r="AD53" t="str">
        <v>Date</v>
      </c>
      <c r="AL53" t="str">
        <v>Federal Highway Administration</v>
      </c>
      <c r="BA53" t="str">
        <v>-</v>
      </c>
      <c r="BB53" t="str">
        <v>Date</v>
      </c>
      <c r="BC53" t="str">
        <v>-</v>
      </c>
      <c r="BD53" t="str">
        <v>Date</v>
      </c>
    </row>
    <row r="55">
      <c r="AA55" t="str">
        <v>Page</v>
      </c>
      <c r="AE55">
        <v>1</v>
      </c>
      <c r="AG55" t="str">
        <v>of</v>
      </c>
      <c r="AI55">
        <v>2</v>
      </c>
    </row>
    <row r="59">
      <c r="C59" t="str">
        <v>1. Project Name:</v>
      </c>
      <c r="K59">
        <f>J7</f>
        <v>0</v>
      </c>
    </row>
    <row r="60">
      <c r="C60" t="str">
        <v>3. Project Num.:</v>
      </c>
      <c r="K60">
        <f>J9</f>
        <v>0</v>
      </c>
      <c r="AR60" t="str">
        <v>8. CHO Number:</v>
      </c>
    </row>
    <row r="63">
      <c r="C63" t="str">
        <v>35. Reasons that justify this Change Order:</v>
      </c>
      <c r="AE63" t="str">
        <v xml:space="preserve"> </v>
      </c>
    </row>
    <row r="65">
      <c r="C65" t="str">
        <v>Due to:</v>
      </c>
    </row>
    <row r="67">
      <c r="C67" t="str">
        <v>36.  Change Order Justification</v>
      </c>
    </row>
    <row r="108">
      <c r="C108" t="str">
        <v>37. Distribution:</v>
      </c>
      <c r="AD108" t="str">
        <v>COPY 3</v>
      </c>
      <c r="AI108" t="str">
        <v>District Office</v>
      </c>
    </row>
    <row r="109">
      <c r="N109" t="str">
        <v>ORIGINAL</v>
      </c>
      <c r="T109" t="str">
        <v>Treasury Office</v>
      </c>
      <c r="AD109" t="str">
        <v>COPY 4</v>
      </c>
      <c r="AI109" t="str">
        <v>Project</v>
      </c>
    </row>
    <row r="110">
      <c r="N110" t="str">
        <v>COPY 1</v>
      </c>
      <c r="T110" t="str">
        <v>Preaudit Office</v>
      </c>
      <c r="AD110" t="str">
        <v>COPY 5</v>
      </c>
      <c r="AI110" t="str">
        <v>Construction Office</v>
      </c>
    </row>
    <row r="111">
      <c r="N111" t="str">
        <v>COPY 2</v>
      </c>
      <c r="T111" t="str">
        <v>Contractor</v>
      </c>
      <c r="AD111" t="str">
        <v>COPY 6</v>
      </c>
      <c r="AI111" t="str">
        <v>FHWA</v>
      </c>
    </row>
    <row r="113">
      <c r="AA113" t="str">
        <v>Page</v>
      </c>
      <c r="AE113">
        <v>2</v>
      </c>
      <c r="AG113" t="str">
        <v>of</v>
      </c>
      <c r="AI113">
        <v>2</v>
      </c>
    </row>
  </sheetData>
  <mergeCells count="192">
    <mergeCell ref="BE1:BI1"/>
    <mergeCell ref="BE2:BI2"/>
    <mergeCell ref="B13:I13"/>
    <mergeCell ref="BF58:BJ58"/>
    <mergeCell ref="H1:BC1"/>
    <mergeCell ref="H2:BC2"/>
    <mergeCell ref="H3:BC3"/>
    <mergeCell ref="B40:D40"/>
    <mergeCell ref="BF35:BI35"/>
    <mergeCell ref="B37:AY37"/>
    <mergeCell ref="E36:G36"/>
    <mergeCell ref="BF36:BI36"/>
    <mergeCell ref="AZ35:BE35"/>
    <mergeCell ref="H35:AA35"/>
    <mergeCell ref="BA16:BI16"/>
    <mergeCell ref="AN18:AO18"/>
    <mergeCell ref="B36:D36"/>
    <mergeCell ref="J7:AK7"/>
    <mergeCell ref="BA13:BI13"/>
    <mergeCell ref="AJ30:AM30"/>
    <mergeCell ref="AZ34:BE34"/>
    <mergeCell ref="E35:G35"/>
    <mergeCell ref="B33:D33"/>
    <mergeCell ref="M47:AB47"/>
    <mergeCell ref="AT30:AY30"/>
    <mergeCell ref="AZ30:BE30"/>
    <mergeCell ref="E32:G32"/>
    <mergeCell ref="E40:G40"/>
    <mergeCell ref="E34:G34"/>
    <mergeCell ref="H34:AA34"/>
    <mergeCell ref="AJ32:AM32"/>
    <mergeCell ref="AG34:AI34"/>
    <mergeCell ref="AG33:AI33"/>
    <mergeCell ref="AG32:AI32"/>
    <mergeCell ref="H33:AA33"/>
    <mergeCell ref="AJ33:AM33"/>
    <mergeCell ref="AJ34:AM34"/>
    <mergeCell ref="AT41:AY41"/>
    <mergeCell ref="B35:D35"/>
    <mergeCell ref="AB32:AF32"/>
    <mergeCell ref="AB33:AF33"/>
    <mergeCell ref="AB34:AF34"/>
    <mergeCell ref="AB35:AF35"/>
    <mergeCell ref="J9:AD9"/>
    <mergeCell ref="B7:I7"/>
    <mergeCell ref="B10:I10"/>
    <mergeCell ref="BA8:BI8"/>
    <mergeCell ref="B18:C18"/>
    <mergeCell ref="V18:W18"/>
    <mergeCell ref="H29:AA29"/>
    <mergeCell ref="AB29:AI29"/>
    <mergeCell ref="B25:BI25"/>
    <mergeCell ref="BF29:BI29"/>
    <mergeCell ref="B26:BI26"/>
    <mergeCell ref="B28:BI28"/>
    <mergeCell ref="B21:BI21"/>
    <mergeCell ref="B22:BI22"/>
    <mergeCell ref="B24:BI24"/>
    <mergeCell ref="B29:D29"/>
    <mergeCell ref="V20:BI20"/>
    <mergeCell ref="AJ29:AM29"/>
    <mergeCell ref="AN29:AS29"/>
    <mergeCell ref="B23:BI23"/>
    <mergeCell ref="AN33:AS33"/>
    <mergeCell ref="AN34:AS34"/>
    <mergeCell ref="AZ36:BE36"/>
    <mergeCell ref="AT36:AY36"/>
    <mergeCell ref="AN39:AS39"/>
    <mergeCell ref="AB39:AF39"/>
    <mergeCell ref="H32:AA32"/>
    <mergeCell ref="AT35:AY35"/>
    <mergeCell ref="B30:D30"/>
    <mergeCell ref="BF30:BI30"/>
    <mergeCell ref="E30:G30"/>
    <mergeCell ref="H30:AA30"/>
    <mergeCell ref="E39:G39"/>
    <mergeCell ref="H39:AA39"/>
    <mergeCell ref="BF39:BI39"/>
    <mergeCell ref="B31:BI31"/>
    <mergeCell ref="BF34:BI34"/>
    <mergeCell ref="B34:D34"/>
    <mergeCell ref="AT32:AY32"/>
    <mergeCell ref="AG30:AI30"/>
    <mergeCell ref="AN30:AS30"/>
    <mergeCell ref="AB30:AF30"/>
    <mergeCell ref="AN35:AS35"/>
    <mergeCell ref="B32:D32"/>
    <mergeCell ref="E33:G33"/>
    <mergeCell ref="B39:D39"/>
    <mergeCell ref="B38:BI38"/>
    <mergeCell ref="AN32:AS32"/>
    <mergeCell ref="B5:BI5"/>
    <mergeCell ref="B8:I8"/>
    <mergeCell ref="J8:AK8"/>
    <mergeCell ref="B11:I11"/>
    <mergeCell ref="J13:R13"/>
    <mergeCell ref="J14:R14"/>
    <mergeCell ref="BA9:BI9"/>
    <mergeCell ref="J10:AD10"/>
    <mergeCell ref="J11:AD11"/>
    <mergeCell ref="B12:I12"/>
    <mergeCell ref="BA10:BI10"/>
    <mergeCell ref="BA12:BI12"/>
    <mergeCell ref="BA11:BI11"/>
    <mergeCell ref="B9:I9"/>
    <mergeCell ref="J12:AD12"/>
    <mergeCell ref="BA7:BI7"/>
    <mergeCell ref="AT29:AY29"/>
    <mergeCell ref="E29:G29"/>
    <mergeCell ref="AZ29:BE29"/>
    <mergeCell ref="AB40:AF40"/>
    <mergeCell ref="AZ32:BE32"/>
    <mergeCell ref="AT34:AY34"/>
    <mergeCell ref="AB41:AF41"/>
    <mergeCell ref="H40:AA40"/>
    <mergeCell ref="H36:AA36"/>
    <mergeCell ref="AJ36:AM36"/>
    <mergeCell ref="AZ41:BE41"/>
    <mergeCell ref="E41:G41"/>
    <mergeCell ref="AN36:AS36"/>
    <mergeCell ref="AZ33:BE33"/>
    <mergeCell ref="AT33:AY33"/>
    <mergeCell ref="AB36:AF36"/>
    <mergeCell ref="AZ60:BH60"/>
    <mergeCell ref="C60:J60"/>
    <mergeCell ref="K60:AE60"/>
    <mergeCell ref="AJ40:AM40"/>
    <mergeCell ref="AL52:BC52"/>
    <mergeCell ref="BD52:BI52"/>
    <mergeCell ref="AN40:AS40"/>
    <mergeCell ref="BF32:BI32"/>
    <mergeCell ref="AD53:AI53"/>
    <mergeCell ref="AJ39:AM39"/>
    <mergeCell ref="AJ35:AM35"/>
    <mergeCell ref="AJ41:AM41"/>
    <mergeCell ref="AN41:AS41"/>
    <mergeCell ref="BF41:BI41"/>
    <mergeCell ref="AT40:AY40"/>
    <mergeCell ref="AZ40:BE40"/>
    <mergeCell ref="BF40:BI40"/>
    <mergeCell ref="AZ37:BI37"/>
    <mergeCell ref="BF33:BI33"/>
    <mergeCell ref="B52:C52"/>
    <mergeCell ref="M51:AB51"/>
    <mergeCell ref="AD51:AI51"/>
    <mergeCell ref="M52:AC52"/>
    <mergeCell ref="AD52:AI52"/>
    <mergeCell ref="AD49:AI49"/>
    <mergeCell ref="H41:AA41"/>
    <mergeCell ref="BF59:BJ59"/>
    <mergeCell ref="C59:J59"/>
    <mergeCell ref="K59:AL59"/>
    <mergeCell ref="D52:J53"/>
    <mergeCell ref="AL49:BB49"/>
    <mergeCell ref="M46:AC46"/>
    <mergeCell ref="AD46:AI46"/>
    <mergeCell ref="BA46:BI46"/>
    <mergeCell ref="AI55:AJ55"/>
    <mergeCell ref="AG55:AH55"/>
    <mergeCell ref="AE55:AF55"/>
    <mergeCell ref="AD45:AI45"/>
    <mergeCell ref="M44:AC44"/>
    <mergeCell ref="AD44:AI44"/>
    <mergeCell ref="BA45:BI45"/>
    <mergeCell ref="AZ42:BI42"/>
    <mergeCell ref="B42:AY42"/>
    <mergeCell ref="BA44:BI44"/>
    <mergeCell ref="B41:D41"/>
    <mergeCell ref="AE113:AF113"/>
    <mergeCell ref="AG113:AH113"/>
    <mergeCell ref="AD50:AI50"/>
    <mergeCell ref="M48:AC48"/>
    <mergeCell ref="AD48:AI48"/>
    <mergeCell ref="M49:AB49"/>
    <mergeCell ref="AI113:AJ113"/>
    <mergeCell ref="BD48:BI48"/>
    <mergeCell ref="AG35:AI35"/>
    <mergeCell ref="AG36:AI36"/>
    <mergeCell ref="AG39:AI39"/>
    <mergeCell ref="AG40:AI40"/>
    <mergeCell ref="AG41:AI41"/>
    <mergeCell ref="AL48:BC48"/>
    <mergeCell ref="AD47:AI47"/>
    <mergeCell ref="AT39:AY39"/>
    <mergeCell ref="AZ39:BE39"/>
    <mergeCell ref="K69:AJ69"/>
    <mergeCell ref="M45:AB45"/>
    <mergeCell ref="M53:AB53"/>
    <mergeCell ref="AL53:BB53"/>
    <mergeCell ref="BD53:BI53"/>
    <mergeCell ref="M50:AC50"/>
    <mergeCell ref="BD49:BI49"/>
  </mergeCells>
  <pageMargins left="0" right="0" top="0" bottom="0" header="0" footer="0"/>
  <ignoredErrors>
    <ignoredError numberStoredAsText="1" sqref="A1:IU113"/>
  </ignoredErrors>
</worksheet>
</file>

<file path=xl/worksheets/sheet2.xml><?xml version="1.0" encoding="utf-8"?>
<worksheet xmlns="http://schemas.openxmlformats.org/spreadsheetml/2006/main" xmlns:r="http://schemas.openxmlformats.org/officeDocument/2006/relationships">
  <dimension ref="A1:AZ69"/>
  <sheetViews>
    <sheetView workbookViewId="0" rightToLeft="0"/>
  </sheetViews>
  <sheetData>
    <row r="3" xml:space="preserve">
      <c r="Q3" t="str">
        <v>Government of Puerto Rico</v>
      </c>
      <c r="AU3" t="str" xml:space="preserve">
        <v xml:space="preserve">ACT-ZZZ_x000d_
Rev. 06/2024</v>
      </c>
    </row>
    <row r="4">
      <c r="Q4" t="str">
        <v>Department of Transportation and Public Works</v>
      </c>
    </row>
    <row r="5">
      <c r="Q5" t="str">
        <v>HIGHWAY AND TRANSPORTATION AUTHORITY</v>
      </c>
    </row>
    <row r="6">
      <c r="Q6" t="str">
        <v>Construction Area</v>
      </c>
    </row>
    <row r="7">
      <c r="B7" t="str">
        <v xml:space="preserve">1. Project No. </v>
      </c>
    </row>
    <row r="8">
      <c r="B8" t="str">
        <v>2. Oracle No.</v>
      </c>
    </row>
    <row r="9">
      <c r="B9" t="str">
        <v>3. Federal No.</v>
      </c>
    </row>
    <row r="10">
      <c r="B10" t="str">
        <v>4. Contract No.</v>
      </c>
    </row>
    <row r="11">
      <c r="B11" t="str">
        <v>5. OCPR Contract No.</v>
      </c>
    </row>
    <row r="12">
      <c r="B12" t="str">
        <v>6. Acc. No.</v>
      </c>
    </row>
    <row r="14">
      <c r="AG14" t="str">
        <v xml:space="preserve">SUPPLEMENTARY CONTRACT NO. </v>
      </c>
      <c r="AL14">
        <v>7</v>
      </c>
    </row>
    <row r="16">
      <c r="T16">
        <v>8</v>
      </c>
      <c r="W16" t="str">
        <v>Change of Contract Items</v>
      </c>
    </row>
    <row r="18">
      <c r="W18" t="str">
        <v>Include New Items (Extra Work)</v>
      </c>
    </row>
    <row r="20">
      <c r="W20" t="str">
        <v>Time Extension</v>
      </c>
    </row>
    <row r="23">
      <c r="D23" t="str">
        <v xml:space="preserve">This agreement entered into this </v>
      </c>
      <c r="R23" t="str">
        <v>Fecha del que Aprueba el CHO</v>
      </c>
      <c r="Z23">
        <v>9</v>
      </c>
      <c r="AA23" t="str">
        <v>by and between</v>
      </c>
      <c r="AH23" t="str">
        <v>Nombre del que aprueba según delegación de firmas</v>
      </c>
      <c r="AW23">
        <v>10</v>
      </c>
      <c r="AX23" t="str">
        <v>,</v>
      </c>
    </row>
    <row r="25">
      <c r="C25" t="str">
        <v>Executive Director, Highway Authority (hereinafter referred to as the Executive Director) on behalf of the Commonwealth</v>
      </c>
    </row>
    <row r="27">
      <c r="C27" t="str">
        <v xml:space="preserve"> of  Puerto Rico; and</v>
      </c>
      <c r="L27" t="str">
        <v>Nombre de la Compañía</v>
      </c>
      <c r="AC27">
        <v>11</v>
      </c>
      <c r="AD27" t="str">
        <v>Contractor, (hereinafter referred to as the Contractor).</v>
      </c>
    </row>
    <row r="30">
      <c r="B30" t="str">
        <v>WITNESSETH THAT:</v>
      </c>
    </row>
    <row r="33">
      <c r="D33" t="str">
        <v xml:space="preserve">Whereas, the hereto on the </v>
      </c>
      <c r="P33" t="str">
        <v>Fecha del Contrato Original</v>
      </c>
      <c r="Y33">
        <v>13</v>
      </c>
      <c r="Z33" t="str">
        <v>entered into a contract for the construction of project</v>
      </c>
    </row>
    <row r="35">
      <c r="C35" t="str">
        <v>Nombre completo del Proyecto</v>
      </c>
      <c r="AG35">
        <v>14</v>
      </c>
      <c r="AH35" t="str">
        <v>.</v>
      </c>
    </row>
    <row r="37">
      <c r="D37" t="str">
        <v xml:space="preserve">Whereas, said parties have agreed on the performance of certain  </v>
      </c>
      <c r="AD37" t="str">
        <v>Change Order</v>
      </c>
      <c r="AK37">
        <v>15</v>
      </c>
      <c r="AL37" t="str">
        <v>at the above mentioned project.</v>
      </c>
    </row>
    <row r="39">
      <c r="D39" t="str">
        <v>Now, therefore, the parties hereto in consideration of the terms, covenants, agreements hereinafter contained and the</v>
      </c>
    </row>
    <row r="41">
      <c r="C41" t="str">
        <v xml:space="preserve"> faithful  performance there of hereby mutually agree as follows:</v>
      </c>
    </row>
    <row r="43">
      <c r="D43" t="str">
        <v>First: That the Contractor agrees to perform the</v>
      </c>
      <c r="X43" t="str">
        <v>Change Order  #</v>
      </c>
      <c r="AF43">
        <v>16</v>
      </c>
      <c r="AG43" t="str">
        <v>at the amount of</v>
      </c>
      <c r="AN43" t="str">
        <v>$$</v>
      </c>
      <c r="AU43">
        <v>17</v>
      </c>
      <c r="AV43" t="str">
        <v>and</v>
      </c>
    </row>
    <row r="45">
      <c r="C45" t="str">
        <v># días</v>
      </c>
      <c r="F45">
        <v>18</v>
      </c>
      <c r="G45" t="str">
        <v>additional calendar day. The Substantial Completion date is herein moved from</v>
      </c>
      <c r="AO45" t="str">
        <v>Validar que es la vigente</v>
      </c>
      <c r="AU45">
        <v>19</v>
      </c>
      <c r="AV45" t="str">
        <v>to</v>
      </c>
    </row>
    <row r="47">
      <c r="C47" t="str">
        <v>Validar que es fecha nueva</v>
      </c>
      <c r="J47">
        <v>20</v>
      </c>
      <c r="K47" t="str">
        <v>and the Administrative Term date is herein moved from</v>
      </c>
      <c r="AH47" t="str">
        <v>Adm vigente</v>
      </c>
      <c r="AN47">
        <v>21</v>
      </c>
      <c r="AO47" t="str">
        <v>to</v>
      </c>
      <c r="AP47" t="str">
        <v>Adm Nueva</v>
      </c>
      <c r="AV47">
        <v>22</v>
      </c>
      <c r="AW47" t="str">
        <v>for</v>
      </c>
    </row>
    <row r="49">
      <c r="C49" t="str">
        <v>the contract.</v>
      </c>
    </row>
    <row r="51">
      <c r="D51" t="str">
        <v>Second: That all documents forming part of the original contract are also a part of this supplementary contract.</v>
      </c>
    </row>
    <row r="54">
      <c r="AW54">
        <v>19</v>
      </c>
    </row>
    <row r="55">
      <c r="AF55" t="str">
        <v>Name of Authorized PRHTA's Representative - Nombre del que Aprueba el CHO por delegación de firmas</v>
      </c>
    </row>
    <row r="56">
      <c r="AF56" t="str">
        <v>Title of PRHTA's representative</v>
      </c>
    </row>
    <row r="57">
      <c r="AF57" t="str">
        <v>Highway and Trasnportation Authority</v>
      </c>
    </row>
    <row r="58">
      <c r="AF58" t="str">
        <v>660-43-3808</v>
      </c>
    </row>
    <row r="60">
      <c r="AW60">
        <v>20</v>
      </c>
    </row>
    <row r="61">
      <c r="AF61" t="str">
        <v>Name Contractor Representative</v>
      </c>
    </row>
    <row r="62">
      <c r="AF62" t="str">
        <v>Name of Company</v>
      </c>
    </row>
    <row r="63">
      <c r="AF63" t="str">
        <v>SSP</v>
      </c>
    </row>
    <row r="64">
      <c r="AF64" t="str">
        <v>Correo Electrónico</v>
      </c>
    </row>
    <row r="65">
      <c r="B65" t="str">
        <v>Distribution</v>
      </c>
      <c r="G65">
        <v>23</v>
      </c>
      <c r="Y65" t="str">
        <v>COPY 3</v>
      </c>
      <c r="AC65" t="str">
        <v>Regional Office</v>
      </c>
    </row>
    <row r="66">
      <c r="K66" t="str">
        <v>ORIGINAL</v>
      </c>
      <c r="O66" t="str">
        <v>Treasury Office</v>
      </c>
      <c r="Y66" t="str">
        <v>COPY 4</v>
      </c>
      <c r="AC66" t="str">
        <v>Project</v>
      </c>
    </row>
    <row r="67">
      <c r="K67" t="str">
        <v>COPY 1</v>
      </c>
      <c r="O67" t="str">
        <v>Preaudit Office</v>
      </c>
      <c r="Y67" t="str">
        <v>COPY 5</v>
      </c>
      <c r="AC67" t="str">
        <v>Construction Area</v>
      </c>
    </row>
    <row r="68">
      <c r="K68" t="str">
        <v>COPY 2</v>
      </c>
      <c r="O68" t="str">
        <v>Contractor</v>
      </c>
      <c r="Y68" t="str">
        <v>COPY 6</v>
      </c>
      <c r="AC68" t="str">
        <v>FHWA</v>
      </c>
    </row>
  </sheetData>
  <mergeCells count="64">
    <mergeCell ref="C35:AF35"/>
    <mergeCell ref="Q5:AL5"/>
    <mergeCell ref="AH14:AK14"/>
    <mergeCell ref="C25:AX25"/>
    <mergeCell ref="C27:K27"/>
    <mergeCell ref="L27:AB27"/>
    <mergeCell ref="AD27:AY27"/>
    <mergeCell ref="W18:AG18"/>
    <mergeCell ref="W20:AG20"/>
    <mergeCell ref="D23:Q23"/>
    <mergeCell ref="AA23:AG23"/>
    <mergeCell ref="I10:N10"/>
    <mergeCell ref="B11:H11"/>
    <mergeCell ref="R23:Y23"/>
    <mergeCell ref="I11:N11"/>
    <mergeCell ref="AU3:AX9"/>
    <mergeCell ref="AH23:AV23"/>
    <mergeCell ref="Q3:AL3"/>
    <mergeCell ref="Q6:AL6"/>
    <mergeCell ref="I7:U7"/>
    <mergeCell ref="I8:U8"/>
    <mergeCell ref="Q4:AL4"/>
    <mergeCell ref="I9:N9"/>
    <mergeCell ref="I12:N12"/>
    <mergeCell ref="AE16:AG16"/>
    <mergeCell ref="D51:AX51"/>
    <mergeCell ref="C47:H47"/>
    <mergeCell ref="B30:AY30"/>
    <mergeCell ref="D33:O33"/>
    <mergeCell ref="Z33:AX33"/>
    <mergeCell ref="P33:W33"/>
    <mergeCell ref="D43:W43"/>
    <mergeCell ref="X43:AE43"/>
    <mergeCell ref="AG43:AM43"/>
    <mergeCell ref="AN43:AT43"/>
    <mergeCell ref="AV43:AX43"/>
    <mergeCell ref="D37:AC37"/>
    <mergeCell ref="AD37:AJ37"/>
    <mergeCell ref="AL37:AX37"/>
    <mergeCell ref="D39:AX39"/>
    <mergeCell ref="C41:AM41"/>
    <mergeCell ref="C45:E45"/>
    <mergeCell ref="G45:AN45"/>
    <mergeCell ref="AO45:AT45"/>
    <mergeCell ref="AV45:AX45"/>
    <mergeCell ref="K47:AG47"/>
    <mergeCell ref="AH47:AM47"/>
    <mergeCell ref="AP47:AU47"/>
    <mergeCell ref="AW47:AX47"/>
    <mergeCell ref="AF64:AV64"/>
    <mergeCell ref="C54:T54"/>
    <mergeCell ref="AF54:AV54"/>
    <mergeCell ref="C55:T55"/>
    <mergeCell ref="AF56:AV56"/>
    <mergeCell ref="AF62:AV62"/>
    <mergeCell ref="AF63:AV63"/>
    <mergeCell ref="C60:T60"/>
    <mergeCell ref="AF60:AV60"/>
    <mergeCell ref="C61:T61"/>
    <mergeCell ref="AF61:AV61"/>
    <mergeCell ref="AF58:AV58"/>
    <mergeCell ref="D57:T58"/>
    <mergeCell ref="AF57:AV57"/>
    <mergeCell ref="AF55:AV55"/>
  </mergeCells>
  <pageMargins left="0.5" right="0.5" top="0.5" bottom="0.5" header="0.3" footer="0.3"/>
  <ignoredErrors>
    <ignoredError numberStoredAsText="1" sqref="A1:AZ69"/>
  </ignoredErrors>
  <legacyDrawing r:id="rId1"/>
</worksheet>
</file>

<file path=xl/worksheets/sheet3.xml><?xml version="1.0" encoding="utf-8"?>
<worksheet xmlns="http://schemas.openxmlformats.org/spreadsheetml/2006/main" xmlns:r="http://schemas.openxmlformats.org/officeDocument/2006/relationships">
  <dimension ref="B1:V59"/>
  <sheetViews>
    <sheetView workbookViewId="0" rightToLeft="0"/>
  </sheetViews>
  <sheetData>
    <row r="3">
      <c r="E3" t="str">
        <v>RECORD OF AUTHORIZATION TO PROCEED WITH CONTRACT REVISION</v>
      </c>
    </row>
    <row r="5">
      <c r="E5" t="str">
        <v>FAX: 787-766-5924</v>
      </c>
    </row>
    <row r="7">
      <c r="B7" t="str">
        <v>PROJECT NO.</v>
      </c>
      <c r="E7">
        <f>'ACT-122'!J10</f>
        <v>0</v>
      </c>
      <c r="N7" t="str">
        <v>STATE NUMBER</v>
      </c>
      <c r="T7" t="str">
        <v>STATE</v>
      </c>
    </row>
    <row r="8">
      <c r="B8">
        <f>'ACT-122'!J7</f>
        <v>0</v>
      </c>
    </row>
    <row r="9">
      <c r="N9">
        <f>'ACT-122'!J9:V9</f>
        <v>0</v>
      </c>
      <c r="T9" t="str">
        <v>Puerto Rico</v>
      </c>
    </row>
    <row r="10">
      <c r="B10" t="str">
        <v>TYPE REVISION</v>
      </c>
    </row>
    <row r="11">
      <c r="C11" t="str">
        <v>CHANGE OF CONTRACT ITEMS</v>
      </c>
      <c r="J11" t="str">
        <v>SUPPLEMENTAL AGREEMENT</v>
      </c>
      <c r="P11" t="str">
        <v>TIME EXTENSION</v>
      </c>
      <c r="T11" t="str">
        <v>SPECIFICATION CHANGE</v>
      </c>
    </row>
    <row r="12">
      <c r="C12" t="str">
        <v>NEW ITEMS (EXTRA WORK)</v>
      </c>
      <c r="J12" t="str">
        <v>OTHER</v>
      </c>
      <c r="M12" t="str">
        <v>DESIGN CHANGE</v>
      </c>
    </row>
    <row r="13">
      <c r="B13" t="str">
        <v>REQUESTED BY:</v>
      </c>
      <c r="F13" t="str">
        <v>='CHO-ACT-XXX'!M43</v>
      </c>
      <c r="S13" t="str">
        <v>DATE:</v>
      </c>
      <c r="T13" t="e">
        <f>#REF!</f>
        <v>#REF!</v>
      </c>
    </row>
    <row r="14">
      <c r="B14" t="str">
        <v xml:space="preserve">NATURE AND REASON FOR PROPOSED REVISION (if additional space is required, use reverse side)   </v>
      </c>
      <c r="V14" t="str">
        <v>Page 1 of 1</v>
      </c>
    </row>
    <row r="15">
      <c r="B15" t="e">
        <f>"CHANGE ORDER #" &amp; TEXT('ACT-122'!#REF!,"000")</f>
        <v>#REF!</v>
      </c>
    </row>
    <row r="16">
      <c r="C16" t="str">
        <v>Project Engineer:</v>
      </c>
    </row>
    <row r="17">
      <c r="C17" t="str">
        <v>Telephone Number:</v>
      </c>
    </row>
    <row r="18">
      <c r="C18" t="str">
        <v>Email:</v>
      </c>
    </row>
    <row r="21" xml:space="preserve">
      <c r="B21" t="str" xml:space="preserve">
        <v xml:space="preserve">_x000d_
_x000d_
Item#030 Temporary Concrete Barrier: To grant a safe pass for the traffic through the project and to guaranty the contractor and PRHTA personnel safety, we designed and recommended the construction a temporary detour to the west side of the PR-185 at Km 11.1. With the construction of the detour the amount of temporary concrete barriers increased by 134.00 LnM. </v>
      </c>
    </row>
    <row r="46">
      <c r="O46" t="str">
        <v>METHOD OF PAYMENT:</v>
      </c>
    </row>
    <row r="47">
      <c r="F47" t="str">
        <v>INC.</v>
      </c>
      <c r="I47" t="str">
        <v>DEC.</v>
      </c>
      <c r="K47" t="str">
        <v>IN COST</v>
      </c>
      <c r="L47" t="str">
        <v>$</v>
      </c>
      <c r="M47">
        <f>'ACT-122'!BA44</f>
        <v>0</v>
      </c>
    </row>
    <row r="48">
      <c r="B48" t="str">
        <v>ESTIMATED</v>
      </c>
      <c r="P48" t="str">
        <v>FORCE ACCOUNT</v>
      </c>
      <c r="S48" t="str">
        <v>NEGOTIATED PRICE</v>
      </c>
      <c r="V48" t="str">
        <v>LUMP SUM</v>
      </c>
    </row>
    <row r="49">
      <c r="F49" t="str">
        <v>INC.</v>
      </c>
      <c r="I49" t="str">
        <v>DEC.</v>
      </c>
      <c r="K49" t="str">
        <v>IN TIME</v>
      </c>
      <c r="L49" t="str">
        <f>'ACT-122'!BA10&amp; " DAYS"</f>
        <v xml:space="preserve"> DAYS</v>
      </c>
      <c r="P49" t="str">
        <v>UNIT BID PRICES</v>
      </c>
      <c r="S49" t="str">
        <v>OTHER:</v>
      </c>
    </row>
    <row r="50">
      <c r="B50" t="str">
        <v xml:space="preserve">  THE WORK COVERED BY THE PROPOSED REVISION AS DESCRIBER ABOVE IS HEREBY AUTHORIZED SUBJECT TO THE CONDITIONS</v>
      </c>
    </row>
    <row r="51">
      <c r="B51" t="str">
        <v xml:space="preserve">  MARKED BELOW:</v>
      </c>
    </row>
    <row r="52">
      <c r="C52" t="str">
        <v>EVALUATION OF COST DATA</v>
      </c>
      <c r="P52" t="str">
        <v>AUTHORIZED WITHOUT FEDERAL PARTICIPATION</v>
      </c>
    </row>
    <row r="53">
      <c r="C53" t="str">
        <v>LIMITATIONS EXTENT OF FEDERAL PARTICIPATION</v>
      </c>
      <c r="P53" t="str">
        <v>OTHER:</v>
      </c>
    </row>
    <row r="54">
      <c r="C54" t="str">
        <v>DETERMINATION OF SATISFACTORY ADJUSTMENT IN TIME</v>
      </c>
    </row>
    <row r="55">
      <c r="C55" t="str">
        <v>ADEQUATE SUBMITTAL OF WRITTEN SUPPORTING DATA</v>
      </c>
      <c r="P55" t="str">
        <v>NONE</v>
      </c>
    </row>
    <row r="56">
      <c r="B56" t="str">
        <v>RECOMMENDED BY STATE ENGINEER</v>
      </c>
      <c r="O56" t="str">
        <v>DIVISION OFFICE APPROVAL</v>
      </c>
    </row>
    <row r="57">
      <c r="B57" t="str">
        <v xml:space="preserve"> SIGNATURE</v>
      </c>
      <c r="K57" t="str">
        <v>DATE</v>
      </c>
      <c r="O57" t="str">
        <v xml:space="preserve"> SIGNATURE</v>
      </c>
      <c r="U57" t="str">
        <v>DATE</v>
      </c>
    </row>
    <row r="58">
      <c r="B58">
        <f>J16</f>
        <v>0</v>
      </c>
      <c r="K58" t="e">
        <f>$T$13</f>
        <v>#REF!</v>
      </c>
    </row>
    <row r="59">
      <c r="B59" t="str">
        <v>(Use reverse for comments if required)</v>
      </c>
    </row>
  </sheetData>
  <mergeCells count="60">
    <mergeCell ref="D25:E25"/>
    <mergeCell ref="B7:D7"/>
    <mergeCell ref="E7:M7"/>
    <mergeCell ref="N7:S7"/>
    <mergeCell ref="T7:V7"/>
    <mergeCell ref="N9:S9"/>
    <mergeCell ref="T9:V9"/>
    <mergeCell ref="B8:M9"/>
    <mergeCell ref="F10:V10"/>
    <mergeCell ref="C11:H11"/>
    <mergeCell ref="P11:Q11"/>
    <mergeCell ref="R11:S11"/>
    <mergeCell ref="T11:V11"/>
    <mergeCell ref="C12:H12"/>
    <mergeCell ref="P12:V12"/>
    <mergeCell ref="C18:I18"/>
    <mergeCell ref="D2:D6"/>
    <mergeCell ref="E2:V2"/>
    <mergeCell ref="E3:V3"/>
    <mergeCell ref="E4:V4"/>
    <mergeCell ref="E5:V5"/>
    <mergeCell ref="E6:V6"/>
    <mergeCell ref="J18:V18"/>
    <mergeCell ref="B13:E13"/>
    <mergeCell ref="F13:R13"/>
    <mergeCell ref="T13:V13"/>
    <mergeCell ref="J17:V17"/>
    <mergeCell ref="B15:V15"/>
    <mergeCell ref="C16:I16"/>
    <mergeCell ref="J16:V16"/>
    <mergeCell ref="C52:N52"/>
    <mergeCell ref="P52:V52"/>
    <mergeCell ref="B46:N46"/>
    <mergeCell ref="O46:V47"/>
    <mergeCell ref="B47:D47"/>
    <mergeCell ref="B48:D48"/>
    <mergeCell ref="E48:N48"/>
    <mergeCell ref="S48:T48"/>
    <mergeCell ref="B49:D49"/>
    <mergeCell ref="L49:N49"/>
    <mergeCell ref="B50:V50"/>
    <mergeCell ref="B51:F51"/>
    <mergeCell ref="G51:V51"/>
    <mergeCell ref="C53:N53"/>
    <mergeCell ref="Q53:V53"/>
    <mergeCell ref="C54:N54"/>
    <mergeCell ref="O54:V54"/>
    <mergeCell ref="C55:N55"/>
    <mergeCell ref="Q55:V55"/>
    <mergeCell ref="B56:N56"/>
    <mergeCell ref="O56:V56"/>
    <mergeCell ref="B57:J57"/>
    <mergeCell ref="K57:N57"/>
    <mergeCell ref="O57:T57"/>
    <mergeCell ref="U57:V57"/>
    <mergeCell ref="B58:J58"/>
    <mergeCell ref="K58:N58"/>
    <mergeCell ref="O58:T58"/>
    <mergeCell ref="U58:V58"/>
    <mergeCell ref="B59:V59"/>
  </mergeCells>
  <pageMargins left="0" right="0" top="0" bottom="0" header="0" footer="0"/>
  <ignoredErrors>
    <ignoredError numberStoredAsText="1" sqref="B1:V59"/>
  </ignoredErrors>
</worksheet>
</file>

<file path=xl/worksheets/sheet4.xml><?xml version="1.0" encoding="utf-8"?>
<worksheet xmlns="http://schemas.openxmlformats.org/spreadsheetml/2006/main" xmlns:r="http://schemas.openxmlformats.org/officeDocument/2006/relationships">
  <dimension ref="B4:I16"/>
  <sheetViews>
    <sheetView workbookViewId="0" rightToLeft="0"/>
  </sheetViews>
  <sheetData>
    <row r="4" xml:space="preserve">
      <c r="B4" t="str" xml:space="preserve">
        <v xml:space="preserve">Item_x000d_
(Spec. Code)</v>
      </c>
      <c r="C4" t="str">
        <v>Description</v>
      </c>
      <c r="D4" t="str">
        <v>Additional Code</v>
      </c>
      <c r="E4" t="str">
        <v>Unit</v>
      </c>
      <c r="F4" t="str">
        <v>Quantity</v>
      </c>
      <c r="G4" t="str">
        <v>Unit Price</v>
      </c>
      <c r="H4" t="str">
        <v>Amount</v>
      </c>
      <c r="I4" t="str">
        <v>Federal Participation %</v>
      </c>
    </row>
    <row r="5">
      <c r="B5" t="str">
        <v>Contract Items</v>
      </c>
    </row>
    <row r="10">
      <c r="B10" t="str">
        <v>New Items (Extra Work)</v>
      </c>
    </row>
    <row r="16">
      <c r="H16">
        <f>SUM(H5:H15)</f>
        <v>0</v>
      </c>
    </row>
  </sheetData>
  <mergeCells count="2">
    <mergeCell ref="B16:G16"/>
    <mergeCell ref="H16:I16"/>
  </mergeCells>
  <pageMargins left="0.7" right="0.7" top="0.75" bottom="0.75" header="0.3" footer="0.3"/>
  <ignoredErrors>
    <ignoredError numberStoredAsText="1" sqref="B4:I16"/>
  </ignoredErrors>
</worksheet>
</file>

<file path=xl/worksheets/sheet5.xml><?xml version="1.0" encoding="utf-8"?>
<worksheet xmlns="http://schemas.openxmlformats.org/spreadsheetml/2006/main" xmlns:r="http://schemas.openxmlformats.org/officeDocument/2006/relationships">
  <dimension ref="A1:AB84"/>
  <sheetViews>
    <sheetView workbookViewId="0" rightToLeft="0"/>
  </sheetViews>
  <sheetData>
    <row r="1">
      <c r="B1" t="str">
        <v>5Modelo OC-08-08 (Model OC-08-08)</v>
      </c>
    </row>
    <row r="2">
      <c r="B2" t="str">
        <v>Rev. Octubre 1999 (Rev. October 1999)</v>
      </c>
    </row>
    <row r="3">
      <c r="B3" t="str">
        <v>Reglamento Núm. 33 del 28 de enero de 1998</v>
      </c>
    </row>
    <row r="4">
      <c r="B4" t="str">
        <v xml:space="preserve">Regulation No. 33 of January 28 1998, </v>
      </c>
    </row>
    <row r="6">
      <c r="A6" t="str">
        <v>ESTADO LIBRE ASOCIADO DE PUERTO RICO</v>
      </c>
    </row>
    <row r="7">
      <c r="A7" t="str">
        <v>Commonwealth of Puerto Rico</v>
      </c>
    </row>
    <row r="8">
      <c r="A8" t="str">
        <v>OFICINA DEL CONTRALOR</v>
      </c>
    </row>
    <row r="9">
      <c r="A9" t="str">
        <v>OFFICE OF THE COMPTROLLER OF PUERTO RICO</v>
      </c>
    </row>
    <row r="10">
      <c r="A10" t="str">
        <v>San Juan, Puerto Rico</v>
      </c>
    </row>
    <row r="12">
      <c r="A12" t="str">
        <v>CERTIFICACION</v>
      </c>
    </row>
    <row r="13">
      <c r="A13" t="str">
        <v>CERTIFICATION</v>
      </c>
    </row>
    <row r="15">
      <c r="A15" t="str">
        <v>SOBRE OTORGAMIENTO DE CONTRATO, ESCRITURA O DOCUMENTO RELACIONADO</v>
      </c>
    </row>
    <row r="16">
      <c r="A16" t="str">
        <v>REGARDING THE EXECUTION OF CONTRACTS DEEDS AND OTHER RELATED DOCUMENTS</v>
      </c>
    </row>
    <row r="17">
      <c r="A17">
        <v>1</v>
      </c>
    </row>
    <row r="18">
      <c r="A18" t="str">
        <v>1.</v>
      </c>
      <c r="B18" t="str">
        <v>Código de Entidad</v>
      </c>
    </row>
    <row r="19">
      <c r="B19" t="str">
        <v>Entity Code</v>
      </c>
    </row>
    <row r="21">
      <c r="A21" t="str">
        <v>2.</v>
      </c>
      <c r="B21" t="str">
        <v>Número del Contrato</v>
      </c>
    </row>
    <row r="22">
      <c r="B22" t="str">
        <v>Contract Number</v>
      </c>
    </row>
    <row r="24">
      <c r="A24" t="str">
        <v>3.</v>
      </c>
      <c r="B24" t="str">
        <v>Fecha de Otorgamiento</v>
      </c>
    </row>
    <row r="25">
      <c r="B25" t="str">
        <v>Date of Execution (dd/mm/yy)</v>
      </c>
    </row>
    <row r="27">
      <c r="A27" t="str">
        <v>4.</v>
      </c>
      <c r="B27" t="str">
        <v>Cuantía Total</v>
      </c>
    </row>
    <row r="28">
      <c r="B28" t="str">
        <v>Total Amount</v>
      </c>
    </row>
    <row r="30">
      <c r="A30" t="str">
        <v>5.</v>
      </c>
      <c r="B30" t="str">
        <v>Código del Tipo del Contrato</v>
      </c>
    </row>
    <row r="31">
      <c r="B31" t="str">
        <v>Contract Type Code</v>
      </c>
    </row>
    <row r="33">
      <c r="A33" t="str">
        <v>6.</v>
      </c>
      <c r="B33" t="str">
        <v>Exento</v>
      </c>
    </row>
    <row r="34">
      <c r="B34" t="str">
        <v>Exempt</v>
      </c>
    </row>
    <row r="36">
      <c r="A36" t="str">
        <v>7.</v>
      </c>
      <c r="B36" t="str">
        <v>Orden (Aprobación o dispensa de algún organismo del Gobierno)</v>
      </c>
    </row>
    <row r="37">
      <c r="B37" t="str">
        <v>Authorization or waiver from another government entity</v>
      </c>
    </row>
    <row r="39">
      <c r="A39" t="str">
        <v>8.</v>
      </c>
      <c r="B39" t="str">
        <v xml:space="preserve">Vigencia desde </v>
      </c>
    </row>
    <row r="40">
      <c r="B40" t="str">
        <v>Effective date from</v>
      </c>
      <c r="F40" t="str">
        <v>(dd/mm/aa)   (dd/mm/yy)</v>
      </c>
      <c r="O40" t="str">
        <v>(dd/mm/aa)   (dd/mm/yy)</v>
      </c>
    </row>
    <row r="42">
      <c r="A42" t="str">
        <v>9.</v>
      </c>
      <c r="B42" t="str">
        <v>Seguro Social Personal o Patronal</v>
      </c>
      <c r="N42" t="str">
        <v>-</v>
      </c>
      <c r="Q42" t="str">
        <v>-</v>
      </c>
    </row>
    <row r="43">
      <c r="B43" t="str">
        <v>Social Security Number 8</v>
      </c>
    </row>
    <row r="45">
      <c r="A45" t="str">
        <v>10.</v>
      </c>
      <c r="B45" t="str">
        <v>Contratista (s)</v>
      </c>
    </row>
    <row r="46">
      <c r="B46" t="str">
        <v>(Contractor)</v>
      </c>
    </row>
    <row r="48">
      <c r="A48" t="str">
        <v>11.</v>
      </c>
      <c r="B48" t="str">
        <v>Representante (s) de la (s) Entidad (es) Gubernamental (es)</v>
      </c>
    </row>
    <row r="49">
      <c r="B49" t="str">
        <v>(Government Representative (s))</v>
      </c>
    </row>
    <row r="51">
      <c r="A51" t="str">
        <v>Se somete la presente certificación en cumplimiento con la Carta Circular promulgada por el Contralor de Puerto Rico</v>
      </c>
    </row>
    <row r="52">
      <c r="A52" t="str">
        <v>y en cumplimiento con el Reglamento Núm.  33 Sobre Registro de Contratos, Escrituras y Documentos Relacionados</v>
      </c>
    </row>
    <row r="53">
      <c r="A53" t="str">
        <v>y Envío de Copias a la Oficina del Contralor.  Esta debe ser remitida a la Oficina del Contralor.</v>
      </c>
    </row>
    <row r="54">
      <c r="A54" t="str">
        <v xml:space="preserve">(This certification is submitted in compliance with the instructions issued by the Comptroller of Puerto Rico and in accordance with </v>
      </c>
    </row>
    <row r="55">
      <c r="A55" t="str">
        <v>Regulation No. 33, regarding the Registration of Contracts, Deeds and Other Related Documents and the Mailing of such Copies to the Comptroller's Office by the</v>
      </c>
    </row>
    <row r="56">
      <c r="A56" t="str">
        <v>Comptroller's Office by the government entity.)</v>
      </c>
    </row>
    <row r="58">
      <c r="A58" t="str">
        <v>Los suscribientes certificamos haber otorgado hoy el contrato descrito en este documento.</v>
      </c>
    </row>
    <row r="59">
      <c r="A59" t="str">
        <v>The undersigned, certify having that the contract described in this document was executed on this date.</v>
      </c>
    </row>
    <row r="61">
      <c r="A61" t="str">
        <v>12.</v>
      </c>
      <c r="B61" t="str">
        <v xml:space="preserve">En (ciudad) </v>
      </c>
      <c r="K61" t="str">
        <v xml:space="preserve">, Puerto Rico, hoy </v>
      </c>
    </row>
    <row r="62">
      <c r="B62" t="str">
        <v>In</v>
      </c>
      <c r="K62" t="str">
        <v>Purto Rico, today</v>
      </c>
      <c r="P62" t="str">
        <v>(dd/mm/aa)   (dd/mm/yy)</v>
      </c>
    </row>
    <row r="64">
      <c r="A64" t="str">
        <v>13.</v>
      </c>
      <c r="B64" t="str">
        <v>Firma(s) Parte(s) Contratista(s):</v>
      </c>
      <c r="N64" t="str">
        <v>14.</v>
      </c>
      <c r="O64" t="str">
        <v>Firma(s) Funcionario(s) Gubernamental(es):</v>
      </c>
    </row>
    <row r="65">
      <c r="B65" t="str">
        <v>Signature of the Contractor(s):</v>
      </c>
      <c r="O65" t="str">
        <v>Signature of the Government Official(s):</v>
      </c>
    </row>
    <row r="69">
      <c r="B69" t="str">
        <v>Firma (Signature)</v>
      </c>
      <c r="O69" t="str">
        <v>Firma (Signature)</v>
      </c>
    </row>
    <row r="71">
      <c r="B71" t="str">
        <v>Letra de Molde (Print)</v>
      </c>
      <c r="O71" t="str">
        <v>Letra de Molde (Print)</v>
      </c>
    </row>
    <row r="73">
      <c r="B73" t="str">
        <v>Firma (Signature)</v>
      </c>
      <c r="O73" t="str">
        <v>Firma (Signature)</v>
      </c>
    </row>
    <row r="75">
      <c r="B75" t="str">
        <v>Letra de Molde (Print)</v>
      </c>
      <c r="O75" t="str">
        <v>Letra de Molde (Print)</v>
      </c>
    </row>
  </sheetData>
  <mergeCells count="27">
    <mergeCell ref="A12:AA12"/>
    <mergeCell ref="A6:AA6"/>
    <mergeCell ref="A7:AA7"/>
    <mergeCell ref="A8:AA8"/>
    <mergeCell ref="A9:AA9"/>
    <mergeCell ref="A10:AA10"/>
    <mergeCell ref="A59:Z59"/>
    <mergeCell ref="A13:AA13"/>
    <mergeCell ref="A15:AA15"/>
    <mergeCell ref="A16:AA16"/>
    <mergeCell ref="Q36:Y36"/>
    <mergeCell ref="F40:L40"/>
    <mergeCell ref="O40:U40"/>
    <mergeCell ref="F45:Z45"/>
    <mergeCell ref="P48:Z48"/>
    <mergeCell ref="A54:Z54"/>
    <mergeCell ref="A55:Z55"/>
    <mergeCell ref="A56:Z56"/>
    <mergeCell ref="B74:L74"/>
    <mergeCell ref="O74:Y74"/>
    <mergeCell ref="E61:J61"/>
    <mergeCell ref="K62:O62"/>
    <mergeCell ref="P62:V62"/>
    <mergeCell ref="B70:L70"/>
    <mergeCell ref="O70:Y70"/>
    <mergeCell ref="B72:L72"/>
    <mergeCell ref="O72:Y72"/>
  </mergeCells>
  <pageMargins left="0.48" right="0.43" top="0.37" bottom="0.32" header="0.26" footer="0.26"/>
  <ignoredErrors>
    <ignoredError numberStoredAsText="1" sqref="A1:AB84"/>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Company>EMDG</Company>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ACT-122</vt:lpstr>
      <vt:lpstr>SUPP-ACT-ZZZ</vt:lpstr>
      <vt:lpstr>ROA</vt:lpstr>
      <vt:lpstr>Table for ROA</vt:lpstr>
      <vt:lpstr>Contralor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2009-07-15T20:59:23Z</dcterms:created>
  <dcterms:modified xsi:type="dcterms:W3CDTF">2026-03-29T20:21:59Z</dcterms:modified>
  <cp:lastModifiedBy>Enrique Saavedra</cp:lastModifiedBy>
  <cp:lastPrinted>2024-12-23T18:44:59Z</cp:lastPrinted>
  <dc:creator>Enrique M. Gonzalez Viruet</dc:creator>
</cp:coreProperties>
</file>