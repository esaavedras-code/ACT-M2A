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con celdas\"/>
    </mc:Choice>
  </mc:AlternateContent>
  <xr:revisionPtr revIDLastSave="0" documentId="13_ncr:1_{62651CEA-E766-40B2-BF83-FF7392F5B9E5}" xr6:coauthVersionLast="47" xr6:coauthVersionMax="47" xr10:uidLastSave="{00000000-0000-0000-0000-000000000000}"/>
  <bookViews>
    <workbookView xWindow="-28920" yWindow="-1950" windowWidth="29040" windowHeight="15720" xr2:uid="{830F2580-CB86-4FFF-AA04-97769F1D146D}"/>
  </bookViews>
  <sheets>
    <sheet name="(Item 43)" sheetId="1" r:id="rId1"/>
  </sheets>
  <definedNames>
    <definedName name="_xlnm.Print_Area" localSheetId="0">'(Item 43)'!$A$1:$AL$46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9" i="1" l="1"/>
  <c r="R44" i="1"/>
  <c r="U42" i="1"/>
  <c r="R40" i="1"/>
  <c r="W40" i="1" s="1"/>
  <c r="R39" i="1"/>
  <c r="W39" i="1" s="1"/>
  <c r="R38" i="1"/>
  <c r="W38" i="1" s="1"/>
  <c r="R37" i="1"/>
  <c r="R36" i="1"/>
  <c r="R35" i="1"/>
  <c r="R34" i="1"/>
  <c r="W34" i="1" s="1"/>
  <c r="R33" i="1"/>
  <c r="R32" i="1"/>
  <c r="W32" i="1" s="1"/>
  <c r="R31" i="1"/>
  <c r="R30" i="1"/>
  <c r="W30" i="1" s="1"/>
  <c r="R29" i="1"/>
  <c r="R28" i="1"/>
  <c r="W28" i="1" s="1"/>
  <c r="R27" i="1"/>
  <c r="R26" i="1"/>
  <c r="W26" i="1" s="1"/>
  <c r="R25" i="1"/>
  <c r="R24" i="1"/>
  <c r="W24" i="1" s="1"/>
  <c r="R23" i="1"/>
  <c r="R22" i="1"/>
  <c r="W22" i="1" s="1"/>
  <c r="R21" i="1"/>
  <c r="R20" i="1"/>
  <c r="W20" i="1" s="1"/>
  <c r="G19" i="1"/>
  <c r="X42" i="1" s="1"/>
  <c r="X44" i="1" s="1"/>
  <c r="T14" i="1"/>
  <c r="L37" i="1" s="1"/>
  <c r="AG13" i="1"/>
  <c r="H13" i="1"/>
  <c r="L19" i="1" l="1"/>
  <c r="W29" i="1"/>
  <c r="L24" i="1"/>
  <c r="L32" i="1"/>
  <c r="L40" i="1"/>
  <c r="W21" i="1"/>
  <c r="L35" i="1"/>
  <c r="W37" i="1"/>
  <c r="L22" i="1"/>
  <c r="L30" i="1"/>
  <c r="L38" i="1"/>
  <c r="L27" i="1"/>
  <c r="L25" i="1"/>
  <c r="W27" i="1"/>
  <c r="L33" i="1"/>
  <c r="W35" i="1"/>
  <c r="L20" i="1"/>
  <c r="L28" i="1"/>
  <c r="L36" i="1"/>
  <c r="L23" i="1"/>
  <c r="W25" i="1"/>
  <c r="L31" i="1"/>
  <c r="W33" i="1"/>
  <c r="L39" i="1"/>
  <c r="L26" i="1"/>
  <c r="L34" i="1"/>
  <c r="W36" i="1"/>
  <c r="L21" i="1"/>
  <c r="W23" i="1"/>
  <c r="L29" i="1"/>
  <c r="W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tc={3EE40E3D-FAC2-4CB0-A48A-AC5482675E5C}</author>
  </authors>
  <commentList>
    <comment ref="G19" authorId="0" shapeId="0" xr:uid="{3EE40E3D-FAC2-4CB0-A48A-AC5482675E5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Entrar Dato Aqui</t>
      </text>
    </comment>
  </commentList>
</comments>
</file>

<file path=xl/sharedStrings.xml><?xml version="1.0" encoding="utf-8"?>
<sst xmlns="http://schemas.openxmlformats.org/spreadsheetml/2006/main" count="45" uniqueCount="43">
  <si>
    <t>Government of Puerto Rico</t>
  </si>
  <si>
    <t>Department of Transportation and Public Works</t>
  </si>
  <si>
    <t>HIGHWAY AND TRANSPORTATION AUTHORITY</t>
  </si>
  <si>
    <t>MATERIAL ON SITE BALANCE SHEET</t>
  </si>
  <si>
    <r>
      <rPr>
        <sz val="7"/>
        <rFont val="Arial"/>
        <family val="2"/>
      </rPr>
      <t>1.</t>
    </r>
    <r>
      <rPr>
        <sz val="9"/>
        <rFont val="Arial"/>
        <family val="2"/>
      </rPr>
      <t xml:space="preserve">  Project Name</t>
    </r>
  </si>
  <si>
    <t>Mejoras Sistemas de Seguridad PR-176 km 0.00 al 4.00 San Juan</t>
  </si>
  <si>
    <r>
      <rPr>
        <sz val="7"/>
        <rFont val="Arial"/>
        <family val="2"/>
      </rPr>
      <t>2.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Project Number</t>
    </r>
  </si>
  <si>
    <t>AC-017630/F00017630/ZP176(3)</t>
  </si>
  <si>
    <t>22-0317-084</t>
  </si>
  <si>
    <r>
      <t>3.</t>
    </r>
    <r>
      <rPr>
        <sz val="9"/>
        <rFont val="Arial"/>
        <family val="2"/>
      </rPr>
      <t xml:space="preserve"> Provider</t>
    </r>
  </si>
  <si>
    <t>Z Electric</t>
  </si>
  <si>
    <r>
      <t>9.</t>
    </r>
    <r>
      <rPr>
        <sz val="9"/>
        <rFont val="Arial"/>
        <family val="2"/>
      </rPr>
      <t xml:space="preserve"> Invoice Num.</t>
    </r>
  </si>
  <si>
    <r>
      <t>4.</t>
    </r>
    <r>
      <rPr>
        <sz val="9"/>
        <rFont val="Arial"/>
        <family val="2"/>
      </rPr>
      <t xml:space="preserve"> Item Num.</t>
    </r>
  </si>
  <si>
    <t>43</t>
  </si>
  <si>
    <r>
      <t>10.</t>
    </r>
    <r>
      <rPr>
        <sz val="9"/>
        <rFont val="Arial"/>
        <family val="2"/>
      </rPr>
      <t xml:space="preserve"> Lot Num.</t>
    </r>
  </si>
  <si>
    <r>
      <t>5.</t>
    </r>
    <r>
      <rPr>
        <sz val="9"/>
        <rFont val="Arial"/>
        <family val="2"/>
      </rPr>
      <t xml:space="preserve"> Description</t>
    </r>
  </si>
  <si>
    <t>Aluminuim Ple 40 ft</t>
  </si>
  <si>
    <r>
      <t>11.</t>
    </r>
    <r>
      <rPr>
        <sz val="9"/>
        <rFont val="Arial"/>
        <family val="2"/>
      </rPr>
      <t xml:space="preserve"> Unit</t>
    </r>
  </si>
  <si>
    <t>Each</t>
  </si>
  <si>
    <r>
      <t>6.</t>
    </r>
    <r>
      <rPr>
        <sz val="9"/>
        <rFont val="Arial"/>
        <family val="2"/>
      </rPr>
      <t xml:space="preserve"> Contract Quantity</t>
    </r>
  </si>
  <si>
    <r>
      <t>12.</t>
    </r>
    <r>
      <rPr>
        <sz val="9"/>
        <rFont val="Arial"/>
        <family val="2"/>
      </rPr>
      <t xml:space="preserve"> Invoice Amount</t>
    </r>
  </si>
  <si>
    <r>
      <t>7.</t>
    </r>
    <r>
      <rPr>
        <sz val="9"/>
        <rFont val="Arial"/>
        <family val="2"/>
      </rPr>
      <t xml:space="preserve"> Contract Unit Price</t>
    </r>
  </si>
  <si>
    <r>
      <t>13.</t>
    </r>
    <r>
      <rPr>
        <sz val="9"/>
        <rFont val="Arial"/>
        <family val="2"/>
      </rPr>
      <t xml:space="preserve"> Invoice Quantity</t>
    </r>
  </si>
  <si>
    <r>
      <t>8.</t>
    </r>
    <r>
      <rPr>
        <sz val="9"/>
        <rFont val="Arial"/>
        <family val="2"/>
      </rPr>
      <t xml:space="preserve"> 75% Cont. Unit Price</t>
    </r>
  </si>
  <si>
    <r>
      <t>14.</t>
    </r>
    <r>
      <rPr>
        <sz val="9"/>
        <rFont val="Arial"/>
        <family val="2"/>
      </rPr>
      <t xml:space="preserve"> Invoice Unit Price</t>
    </r>
  </si>
  <si>
    <r>
      <t>12.</t>
    </r>
    <r>
      <rPr>
        <sz val="9"/>
        <rFont val="Arial"/>
        <family val="2"/>
      </rPr>
      <t xml:space="preserve"> Invoice Unit Price</t>
    </r>
  </si>
  <si>
    <r>
      <t>15.</t>
    </r>
    <r>
      <rPr>
        <sz val="9"/>
        <rFont val="Arial"/>
        <family val="2"/>
      </rPr>
      <t xml:space="preserve"> Lot Unit Price</t>
    </r>
  </si>
  <si>
    <t>Date</t>
  </si>
  <si>
    <t>Certifications Payments/Deductions</t>
  </si>
  <si>
    <t>Balance</t>
  </si>
  <si>
    <t>Remarks</t>
  </si>
  <si>
    <t>Num.</t>
  </si>
  <si>
    <t>Quantity</t>
  </si>
  <si>
    <t>Amount</t>
  </si>
  <si>
    <t>6</t>
  </si>
  <si>
    <t>7</t>
  </si>
  <si>
    <r>
      <t>23.</t>
    </r>
    <r>
      <rPr>
        <b/>
        <sz val="10"/>
        <rFont val="Arial"/>
        <family val="2"/>
      </rPr>
      <t xml:space="preserve"> Amount to Pay/Deduct for Item#</t>
    </r>
  </si>
  <si>
    <t>on Certification #</t>
  </si>
  <si>
    <r>
      <t>24.</t>
    </r>
    <r>
      <rPr>
        <b/>
        <sz val="10"/>
        <rFont val="Arial"/>
        <family val="2"/>
      </rPr>
      <t xml:space="preserve"> Net Material on Site Payment for Certification #</t>
    </r>
  </si>
  <si>
    <t>Page</t>
  </si>
  <si>
    <t>of</t>
  </si>
  <si>
    <t>`</t>
  </si>
  <si>
    <t>=F9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</si>
</sst>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409]dd\-mmm\-yy;@"/>
  </numFmts>
  <fonts count="9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0" fontId="5" fillId="0" borderId="1" xfId="0" applyFont="1" applyBorder="1" applyAlignment="1" applyProtection="1">
      <alignment horizontal="left" shrinkToFit="1"/>
      <protection locked="0" hidden="1"/>
    </xf>
    <xf numFmtId="0" fontId="4" fillId="0" borderId="0" xfId="0" applyFont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left"/>
      <protection locked="0" hidden="1"/>
    </xf>
    <xf numFmtId="49" fontId="7" fillId="0" borderId="0" xfId="0" applyNumberFormat="1" applyFont="1" applyAlignment="1" applyProtection="1">
      <alignment horizontal="center" wrapText="1" shrinkToFit="1"/>
      <protection locked="0"/>
    </xf>
    <xf numFmtId="0" fontId="2" fillId="0" borderId="0" xfId="0" applyFont="1"/>
    <xf numFmtId="0" fontId="6" fillId="0" borderId="0" xfId="0" applyFont="1" applyProtection="1">
      <protection hidden="1"/>
    </xf>
    <xf numFmtId="49" fontId="1" fillId="0" borderId="0" xfId="0" applyNumberFormat="1" applyFont="1" applyProtection="1">
      <protection hidden="1"/>
    </xf>
    <xf numFmtId="49" fontId="1" fillId="0" borderId="1" xfId="0" applyNumberFormat="1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2" fillId="0" borderId="1" xfId="0" applyFont="1" applyBorder="1"/>
    <xf numFmtId="0" fontId="6" fillId="0" borderId="0" xfId="0" applyFont="1" applyProtection="1">
      <protection hidden="1"/>
    </xf>
    <xf numFmtId="49" fontId="1" fillId="0" borderId="2" xfId="0" applyNumberFormat="1" applyFont="1" applyBorder="1" applyAlignment="1" applyProtection="1">
      <alignment horizontal="center"/>
      <protection locked="0"/>
    </xf>
    <xf numFmtId="49" fontId="1" fillId="0" borderId="3" xfId="0" applyNumberFormat="1" applyFont="1" applyBorder="1"/>
    <xf numFmtId="49" fontId="0" fillId="0" borderId="3" xfId="0" applyNumberFormat="1" applyBorder="1"/>
    <xf numFmtId="0" fontId="1" fillId="0" borderId="1" xfId="0" applyFont="1" applyBorder="1" applyAlignment="1" applyProtection="1">
      <alignment horizontal="center" shrinkToFit="1"/>
      <protection locked="0"/>
    </xf>
    <xf numFmtId="49" fontId="1" fillId="0" borderId="1" xfId="0" applyNumberFormat="1" applyFont="1" applyBorder="1" applyAlignment="1" applyProtection="1">
      <alignment horizontal="center" shrinkToFit="1"/>
      <protection locked="0"/>
    </xf>
    <xf numFmtId="4" fontId="1" fillId="0" borderId="2" xfId="0" applyNumberFormat="1" applyFont="1" applyBorder="1" applyAlignment="1" applyProtection="1">
      <alignment horizontal="center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164" fontId="1" fillId="0" borderId="2" xfId="0" applyNumberFormat="1" applyFont="1" applyBorder="1" applyAlignment="1" applyProtection="1">
      <alignment horizontal="center"/>
      <protection locked="0"/>
    </xf>
    <xf numFmtId="44" fontId="0" fillId="0" borderId="0" xfId="1" applyFont="1" applyAlignment="1" applyProtection="1">
      <alignment horizontal="center"/>
      <protection hidden="1"/>
    </xf>
    <xf numFmtId="4" fontId="1" fillId="0" borderId="1" xfId="0" applyNumberFormat="1" applyFont="1" applyBorder="1" applyAlignment="1" applyProtection="1">
      <alignment horizontal="center"/>
      <protection locked="0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2" borderId="7" xfId="0" applyFont="1" applyFill="1" applyBorder="1" applyAlignment="1" applyProtection="1">
      <alignment horizontal="center" vertical="center"/>
      <protection hidden="1"/>
    </xf>
    <xf numFmtId="0" fontId="3" fillId="2" borderId="7" xfId="0" applyFont="1" applyFill="1" applyBorder="1" applyAlignment="1" applyProtection="1">
      <alignment horizont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165" fontId="1" fillId="0" borderId="7" xfId="0" applyNumberFormat="1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 applyProtection="1">
      <alignment horizontal="center" vertical="center"/>
      <protection locked="0"/>
    </xf>
    <xf numFmtId="40" fontId="1" fillId="0" borderId="7" xfId="0" applyNumberFormat="1" applyFont="1" applyBorder="1" applyAlignment="1" applyProtection="1">
      <alignment horizontal="center" vertical="center" shrinkToFit="1"/>
      <protection locked="0"/>
    </xf>
    <xf numFmtId="8" fontId="1" fillId="0" borderId="7" xfId="0" applyNumberFormat="1" applyFont="1" applyBorder="1" applyAlignment="1">
      <alignment horizontal="center" vertical="center" shrinkToFit="1"/>
    </xf>
    <xf numFmtId="40" fontId="1" fillId="0" borderId="7" xfId="0" applyNumberFormat="1" applyFont="1" applyBorder="1" applyAlignment="1">
      <alignment horizontal="center" vertical="center" shrinkToFit="1"/>
    </xf>
    <xf numFmtId="164" fontId="1" fillId="0" borderId="7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 applyProtection="1">
      <alignment vertical="center" wrapText="1"/>
      <protection locked="0"/>
    </xf>
    <xf numFmtId="49" fontId="2" fillId="0" borderId="2" xfId="0" applyNumberFormat="1" applyFont="1" applyBorder="1" applyAlignment="1" applyProtection="1">
      <alignment vertical="center" wrapText="1"/>
      <protection locked="0"/>
    </xf>
    <xf numFmtId="49" fontId="2" fillId="0" borderId="11" xfId="0" applyNumberFormat="1" applyFont="1" applyBorder="1" applyAlignment="1" applyProtection="1">
      <alignment vertical="center" wrapText="1"/>
      <protection locked="0"/>
    </xf>
    <xf numFmtId="8" fontId="1" fillId="0" borderId="10" xfId="0" applyNumberFormat="1" applyFont="1" applyBorder="1" applyAlignment="1">
      <alignment horizontal="center" vertical="center" shrinkToFit="1"/>
    </xf>
    <xf numFmtId="8" fontId="1" fillId="0" borderId="2" xfId="0" applyNumberFormat="1" applyFont="1" applyBorder="1" applyAlignment="1">
      <alignment horizontal="center" vertical="center" shrinkToFit="1"/>
    </xf>
    <xf numFmtId="8" fontId="1" fillId="0" borderId="11" xfId="0" applyNumberFormat="1" applyFont="1" applyBorder="1" applyAlignment="1">
      <alignment horizontal="center" vertical="center" shrinkToFit="1"/>
    </xf>
    <xf numFmtId="164" fontId="1" fillId="0" borderId="10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164" fontId="1" fillId="0" borderId="11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 applyProtection="1">
      <alignment horizontal="left" vertical="center" wrapText="1"/>
      <protection locked="0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11" xfId="0" applyNumberFormat="1" applyFont="1" applyBorder="1" applyAlignment="1" applyProtection="1">
      <alignment horizontal="left" vertical="center" wrapText="1"/>
      <protection locked="0"/>
    </xf>
    <xf numFmtId="164" fontId="1" fillId="0" borderId="7" xfId="0" applyNumberFormat="1" applyFont="1" applyBorder="1" applyAlignment="1">
      <alignment horizontal="right" vertical="center" shrinkToFit="1"/>
    </xf>
    <xf numFmtId="8" fontId="1" fillId="0" borderId="7" xfId="0" applyNumberFormat="1" applyFont="1" applyBorder="1" applyAlignment="1">
      <alignment horizontal="right" vertical="center" shrinkToFit="1"/>
    </xf>
    <xf numFmtId="49" fontId="1" fillId="0" borderId="10" xfId="0" applyNumberFormat="1" applyFont="1" applyBorder="1" applyAlignment="1" applyProtection="1">
      <alignment horizontal="left" vertical="center" wrapText="1"/>
      <protection locked="0"/>
    </xf>
    <xf numFmtId="49" fontId="1" fillId="0" borderId="2" xfId="0" applyNumberFormat="1" applyFont="1" applyBorder="1" applyAlignment="1" applyProtection="1">
      <alignment horizontal="left" vertical="center" wrapText="1"/>
      <protection locked="0"/>
    </xf>
    <xf numFmtId="49" fontId="1" fillId="0" borderId="11" xfId="0" applyNumberFormat="1" applyFont="1" applyBorder="1" applyAlignment="1" applyProtection="1">
      <alignment horizontal="left" vertical="center" wrapText="1"/>
      <protection locked="0"/>
    </xf>
    <xf numFmtId="49" fontId="6" fillId="0" borderId="0" xfId="0" applyNumberFormat="1" applyFont="1" applyAlignment="1" applyProtection="1">
      <alignment horizontal="justify"/>
      <protection hidden="1"/>
    </xf>
    <xf numFmtId="49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hidden="1"/>
    </xf>
    <xf numFmtId="8" fontId="4" fillId="0" borderId="1" xfId="0" applyNumberFormat="1" applyFont="1" applyBorder="1" applyAlignment="1" applyProtection="1">
      <alignment horizontal="right"/>
      <protection locked="0"/>
    </xf>
    <xf numFmtId="0" fontId="6" fillId="0" borderId="0" xfId="0" applyFont="1" applyAlignment="1" applyProtection="1">
      <alignment horizontal="left"/>
      <protection hidden="1"/>
    </xf>
    <xf numFmtId="0" fontId="0" fillId="0" borderId="0" xfId="0" applyAlignment="1">
      <alignment horizontal="left"/>
    </xf>
    <xf numFmtId="8" fontId="4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hidden="1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22860</xdr:colOff>
          <xdr:row>0</xdr:row>
          <xdr:rowOff>99060</xdr:rowOff>
        </xdr:from>
        <xdr:to>
          <xdr:col>37</xdr:col>
          <xdr:colOff>95250</xdr:colOff>
          <xdr:row>2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66D09AC-3B88-4CF7-96B8-5A8830948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Pastor" id="{06B0689C-43E6-4777-A182-71DDC43C415D}" userId="1ad406a886f18668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9" dT="2022-06-01T14:57:05.39" personId="{06B0689C-43E6-4777-A182-71DDC43C415D}" id="{3EE40E3D-FAC2-4CB0-A48A-AC5482675E5C}">
    <text>Entrar Dato Aqui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ADD5-BBC4-4815-AEC7-99A61EFCB929}">
  <dimension ref="A1:IV46"/>
  <sheetViews>
    <sheetView showGridLines="0" showRowColHeaders="0" tabSelected="1" showWhiteSpace="0" zoomScale="120" zoomScaleNormal="120" zoomScaleSheetLayoutView="100" zoomScalePageLayoutView="110" workbookViewId="0">
      <selection activeCell="R44" sqref="R44:T44"/>
    </sheetView>
  </sheetViews>
  <sheetFormatPr defaultColWidth="0" defaultRowHeight="13.2" x14ac:dyDescent="0.25"/>
  <cols>
    <col min="1" max="39" width="2.6640625" style="2" customWidth="1"/>
    <col min="40" max="16384" width="2.6640625" style="2" hidden="1"/>
  </cols>
  <sheetData>
    <row r="1" spans="1:25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256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256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5" spans="1:256" x14ac:dyDescent="0.2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256" ht="18.45" customHeight="1" x14ac:dyDescent="0.25">
      <c r="A6" s="6" t="s">
        <v>4</v>
      </c>
      <c r="B6" s="7"/>
      <c r="C6" s="7"/>
      <c r="D6" s="7"/>
      <c r="E6" s="7"/>
      <c r="F6" s="7"/>
      <c r="G6" s="8" t="s">
        <v>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spans="1:256" ht="18.45" customHeight="1" x14ac:dyDescent="0.25">
      <c r="A7" s="6" t="s">
        <v>6</v>
      </c>
      <c r="B7" s="6"/>
      <c r="C7" s="6"/>
      <c r="D7" s="6"/>
      <c r="E7" s="6"/>
      <c r="F7" s="6"/>
      <c r="G7" s="10" t="s">
        <v>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9"/>
      <c r="AD7" s="9"/>
      <c r="AE7" s="9"/>
      <c r="AF7" s="9"/>
      <c r="AG7" s="9"/>
      <c r="AH7" s="9"/>
      <c r="AI7" s="9"/>
      <c r="AJ7" s="11" t="s">
        <v>8</v>
      </c>
      <c r="AK7" s="12"/>
      <c r="AL7" s="12"/>
    </row>
    <row r="8" spans="1:256" ht="18.75" customHeight="1" x14ac:dyDescent="0.25">
      <c r="A8" s="13" t="s">
        <v>9</v>
      </c>
      <c r="E8" s="14"/>
      <c r="F8" s="15" t="s">
        <v>10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E8" s="16" t="s">
        <v>11</v>
      </c>
      <c r="AF8" s="17"/>
      <c r="AG8" s="17"/>
      <c r="AH8" s="17"/>
      <c r="AI8" s="17"/>
      <c r="AJ8" s="18"/>
      <c r="AK8" s="18"/>
      <c r="AL8" s="18"/>
    </row>
    <row r="9" spans="1:256" ht="18.75" customHeight="1" x14ac:dyDescent="0.25">
      <c r="A9" s="19" t="s">
        <v>12</v>
      </c>
      <c r="B9" s="19"/>
      <c r="C9" s="19"/>
      <c r="D9" s="19"/>
      <c r="E9" s="14"/>
      <c r="F9" s="20" t="s">
        <v>13</v>
      </c>
      <c r="G9" s="20"/>
      <c r="H9" s="20"/>
      <c r="I9" s="21"/>
      <c r="J9" s="21"/>
      <c r="K9" s="21"/>
      <c r="L9" s="21"/>
      <c r="M9" s="21"/>
      <c r="N9" s="22"/>
      <c r="O9"/>
      <c r="P9"/>
      <c r="Q9"/>
      <c r="R9"/>
      <c r="S9"/>
      <c r="T9"/>
      <c r="U9"/>
      <c r="AE9" s="16" t="s">
        <v>14</v>
      </c>
      <c r="AF9" s="17"/>
      <c r="AG9" s="17"/>
      <c r="AH9" s="17"/>
      <c r="AI9" s="17"/>
      <c r="AJ9" s="23">
        <v>1</v>
      </c>
      <c r="AK9" s="24"/>
      <c r="AL9" s="24"/>
    </row>
    <row r="10" spans="1:256" ht="18.75" customHeight="1" x14ac:dyDescent="0.25">
      <c r="A10" s="13" t="s">
        <v>15</v>
      </c>
      <c r="E10" s="14"/>
      <c r="F10" s="15" t="s">
        <v>16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E10" s="16" t="s">
        <v>17</v>
      </c>
      <c r="AF10" s="17"/>
      <c r="AG10" s="17"/>
      <c r="AH10" s="17"/>
      <c r="AI10" s="17"/>
      <c r="AJ10" s="24" t="s">
        <v>18</v>
      </c>
      <c r="AK10" s="24"/>
      <c r="AL10" s="24"/>
    </row>
    <row r="11" spans="1:256" ht="18.75" customHeight="1" x14ac:dyDescent="0.25">
      <c r="A11" s="16" t="s">
        <v>19</v>
      </c>
      <c r="B11" s="16"/>
      <c r="C11" s="16"/>
      <c r="D11" s="16"/>
      <c r="E11" s="16"/>
      <c r="F11" s="16"/>
      <c r="G11" s="16"/>
      <c r="H11" s="25">
        <v>3</v>
      </c>
      <c r="I11" s="25"/>
      <c r="J11" s="25"/>
      <c r="K11" s="25"/>
      <c r="L11" s="25"/>
      <c r="M11" s="25"/>
      <c r="Z11" s="16" t="s">
        <v>20</v>
      </c>
      <c r="AA11" s="16"/>
      <c r="AB11" s="16"/>
      <c r="AC11" s="16"/>
      <c r="AD11" s="16"/>
      <c r="AE11" s="16"/>
      <c r="AF11" s="16"/>
      <c r="AG11" s="26">
        <v>7693.5</v>
      </c>
      <c r="AH11" s="26"/>
      <c r="AI11" s="26"/>
      <c r="AJ11" s="26"/>
      <c r="AK11" s="26"/>
      <c r="AL11" s="26"/>
    </row>
    <row r="12" spans="1:256" ht="18.75" customHeight="1" x14ac:dyDescent="0.25">
      <c r="A12" s="16" t="s">
        <v>21</v>
      </c>
      <c r="B12" s="16"/>
      <c r="C12" s="16"/>
      <c r="D12" s="16"/>
      <c r="E12" s="16"/>
      <c r="F12" s="16"/>
      <c r="G12" s="16"/>
      <c r="H12" s="27">
        <v>6000</v>
      </c>
      <c r="I12" s="27"/>
      <c r="J12" s="27"/>
      <c r="K12" s="27"/>
      <c r="L12" s="27"/>
      <c r="M12" s="27"/>
      <c r="N12" s="28"/>
      <c r="O12" s="28"/>
      <c r="P12" s="28"/>
      <c r="Q12" s="28"/>
      <c r="R12" s="28"/>
      <c r="S12" s="28"/>
      <c r="T12" s="28"/>
      <c r="Z12" s="16" t="s">
        <v>22</v>
      </c>
      <c r="AA12" s="16"/>
      <c r="AB12" s="16"/>
      <c r="AC12" s="16"/>
      <c r="AD12" s="16"/>
      <c r="AE12" s="16"/>
      <c r="AF12" s="16"/>
      <c r="AG12" s="29">
        <v>3</v>
      </c>
      <c r="AH12" s="29"/>
      <c r="AI12" s="29"/>
      <c r="AJ12" s="29"/>
      <c r="AK12" s="29"/>
      <c r="AL12" s="29"/>
    </row>
    <row r="13" spans="1:256" ht="18.75" customHeight="1" x14ac:dyDescent="0.25">
      <c r="A13" s="16" t="s">
        <v>23</v>
      </c>
      <c r="B13" s="16"/>
      <c r="C13" s="16"/>
      <c r="D13" s="16"/>
      <c r="E13" s="16"/>
      <c r="F13" s="16"/>
      <c r="G13" s="16"/>
      <c r="H13" s="30">
        <f>H12*0.75</f>
        <v>4500</v>
      </c>
      <c r="I13" s="30"/>
      <c r="J13" s="30"/>
      <c r="K13" s="30"/>
      <c r="L13" s="30"/>
      <c r="M13" s="30"/>
      <c r="N13" s="28"/>
      <c r="O13" s="28"/>
      <c r="P13" s="28"/>
      <c r="Q13" s="28"/>
      <c r="R13" s="28"/>
      <c r="S13" s="28"/>
      <c r="T13" s="28"/>
      <c r="Z13" s="16" t="s">
        <v>24</v>
      </c>
      <c r="AA13" s="16"/>
      <c r="AB13" s="16"/>
      <c r="AC13" s="16"/>
      <c r="AD13" s="16"/>
      <c r="AE13" s="16"/>
      <c r="AF13" s="16"/>
      <c r="AG13" s="31">
        <f>ROUND(AG11/AG12,2)</f>
        <v>2564.5</v>
      </c>
      <c r="AH13" s="31"/>
      <c r="AI13" s="31"/>
      <c r="AJ13" s="31"/>
      <c r="AK13" s="31"/>
      <c r="AL13" s="31"/>
      <c r="IP13" s="16" t="s">
        <v>25</v>
      </c>
      <c r="IQ13" s="16"/>
      <c r="IR13" s="16"/>
      <c r="IS13" s="16"/>
      <c r="IT13" s="16"/>
      <c r="IU13" s="16"/>
      <c r="IV13" s="16"/>
    </row>
    <row r="14" spans="1:256" ht="18.75" customHeight="1" x14ac:dyDescent="0.25">
      <c r="O14" s="13" t="s">
        <v>26</v>
      </c>
      <c r="T14" s="31">
        <f>MIN(AG13,H13)</f>
        <v>2564.5</v>
      </c>
      <c r="U14" s="31"/>
      <c r="V14" s="31"/>
      <c r="W14" s="31"/>
      <c r="X14" s="31"/>
      <c r="Y14" s="31"/>
    </row>
    <row r="15" spans="1:256" ht="6" customHeight="1" x14ac:dyDescent="0.25">
      <c r="O15" s="13"/>
      <c r="U15" s="32"/>
      <c r="V15" s="32"/>
      <c r="W15" s="32"/>
      <c r="X15" s="32"/>
      <c r="Y15" s="32"/>
    </row>
    <row r="16" spans="1:256" x14ac:dyDescent="0.25">
      <c r="A16" s="33">
        <v>16</v>
      </c>
      <c r="B16" s="33"/>
      <c r="C16" s="33"/>
      <c r="D16" s="33"/>
      <c r="E16" s="33">
        <v>17</v>
      </c>
      <c r="F16" s="33"/>
      <c r="G16" s="33">
        <v>18</v>
      </c>
      <c r="H16" s="33"/>
      <c r="I16" s="33"/>
      <c r="J16" s="33"/>
      <c r="K16" s="33"/>
      <c r="L16" s="33">
        <v>19</v>
      </c>
      <c r="M16" s="33"/>
      <c r="N16" s="33"/>
      <c r="O16" s="33"/>
      <c r="P16" s="33"/>
      <c r="Q16" s="33"/>
      <c r="R16" s="33">
        <v>20</v>
      </c>
      <c r="S16" s="33"/>
      <c r="T16" s="33"/>
      <c r="U16" s="33"/>
      <c r="V16" s="33"/>
      <c r="W16" s="33">
        <v>21</v>
      </c>
      <c r="X16" s="33"/>
      <c r="Y16" s="33"/>
      <c r="Z16" s="33"/>
      <c r="AA16" s="33"/>
      <c r="AB16" s="33"/>
      <c r="AC16" s="33">
        <v>22</v>
      </c>
      <c r="AD16" s="33"/>
      <c r="AE16" s="33"/>
      <c r="AF16" s="33"/>
      <c r="AG16" s="33"/>
      <c r="AH16" s="33"/>
      <c r="AI16" s="33"/>
      <c r="AJ16" s="33"/>
      <c r="AK16" s="33"/>
      <c r="AL16" s="33"/>
    </row>
    <row r="17" spans="1:38" x14ac:dyDescent="0.25">
      <c r="A17" s="34" t="s">
        <v>27</v>
      </c>
      <c r="B17" s="34"/>
      <c r="C17" s="34"/>
      <c r="D17" s="34"/>
      <c r="E17" s="35" t="s">
        <v>28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 t="s">
        <v>29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6" t="s">
        <v>30</v>
      </c>
      <c r="AD17" s="37"/>
      <c r="AE17" s="37"/>
      <c r="AF17" s="37"/>
      <c r="AG17" s="37"/>
      <c r="AH17" s="37"/>
      <c r="AI17" s="37"/>
      <c r="AJ17" s="37"/>
      <c r="AK17" s="37"/>
      <c r="AL17" s="38"/>
    </row>
    <row r="18" spans="1:38" x14ac:dyDescent="0.25">
      <c r="A18" s="39"/>
      <c r="B18" s="39"/>
      <c r="C18" s="39"/>
      <c r="D18" s="39"/>
      <c r="E18" s="40" t="s">
        <v>31</v>
      </c>
      <c r="F18" s="40"/>
      <c r="G18" s="40" t="s">
        <v>32</v>
      </c>
      <c r="H18" s="40"/>
      <c r="I18" s="40"/>
      <c r="J18" s="40"/>
      <c r="K18" s="40"/>
      <c r="L18" s="41" t="s">
        <v>33</v>
      </c>
      <c r="M18" s="41"/>
      <c r="N18" s="41"/>
      <c r="O18" s="41"/>
      <c r="P18" s="41"/>
      <c r="Q18" s="41"/>
      <c r="R18" s="41" t="s">
        <v>32</v>
      </c>
      <c r="S18" s="41"/>
      <c r="T18" s="41"/>
      <c r="U18" s="41"/>
      <c r="V18" s="41"/>
      <c r="W18" s="41" t="s">
        <v>33</v>
      </c>
      <c r="X18" s="41"/>
      <c r="Y18" s="41"/>
      <c r="Z18" s="41"/>
      <c r="AA18" s="41"/>
      <c r="AB18" s="41"/>
      <c r="AC18" s="42"/>
      <c r="AD18" s="43"/>
      <c r="AE18" s="43"/>
      <c r="AF18" s="43"/>
      <c r="AG18" s="43"/>
      <c r="AH18" s="43"/>
      <c r="AI18" s="43"/>
      <c r="AJ18" s="43"/>
      <c r="AK18" s="43"/>
      <c r="AL18" s="44"/>
    </row>
    <row r="19" spans="1:38" ht="18.75" customHeight="1" x14ac:dyDescent="0.25">
      <c r="A19" s="45">
        <v>44701</v>
      </c>
      <c r="B19" s="45"/>
      <c r="C19" s="45"/>
      <c r="D19" s="45"/>
      <c r="E19" s="46" t="s">
        <v>34</v>
      </c>
      <c r="F19" s="46"/>
      <c r="G19" s="47">
        <f>H11</f>
        <v>3</v>
      </c>
      <c r="H19" s="47"/>
      <c r="I19" s="47"/>
      <c r="J19" s="47"/>
      <c r="K19" s="47"/>
      <c r="L19" s="48">
        <f>G19*T14</f>
        <v>7693.5</v>
      </c>
      <c r="M19" s="48"/>
      <c r="N19" s="48"/>
      <c r="O19" s="48"/>
      <c r="P19" s="48"/>
      <c r="Q19" s="48"/>
      <c r="R19" s="49">
        <f>G19</f>
        <v>3</v>
      </c>
      <c r="S19" s="49"/>
      <c r="T19" s="49"/>
      <c r="U19" s="49"/>
      <c r="V19" s="49"/>
      <c r="W19" s="50" t="s">
        <v>41</v>
      </c>
      <c r="X19" s="50"/>
      <c r="Y19" s="50"/>
      <c r="Z19" s="50"/>
      <c r="AA19" s="50"/>
      <c r="AB19" s="50"/>
      <c r="AC19" s="51"/>
      <c r="AD19" s="52"/>
      <c r="AE19" s="52"/>
      <c r="AF19" s="52"/>
      <c r="AG19" s="52"/>
      <c r="AH19" s="52"/>
      <c r="AI19" s="52"/>
      <c r="AJ19" s="52"/>
      <c r="AK19" s="52"/>
      <c r="AL19" s="53"/>
    </row>
    <row r="20" spans="1:38" ht="18.75" customHeight="1" x14ac:dyDescent="0.25">
      <c r="A20" s="45"/>
      <c r="B20" s="45"/>
      <c r="C20" s="45"/>
      <c r="D20" s="45"/>
      <c r="E20" s="46" t="s">
        <v>35</v>
      </c>
      <c r="F20" s="46"/>
      <c r="G20" s="47">
        <v>2</v>
      </c>
      <c r="H20" s="47"/>
      <c r="I20" s="47"/>
      <c r="J20" s="47"/>
      <c r="K20" s="47"/>
      <c r="L20" s="48">
        <f>G20*T14</f>
        <v>5129</v>
      </c>
      <c r="M20" s="48"/>
      <c r="N20" s="48"/>
      <c r="O20" s="48"/>
      <c r="P20" s="48"/>
      <c r="Q20" s="48"/>
      <c r="R20" s="49">
        <f>IF(ISBLANK(A20),0,R19+G20)</f>
        <v>0</v>
      </c>
      <c r="S20" s="49"/>
      <c r="T20" s="49"/>
      <c r="U20" s="49"/>
      <c r="V20" s="49"/>
      <c r="W20" s="50">
        <f>R20*$T$14</f>
        <v>0</v>
      </c>
      <c r="X20" s="50"/>
      <c r="Y20" s="50"/>
      <c r="Z20" s="50"/>
      <c r="AA20" s="50"/>
      <c r="AB20" s="50"/>
      <c r="AC20" s="51"/>
      <c r="AD20" s="52"/>
      <c r="AE20" s="52"/>
      <c r="AF20" s="52"/>
      <c r="AG20" s="52"/>
      <c r="AH20" s="52"/>
      <c r="AI20" s="52"/>
      <c r="AJ20" s="52"/>
      <c r="AK20" s="52"/>
      <c r="AL20" s="53"/>
    </row>
    <row r="21" spans="1:38" ht="18.75" customHeight="1" x14ac:dyDescent="0.25">
      <c r="A21" s="45"/>
      <c r="B21" s="45"/>
      <c r="C21" s="45"/>
      <c r="D21" s="45"/>
      <c r="E21" s="46"/>
      <c r="F21" s="46"/>
      <c r="G21" s="47"/>
      <c r="H21" s="47"/>
      <c r="I21" s="47"/>
      <c r="J21" s="47"/>
      <c r="K21" s="47"/>
      <c r="L21" s="54">
        <f>G21*T14</f>
        <v>0</v>
      </c>
      <c r="M21" s="55"/>
      <c r="N21" s="55"/>
      <c r="O21" s="55"/>
      <c r="P21" s="55"/>
      <c r="Q21" s="56"/>
      <c r="R21" s="49">
        <f>IF(ISBLANK(A21),0,R20+G21)</f>
        <v>0</v>
      </c>
      <c r="S21" s="49"/>
      <c r="T21" s="49"/>
      <c r="U21" s="49"/>
      <c r="V21" s="49"/>
      <c r="W21" s="57">
        <f t="shared" ref="W21:W40" si="0">R21*$T$14</f>
        <v>0</v>
      </c>
      <c r="X21" s="58"/>
      <c r="Y21" s="58"/>
      <c r="Z21" s="58"/>
      <c r="AA21" s="58"/>
      <c r="AB21" s="59"/>
      <c r="AC21" s="60"/>
      <c r="AD21" s="61"/>
      <c r="AE21" s="61"/>
      <c r="AF21" s="61"/>
      <c r="AG21" s="61"/>
      <c r="AH21" s="61"/>
      <c r="AI21" s="61"/>
      <c r="AJ21" s="61"/>
      <c r="AK21" s="61"/>
      <c r="AL21" s="62"/>
    </row>
    <row r="22" spans="1:38" ht="18.75" customHeight="1" x14ac:dyDescent="0.25">
      <c r="A22" s="45"/>
      <c r="B22" s="45"/>
      <c r="C22" s="45"/>
      <c r="D22" s="45"/>
      <c r="E22" s="46"/>
      <c r="F22" s="46"/>
      <c r="G22" s="47"/>
      <c r="H22" s="47"/>
      <c r="I22" s="47"/>
      <c r="J22" s="47"/>
      <c r="K22" s="47"/>
      <c r="L22" s="48">
        <f>G22*T14</f>
        <v>0</v>
      </c>
      <c r="M22" s="48"/>
      <c r="N22" s="48"/>
      <c r="O22" s="48"/>
      <c r="P22" s="48"/>
      <c r="Q22" s="48"/>
      <c r="R22" s="49">
        <f t="shared" ref="R22:R40" si="1">IF(ISBLANK(A22),0,R21+G22)</f>
        <v>0</v>
      </c>
      <c r="S22" s="49"/>
      <c r="T22" s="49"/>
      <c r="U22" s="49"/>
      <c r="V22" s="49"/>
      <c r="W22" s="50">
        <f t="shared" si="0"/>
        <v>0</v>
      </c>
      <c r="X22" s="50"/>
      <c r="Y22" s="50"/>
      <c r="Z22" s="50"/>
      <c r="AA22" s="50"/>
      <c r="AB22" s="50"/>
      <c r="AC22" s="51"/>
      <c r="AD22" s="52"/>
      <c r="AE22" s="52"/>
      <c r="AF22" s="52"/>
      <c r="AG22" s="52"/>
      <c r="AH22" s="52"/>
      <c r="AI22" s="52"/>
      <c r="AJ22" s="52"/>
      <c r="AK22" s="52"/>
      <c r="AL22" s="53"/>
    </row>
    <row r="23" spans="1:38" ht="18.75" customHeight="1" x14ac:dyDescent="0.25">
      <c r="A23" s="45"/>
      <c r="B23" s="45"/>
      <c r="C23" s="45"/>
      <c r="D23" s="45"/>
      <c r="E23" s="46"/>
      <c r="F23" s="46"/>
      <c r="G23" s="47"/>
      <c r="H23" s="47"/>
      <c r="I23" s="47"/>
      <c r="J23" s="47"/>
      <c r="K23" s="47"/>
      <c r="L23" s="54">
        <f>G23*T14</f>
        <v>0</v>
      </c>
      <c r="M23" s="55"/>
      <c r="N23" s="55"/>
      <c r="O23" s="55"/>
      <c r="P23" s="55"/>
      <c r="Q23" s="56"/>
      <c r="R23" s="49">
        <f t="shared" si="1"/>
        <v>0</v>
      </c>
      <c r="S23" s="49"/>
      <c r="T23" s="49"/>
      <c r="U23" s="49"/>
      <c r="V23" s="49"/>
      <c r="W23" s="57">
        <f t="shared" si="0"/>
        <v>0</v>
      </c>
      <c r="X23" s="58"/>
      <c r="Y23" s="58"/>
      <c r="Z23" s="58"/>
      <c r="AA23" s="58"/>
      <c r="AB23" s="59"/>
      <c r="AC23" s="51"/>
      <c r="AD23" s="52"/>
      <c r="AE23" s="52"/>
      <c r="AF23" s="52"/>
      <c r="AG23" s="52"/>
      <c r="AH23" s="52"/>
      <c r="AI23" s="52"/>
      <c r="AJ23" s="52"/>
      <c r="AK23" s="52"/>
      <c r="AL23" s="53"/>
    </row>
    <row r="24" spans="1:38" ht="18.75" customHeight="1" x14ac:dyDescent="0.25">
      <c r="A24" s="45"/>
      <c r="B24" s="45"/>
      <c r="C24" s="45"/>
      <c r="D24" s="45"/>
      <c r="E24" s="46"/>
      <c r="F24" s="46"/>
      <c r="G24" s="47"/>
      <c r="H24" s="47"/>
      <c r="I24" s="47"/>
      <c r="J24" s="47"/>
      <c r="K24" s="47"/>
      <c r="L24" s="54">
        <f>G24*T14</f>
        <v>0</v>
      </c>
      <c r="M24" s="55"/>
      <c r="N24" s="55"/>
      <c r="O24" s="55"/>
      <c r="P24" s="55"/>
      <c r="Q24" s="56"/>
      <c r="R24" s="49">
        <f t="shared" si="1"/>
        <v>0</v>
      </c>
      <c r="S24" s="49"/>
      <c r="T24" s="49"/>
      <c r="U24" s="49"/>
      <c r="V24" s="49"/>
      <c r="W24" s="57">
        <f t="shared" si="0"/>
        <v>0</v>
      </c>
      <c r="X24" s="58"/>
      <c r="Y24" s="58"/>
      <c r="Z24" s="58"/>
      <c r="AA24" s="58"/>
      <c r="AB24" s="59"/>
      <c r="AC24" s="51"/>
      <c r="AD24" s="52"/>
      <c r="AE24" s="52"/>
      <c r="AF24" s="52"/>
      <c r="AG24" s="52"/>
      <c r="AH24" s="52"/>
      <c r="AI24" s="52"/>
      <c r="AJ24" s="52"/>
      <c r="AK24" s="52"/>
      <c r="AL24" s="53"/>
    </row>
    <row r="25" spans="1:38" ht="18.75" customHeight="1" x14ac:dyDescent="0.25">
      <c r="A25" s="45"/>
      <c r="B25" s="45"/>
      <c r="C25" s="45"/>
      <c r="D25" s="45"/>
      <c r="E25" s="46"/>
      <c r="F25" s="46"/>
      <c r="G25" s="47"/>
      <c r="H25" s="47"/>
      <c r="I25" s="47"/>
      <c r="J25" s="47"/>
      <c r="K25" s="47"/>
      <c r="L25" s="54">
        <f>G25*T14</f>
        <v>0</v>
      </c>
      <c r="M25" s="55"/>
      <c r="N25" s="55"/>
      <c r="O25" s="55"/>
      <c r="P25" s="55"/>
      <c r="Q25" s="56"/>
      <c r="R25" s="49">
        <f t="shared" si="1"/>
        <v>0</v>
      </c>
      <c r="S25" s="49"/>
      <c r="T25" s="49"/>
      <c r="U25" s="49"/>
      <c r="V25" s="49"/>
      <c r="W25" s="57">
        <f t="shared" si="0"/>
        <v>0</v>
      </c>
      <c r="X25" s="58"/>
      <c r="Y25" s="58"/>
      <c r="Z25" s="58"/>
      <c r="AA25" s="58"/>
      <c r="AB25" s="59"/>
      <c r="AC25" s="60"/>
      <c r="AD25" s="61"/>
      <c r="AE25" s="61"/>
      <c r="AF25" s="61"/>
      <c r="AG25" s="61"/>
      <c r="AH25" s="61"/>
      <c r="AI25" s="61"/>
      <c r="AJ25" s="61"/>
      <c r="AK25" s="61"/>
      <c r="AL25" s="62"/>
    </row>
    <row r="26" spans="1:38" ht="18.75" customHeight="1" x14ac:dyDescent="0.25">
      <c r="A26" s="45"/>
      <c r="B26" s="45"/>
      <c r="C26" s="45"/>
      <c r="D26" s="45"/>
      <c r="E26" s="46"/>
      <c r="F26" s="46"/>
      <c r="G26" s="47"/>
      <c r="H26" s="47"/>
      <c r="I26" s="47"/>
      <c r="J26" s="47"/>
      <c r="K26" s="47"/>
      <c r="L26" s="54">
        <f>G26*T14</f>
        <v>0</v>
      </c>
      <c r="M26" s="55"/>
      <c r="N26" s="55"/>
      <c r="O26" s="55"/>
      <c r="P26" s="55"/>
      <c r="Q26" s="56"/>
      <c r="R26" s="49">
        <f t="shared" si="1"/>
        <v>0</v>
      </c>
      <c r="S26" s="49"/>
      <c r="T26" s="49"/>
      <c r="U26" s="49"/>
      <c r="V26" s="49"/>
      <c r="W26" s="63">
        <f t="shared" si="0"/>
        <v>0</v>
      </c>
      <c r="X26" s="63"/>
      <c r="Y26" s="63"/>
      <c r="Z26" s="63"/>
      <c r="AA26" s="63"/>
      <c r="AB26" s="63"/>
      <c r="AC26" s="60"/>
      <c r="AD26" s="61"/>
      <c r="AE26" s="61"/>
      <c r="AF26" s="61"/>
      <c r="AG26" s="61"/>
      <c r="AH26" s="61"/>
      <c r="AI26" s="61"/>
      <c r="AJ26" s="61"/>
      <c r="AK26" s="61"/>
      <c r="AL26" s="62"/>
    </row>
    <row r="27" spans="1:38" ht="18.75" customHeight="1" x14ac:dyDescent="0.25">
      <c r="A27" s="45"/>
      <c r="B27" s="45"/>
      <c r="C27" s="45"/>
      <c r="D27" s="45"/>
      <c r="E27" s="46"/>
      <c r="F27" s="46"/>
      <c r="G27" s="47"/>
      <c r="H27" s="47"/>
      <c r="I27" s="47"/>
      <c r="J27" s="47"/>
      <c r="K27" s="47"/>
      <c r="L27" s="64">
        <f>G27*T14</f>
        <v>0</v>
      </c>
      <c r="M27" s="64"/>
      <c r="N27" s="64"/>
      <c r="O27" s="64"/>
      <c r="P27" s="64"/>
      <c r="Q27" s="64"/>
      <c r="R27" s="49">
        <f t="shared" si="1"/>
        <v>0</v>
      </c>
      <c r="S27" s="49"/>
      <c r="T27" s="49"/>
      <c r="U27" s="49"/>
      <c r="V27" s="49"/>
      <c r="W27" s="63">
        <f t="shared" si="0"/>
        <v>0</v>
      </c>
      <c r="X27" s="63"/>
      <c r="Y27" s="63"/>
      <c r="Z27" s="63"/>
      <c r="AA27" s="63"/>
      <c r="AB27" s="63"/>
      <c r="AC27" s="65"/>
      <c r="AD27" s="66"/>
      <c r="AE27" s="66"/>
      <c r="AF27" s="66"/>
      <c r="AG27" s="66"/>
      <c r="AH27" s="66"/>
      <c r="AI27" s="66"/>
      <c r="AJ27" s="66"/>
      <c r="AK27" s="66"/>
      <c r="AL27" s="67"/>
    </row>
    <row r="28" spans="1:38" ht="18.75" customHeight="1" x14ac:dyDescent="0.25">
      <c r="A28" s="45"/>
      <c r="B28" s="45"/>
      <c r="C28" s="45"/>
      <c r="D28" s="45"/>
      <c r="E28" s="46"/>
      <c r="F28" s="46"/>
      <c r="G28" s="47"/>
      <c r="H28" s="47"/>
      <c r="I28" s="47"/>
      <c r="J28" s="47"/>
      <c r="K28" s="47"/>
      <c r="L28" s="64">
        <f>G28*T14</f>
        <v>0</v>
      </c>
      <c r="M28" s="64"/>
      <c r="N28" s="64"/>
      <c r="O28" s="64"/>
      <c r="P28" s="64"/>
      <c r="Q28" s="64"/>
      <c r="R28" s="49">
        <f t="shared" si="1"/>
        <v>0</v>
      </c>
      <c r="S28" s="49"/>
      <c r="T28" s="49"/>
      <c r="U28" s="49"/>
      <c r="V28" s="49"/>
      <c r="W28" s="63">
        <f t="shared" si="0"/>
        <v>0</v>
      </c>
      <c r="X28" s="63"/>
      <c r="Y28" s="63"/>
      <c r="Z28" s="63"/>
      <c r="AA28" s="63"/>
      <c r="AB28" s="63"/>
      <c r="AC28" s="65"/>
      <c r="AD28" s="66"/>
      <c r="AE28" s="66"/>
      <c r="AF28" s="66"/>
      <c r="AG28" s="66"/>
      <c r="AH28" s="66"/>
      <c r="AI28" s="66"/>
      <c r="AJ28" s="66"/>
      <c r="AK28" s="66"/>
      <c r="AL28" s="67"/>
    </row>
    <row r="29" spans="1:38" ht="18.75" customHeight="1" x14ac:dyDescent="0.25">
      <c r="A29" s="45"/>
      <c r="B29" s="45"/>
      <c r="C29" s="45"/>
      <c r="D29" s="45"/>
      <c r="E29" s="46"/>
      <c r="F29" s="46"/>
      <c r="G29" s="47"/>
      <c r="H29" s="47"/>
      <c r="I29" s="47"/>
      <c r="J29" s="47"/>
      <c r="K29" s="47"/>
      <c r="L29" s="64">
        <f>G29*T14</f>
        <v>0</v>
      </c>
      <c r="M29" s="64"/>
      <c r="N29" s="64"/>
      <c r="O29" s="64"/>
      <c r="P29" s="64"/>
      <c r="Q29" s="64"/>
      <c r="R29" s="49">
        <f t="shared" si="1"/>
        <v>0</v>
      </c>
      <c r="S29" s="49"/>
      <c r="T29" s="49"/>
      <c r="U29" s="49"/>
      <c r="V29" s="49"/>
      <c r="W29" s="63">
        <f t="shared" si="0"/>
        <v>0</v>
      </c>
      <c r="X29" s="63"/>
      <c r="Y29" s="63"/>
      <c r="Z29" s="63"/>
      <c r="AA29" s="63"/>
      <c r="AB29" s="63"/>
      <c r="AC29" s="65"/>
      <c r="AD29" s="66"/>
      <c r="AE29" s="66"/>
      <c r="AF29" s="66"/>
      <c r="AG29" s="66"/>
      <c r="AH29" s="66"/>
      <c r="AI29" s="66"/>
      <c r="AJ29" s="66"/>
      <c r="AK29" s="66"/>
      <c r="AL29" s="67"/>
    </row>
    <row r="30" spans="1:38" ht="18.75" customHeight="1" x14ac:dyDescent="0.25">
      <c r="A30" s="45"/>
      <c r="B30" s="45"/>
      <c r="C30" s="45"/>
      <c r="D30" s="45"/>
      <c r="E30" s="46"/>
      <c r="F30" s="46"/>
      <c r="G30" s="47"/>
      <c r="H30" s="47"/>
      <c r="I30" s="47"/>
      <c r="J30" s="47"/>
      <c r="K30" s="47"/>
      <c r="L30" s="64">
        <f>G30*T14</f>
        <v>0</v>
      </c>
      <c r="M30" s="64"/>
      <c r="N30" s="64"/>
      <c r="O30" s="64"/>
      <c r="P30" s="64"/>
      <c r="Q30" s="64"/>
      <c r="R30" s="49">
        <f t="shared" si="1"/>
        <v>0</v>
      </c>
      <c r="S30" s="49"/>
      <c r="T30" s="49"/>
      <c r="U30" s="49"/>
      <c r="V30" s="49"/>
      <c r="W30" s="63">
        <f t="shared" si="0"/>
        <v>0</v>
      </c>
      <c r="X30" s="63"/>
      <c r="Y30" s="63"/>
      <c r="Z30" s="63"/>
      <c r="AA30" s="63"/>
      <c r="AB30" s="63"/>
      <c r="AC30" s="65"/>
      <c r="AD30" s="66"/>
      <c r="AE30" s="66"/>
      <c r="AF30" s="66"/>
      <c r="AG30" s="66"/>
      <c r="AH30" s="66"/>
      <c r="AI30" s="66"/>
      <c r="AJ30" s="66"/>
      <c r="AK30" s="66"/>
      <c r="AL30" s="67"/>
    </row>
    <row r="31" spans="1:38" ht="18.75" customHeight="1" x14ac:dyDescent="0.25">
      <c r="A31" s="45"/>
      <c r="B31" s="45"/>
      <c r="C31" s="45"/>
      <c r="D31" s="45"/>
      <c r="E31" s="46"/>
      <c r="F31" s="46"/>
      <c r="G31" s="47"/>
      <c r="H31" s="47"/>
      <c r="I31" s="47"/>
      <c r="J31" s="47"/>
      <c r="K31" s="47"/>
      <c r="L31" s="64">
        <f>G31*T14</f>
        <v>0</v>
      </c>
      <c r="M31" s="64"/>
      <c r="N31" s="64"/>
      <c r="O31" s="64"/>
      <c r="P31" s="64"/>
      <c r="Q31" s="64"/>
      <c r="R31" s="49">
        <f t="shared" si="1"/>
        <v>0</v>
      </c>
      <c r="S31" s="49"/>
      <c r="T31" s="49"/>
      <c r="U31" s="49"/>
      <c r="V31" s="49"/>
      <c r="W31" s="63">
        <f t="shared" si="0"/>
        <v>0</v>
      </c>
      <c r="X31" s="63"/>
      <c r="Y31" s="63"/>
      <c r="Z31" s="63"/>
      <c r="AA31" s="63"/>
      <c r="AB31" s="63"/>
      <c r="AC31" s="65"/>
      <c r="AD31" s="66"/>
      <c r="AE31" s="66"/>
      <c r="AF31" s="66"/>
      <c r="AG31" s="66"/>
      <c r="AH31" s="66"/>
      <c r="AI31" s="66"/>
      <c r="AJ31" s="66"/>
      <c r="AK31" s="66"/>
      <c r="AL31" s="67"/>
    </row>
    <row r="32" spans="1:38" ht="18.75" customHeight="1" x14ac:dyDescent="0.25">
      <c r="A32" s="45"/>
      <c r="B32" s="45"/>
      <c r="C32" s="45"/>
      <c r="D32" s="45"/>
      <c r="E32" s="46"/>
      <c r="F32" s="46"/>
      <c r="G32" s="47"/>
      <c r="H32" s="47"/>
      <c r="I32" s="47"/>
      <c r="J32" s="47"/>
      <c r="K32" s="47"/>
      <c r="L32" s="64">
        <f>G32*T14</f>
        <v>0</v>
      </c>
      <c r="M32" s="64"/>
      <c r="N32" s="64"/>
      <c r="O32" s="64"/>
      <c r="P32" s="64"/>
      <c r="Q32" s="64"/>
      <c r="R32" s="49">
        <f t="shared" si="1"/>
        <v>0</v>
      </c>
      <c r="S32" s="49"/>
      <c r="T32" s="49"/>
      <c r="U32" s="49"/>
      <c r="V32" s="49"/>
      <c r="W32" s="63">
        <f t="shared" si="0"/>
        <v>0</v>
      </c>
      <c r="X32" s="63"/>
      <c r="Y32" s="63"/>
      <c r="Z32" s="63"/>
      <c r="AA32" s="63"/>
      <c r="AB32" s="63"/>
      <c r="AC32" s="65"/>
      <c r="AD32" s="66"/>
      <c r="AE32" s="66"/>
      <c r="AF32" s="66"/>
      <c r="AG32" s="66"/>
      <c r="AH32" s="66"/>
      <c r="AI32" s="66"/>
      <c r="AJ32" s="66"/>
      <c r="AK32" s="66"/>
      <c r="AL32" s="67"/>
    </row>
    <row r="33" spans="1:38" ht="18.75" customHeight="1" x14ac:dyDescent="0.25">
      <c r="A33" s="45"/>
      <c r="B33" s="45"/>
      <c r="C33" s="45"/>
      <c r="D33" s="45"/>
      <c r="E33" s="46"/>
      <c r="F33" s="46"/>
      <c r="G33" s="47"/>
      <c r="H33" s="47"/>
      <c r="I33" s="47"/>
      <c r="J33" s="47"/>
      <c r="K33" s="47"/>
      <c r="L33" s="64">
        <f>G33*T14</f>
        <v>0</v>
      </c>
      <c r="M33" s="64"/>
      <c r="N33" s="64"/>
      <c r="O33" s="64"/>
      <c r="P33" s="64"/>
      <c r="Q33" s="64"/>
      <c r="R33" s="49">
        <f t="shared" si="1"/>
        <v>0</v>
      </c>
      <c r="S33" s="49"/>
      <c r="T33" s="49"/>
      <c r="U33" s="49"/>
      <c r="V33" s="49"/>
      <c r="W33" s="63">
        <f t="shared" si="0"/>
        <v>0</v>
      </c>
      <c r="X33" s="63"/>
      <c r="Y33" s="63"/>
      <c r="Z33" s="63"/>
      <c r="AA33" s="63"/>
      <c r="AB33" s="63"/>
      <c r="AC33" s="65"/>
      <c r="AD33" s="66"/>
      <c r="AE33" s="66"/>
      <c r="AF33" s="66"/>
      <c r="AG33" s="66"/>
      <c r="AH33" s="66"/>
      <c r="AI33" s="66"/>
      <c r="AJ33" s="66"/>
      <c r="AK33" s="66"/>
      <c r="AL33" s="67"/>
    </row>
    <row r="34" spans="1:38" ht="18.75" customHeight="1" x14ac:dyDescent="0.25">
      <c r="A34" s="45"/>
      <c r="B34" s="45"/>
      <c r="C34" s="45"/>
      <c r="D34" s="45"/>
      <c r="E34" s="46"/>
      <c r="F34" s="46"/>
      <c r="G34" s="47"/>
      <c r="H34" s="47"/>
      <c r="I34" s="47"/>
      <c r="J34" s="47"/>
      <c r="K34" s="47"/>
      <c r="L34" s="64">
        <f>G34*T14</f>
        <v>0</v>
      </c>
      <c r="M34" s="64"/>
      <c r="N34" s="64"/>
      <c r="O34" s="64"/>
      <c r="P34" s="64"/>
      <c r="Q34" s="64"/>
      <c r="R34" s="49">
        <f t="shared" si="1"/>
        <v>0</v>
      </c>
      <c r="S34" s="49"/>
      <c r="T34" s="49"/>
      <c r="U34" s="49"/>
      <c r="V34" s="49"/>
      <c r="W34" s="63">
        <f t="shared" si="0"/>
        <v>0</v>
      </c>
      <c r="X34" s="63"/>
      <c r="Y34" s="63"/>
      <c r="Z34" s="63"/>
      <c r="AA34" s="63"/>
      <c r="AB34" s="63"/>
      <c r="AC34" s="65"/>
      <c r="AD34" s="66"/>
      <c r="AE34" s="66"/>
      <c r="AF34" s="66"/>
      <c r="AG34" s="66"/>
      <c r="AH34" s="66"/>
      <c r="AI34" s="66"/>
      <c r="AJ34" s="66"/>
      <c r="AK34" s="66"/>
      <c r="AL34" s="67"/>
    </row>
    <row r="35" spans="1:38" ht="18.75" customHeight="1" x14ac:dyDescent="0.25">
      <c r="A35" s="45"/>
      <c r="B35" s="45"/>
      <c r="C35" s="45"/>
      <c r="D35" s="45"/>
      <c r="E35" s="46"/>
      <c r="F35" s="46"/>
      <c r="G35" s="47"/>
      <c r="H35" s="47"/>
      <c r="I35" s="47"/>
      <c r="J35" s="47"/>
      <c r="K35" s="47"/>
      <c r="L35" s="64">
        <f>G35*T14</f>
        <v>0</v>
      </c>
      <c r="M35" s="64"/>
      <c r="N35" s="64"/>
      <c r="O35" s="64"/>
      <c r="P35" s="64"/>
      <c r="Q35" s="64"/>
      <c r="R35" s="49">
        <f t="shared" si="1"/>
        <v>0</v>
      </c>
      <c r="S35" s="49"/>
      <c r="T35" s="49"/>
      <c r="U35" s="49"/>
      <c r="V35" s="49"/>
      <c r="W35" s="63">
        <f t="shared" si="0"/>
        <v>0</v>
      </c>
      <c r="X35" s="63"/>
      <c r="Y35" s="63"/>
      <c r="Z35" s="63"/>
      <c r="AA35" s="63"/>
      <c r="AB35" s="63"/>
      <c r="AC35" s="65"/>
      <c r="AD35" s="66"/>
      <c r="AE35" s="66"/>
      <c r="AF35" s="66"/>
      <c r="AG35" s="66"/>
      <c r="AH35" s="66"/>
      <c r="AI35" s="66"/>
      <c r="AJ35" s="66"/>
      <c r="AK35" s="66"/>
      <c r="AL35" s="67"/>
    </row>
    <row r="36" spans="1:38" ht="18.75" customHeight="1" x14ac:dyDescent="0.25">
      <c r="A36" s="45"/>
      <c r="B36" s="45"/>
      <c r="C36" s="45"/>
      <c r="D36" s="45"/>
      <c r="E36" s="46"/>
      <c r="F36" s="46"/>
      <c r="G36" s="47"/>
      <c r="H36" s="47"/>
      <c r="I36" s="47"/>
      <c r="J36" s="47"/>
      <c r="K36" s="47"/>
      <c r="L36" s="64">
        <f>G36*T14</f>
        <v>0</v>
      </c>
      <c r="M36" s="64"/>
      <c r="N36" s="64"/>
      <c r="O36" s="64"/>
      <c r="P36" s="64"/>
      <c r="Q36" s="64"/>
      <c r="R36" s="49">
        <f t="shared" si="1"/>
        <v>0</v>
      </c>
      <c r="S36" s="49"/>
      <c r="T36" s="49"/>
      <c r="U36" s="49"/>
      <c r="V36" s="49"/>
      <c r="W36" s="63">
        <f t="shared" si="0"/>
        <v>0</v>
      </c>
      <c r="X36" s="63"/>
      <c r="Y36" s="63"/>
      <c r="Z36" s="63"/>
      <c r="AA36" s="63"/>
      <c r="AB36" s="63"/>
      <c r="AC36" s="65"/>
      <c r="AD36" s="66"/>
      <c r="AE36" s="66"/>
      <c r="AF36" s="66"/>
      <c r="AG36" s="66"/>
      <c r="AH36" s="66"/>
      <c r="AI36" s="66"/>
      <c r="AJ36" s="66"/>
      <c r="AK36" s="66"/>
      <c r="AL36" s="67"/>
    </row>
    <row r="37" spans="1:38" ht="18.75" customHeight="1" x14ac:dyDescent="0.25">
      <c r="A37" s="45"/>
      <c r="B37" s="45"/>
      <c r="C37" s="45"/>
      <c r="D37" s="45"/>
      <c r="E37" s="46"/>
      <c r="F37" s="46"/>
      <c r="G37" s="47"/>
      <c r="H37" s="47"/>
      <c r="I37" s="47"/>
      <c r="J37" s="47"/>
      <c r="K37" s="47"/>
      <c r="L37" s="64">
        <f>G37*T14</f>
        <v>0</v>
      </c>
      <c r="M37" s="64"/>
      <c r="N37" s="64"/>
      <c r="O37" s="64"/>
      <c r="P37" s="64"/>
      <c r="Q37" s="64"/>
      <c r="R37" s="49">
        <f t="shared" si="1"/>
        <v>0</v>
      </c>
      <c r="S37" s="49"/>
      <c r="T37" s="49"/>
      <c r="U37" s="49"/>
      <c r="V37" s="49"/>
      <c r="W37" s="63">
        <f t="shared" si="0"/>
        <v>0</v>
      </c>
      <c r="X37" s="63"/>
      <c r="Y37" s="63"/>
      <c r="Z37" s="63"/>
      <c r="AA37" s="63"/>
      <c r="AB37" s="63"/>
      <c r="AC37" s="65"/>
      <c r="AD37" s="66"/>
      <c r="AE37" s="66"/>
      <c r="AF37" s="66"/>
      <c r="AG37" s="66"/>
      <c r="AH37" s="66"/>
      <c r="AI37" s="66"/>
      <c r="AJ37" s="66"/>
      <c r="AK37" s="66"/>
      <c r="AL37" s="67"/>
    </row>
    <row r="38" spans="1:38" ht="18.75" customHeight="1" x14ac:dyDescent="0.25">
      <c r="A38" s="45"/>
      <c r="B38" s="45"/>
      <c r="C38" s="45"/>
      <c r="D38" s="45"/>
      <c r="E38" s="46"/>
      <c r="F38" s="46"/>
      <c r="G38" s="47"/>
      <c r="H38" s="47"/>
      <c r="I38" s="47"/>
      <c r="J38" s="47"/>
      <c r="K38" s="47"/>
      <c r="L38" s="64">
        <f>G38*T14</f>
        <v>0</v>
      </c>
      <c r="M38" s="64"/>
      <c r="N38" s="64"/>
      <c r="O38" s="64"/>
      <c r="P38" s="64"/>
      <c r="Q38" s="64"/>
      <c r="R38" s="49">
        <f t="shared" si="1"/>
        <v>0</v>
      </c>
      <c r="S38" s="49"/>
      <c r="T38" s="49"/>
      <c r="U38" s="49"/>
      <c r="V38" s="49"/>
      <c r="W38" s="63">
        <f t="shared" si="0"/>
        <v>0</v>
      </c>
      <c r="X38" s="63"/>
      <c r="Y38" s="63"/>
      <c r="Z38" s="63"/>
      <c r="AA38" s="63"/>
      <c r="AB38" s="63"/>
      <c r="AC38" s="65"/>
      <c r="AD38" s="66"/>
      <c r="AE38" s="66"/>
      <c r="AF38" s="66"/>
      <c r="AG38" s="66"/>
      <c r="AH38" s="66"/>
      <c r="AI38" s="66"/>
      <c r="AJ38" s="66"/>
      <c r="AK38" s="66"/>
      <c r="AL38" s="67"/>
    </row>
    <row r="39" spans="1:38" ht="18.75" customHeight="1" x14ac:dyDescent="0.25">
      <c r="A39" s="45"/>
      <c r="B39" s="45"/>
      <c r="C39" s="45"/>
      <c r="D39" s="45"/>
      <c r="E39" s="46"/>
      <c r="F39" s="46"/>
      <c r="G39" s="47"/>
      <c r="H39" s="47"/>
      <c r="I39" s="47"/>
      <c r="J39" s="47"/>
      <c r="K39" s="47"/>
      <c r="L39" s="64">
        <f>G39*T14</f>
        <v>0</v>
      </c>
      <c r="M39" s="64"/>
      <c r="N39" s="64"/>
      <c r="O39" s="64"/>
      <c r="P39" s="64"/>
      <c r="Q39" s="64"/>
      <c r="R39" s="49">
        <f t="shared" si="1"/>
        <v>0</v>
      </c>
      <c r="S39" s="49"/>
      <c r="T39" s="49"/>
      <c r="U39" s="49"/>
      <c r="V39" s="49"/>
      <c r="W39" s="63">
        <f t="shared" si="0"/>
        <v>0</v>
      </c>
      <c r="X39" s="63"/>
      <c r="Y39" s="63"/>
      <c r="Z39" s="63"/>
      <c r="AA39" s="63"/>
      <c r="AB39" s="63"/>
      <c r="AC39" s="65"/>
      <c r="AD39" s="66"/>
      <c r="AE39" s="66"/>
      <c r="AF39" s="66"/>
      <c r="AG39" s="66"/>
      <c r="AH39" s="66"/>
      <c r="AI39" s="66"/>
      <c r="AJ39" s="66"/>
      <c r="AK39" s="66"/>
      <c r="AL39" s="67"/>
    </row>
    <row r="40" spans="1:38" ht="18.75" customHeight="1" x14ac:dyDescent="0.25">
      <c r="A40" s="45"/>
      <c r="B40" s="45"/>
      <c r="C40" s="45"/>
      <c r="D40" s="45"/>
      <c r="E40" s="46"/>
      <c r="F40" s="46"/>
      <c r="G40" s="47"/>
      <c r="H40" s="47"/>
      <c r="I40" s="47"/>
      <c r="J40" s="47"/>
      <c r="K40" s="47"/>
      <c r="L40" s="64">
        <f>G40*T14</f>
        <v>0</v>
      </c>
      <c r="M40" s="64"/>
      <c r="N40" s="64"/>
      <c r="O40" s="64"/>
      <c r="P40" s="64"/>
      <c r="Q40" s="64"/>
      <c r="R40" s="49">
        <f t="shared" si="1"/>
        <v>0</v>
      </c>
      <c r="S40" s="49"/>
      <c r="T40" s="49"/>
      <c r="U40" s="49"/>
      <c r="V40" s="49"/>
      <c r="W40" s="63">
        <f t="shared" si="0"/>
        <v>0</v>
      </c>
      <c r="X40" s="63"/>
      <c r="Y40" s="63"/>
      <c r="Z40" s="63"/>
      <c r="AA40" s="63"/>
      <c r="AB40" s="63"/>
      <c r="AC40" s="65"/>
      <c r="AD40" s="66"/>
      <c r="AE40" s="66"/>
      <c r="AF40" s="66"/>
      <c r="AG40" s="66"/>
      <c r="AH40" s="66"/>
      <c r="AI40" s="66"/>
      <c r="AJ40" s="66"/>
      <c r="AK40" s="66"/>
      <c r="AL40" s="67"/>
    </row>
    <row r="42" spans="1:38" x14ac:dyDescent="0.25">
      <c r="A42" s="68" t="s">
        <v>36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 t="s">
        <v>42</v>
      </c>
      <c r="N42" s="70"/>
      <c r="O42" s="7" t="s">
        <v>37</v>
      </c>
      <c r="P42" s="7"/>
      <c r="Q42" s="7"/>
      <c r="R42" s="7"/>
      <c r="S42" s="7"/>
      <c r="T42" s="7"/>
      <c r="U42" s="69" t="str">
        <f>E19</f>
        <v>6</v>
      </c>
      <c r="V42" s="70"/>
      <c r="W42" s="71"/>
      <c r="X42" s="72" t="str">
        <f>W19</f>
        <v>`</v>
      </c>
      <c r="Y42" s="72"/>
      <c r="Z42" s="72"/>
      <c r="AA42" s="72"/>
      <c r="AB42" s="72"/>
      <c r="AC42" s="72"/>
    </row>
    <row r="44" spans="1:38" x14ac:dyDescent="0.25">
      <c r="A44" s="73" t="s">
        <v>38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R44" s="69" t="str">
        <f>E19</f>
        <v>6</v>
      </c>
      <c r="S44" s="70"/>
      <c r="T44" s="70"/>
      <c r="X44" s="75" t="str">
        <f>+X42</f>
        <v>`</v>
      </c>
      <c r="Y44" s="75"/>
      <c r="Z44" s="75"/>
      <c r="AA44" s="75"/>
      <c r="AB44" s="75"/>
      <c r="AC44" s="75"/>
    </row>
    <row r="46" spans="1:38" x14ac:dyDescent="0.25">
      <c r="O46" s="76" t="s">
        <v>39</v>
      </c>
      <c r="P46" s="76"/>
      <c r="Q46" s="77">
        <v>1</v>
      </c>
      <c r="R46" s="77"/>
      <c r="S46" s="2" t="s">
        <v>40</v>
      </c>
      <c r="T46" s="77">
        <v>1</v>
      </c>
      <c r="U46" s="77"/>
    </row>
  </sheetData>
  <mergeCells count="214">
    <mergeCell ref="O46:P46"/>
    <mergeCell ref="Q46:R46"/>
    <mergeCell ref="T46:U46"/>
    <mergeCell ref="A42:L42"/>
    <mergeCell ref="M42:N42"/>
    <mergeCell ref="O42:T42"/>
    <mergeCell ref="U42:V42"/>
    <mergeCell ref="X42:AC42"/>
    <mergeCell ref="R44:T44"/>
    <mergeCell ref="X44:AC44"/>
    <mergeCell ref="AC39:AL39"/>
    <mergeCell ref="A40:D40"/>
    <mergeCell ref="E40:F40"/>
    <mergeCell ref="G40:K40"/>
    <mergeCell ref="L40:Q40"/>
    <mergeCell ref="R40:V40"/>
    <mergeCell ref="W40:AB40"/>
    <mergeCell ref="AC40:AL40"/>
    <mergeCell ref="A39:D39"/>
    <mergeCell ref="E39:F39"/>
    <mergeCell ref="G39:K39"/>
    <mergeCell ref="L39:Q39"/>
    <mergeCell ref="R39:V39"/>
    <mergeCell ref="W39:AB39"/>
    <mergeCell ref="AC37:AL37"/>
    <mergeCell ref="A38:D38"/>
    <mergeCell ref="E38:F38"/>
    <mergeCell ref="G38:K38"/>
    <mergeCell ref="L38:Q38"/>
    <mergeCell ref="R38:V38"/>
    <mergeCell ref="W38:AB38"/>
    <mergeCell ref="AC38:AL38"/>
    <mergeCell ref="A37:D37"/>
    <mergeCell ref="E37:F37"/>
    <mergeCell ref="G37:K37"/>
    <mergeCell ref="L37:Q37"/>
    <mergeCell ref="R37:V37"/>
    <mergeCell ref="W37:AB37"/>
    <mergeCell ref="AC35:AL35"/>
    <mergeCell ref="A36:D36"/>
    <mergeCell ref="E36:F36"/>
    <mergeCell ref="G36:K36"/>
    <mergeCell ref="L36:Q36"/>
    <mergeCell ref="R36:V36"/>
    <mergeCell ref="W36:AB36"/>
    <mergeCell ref="AC36:AL36"/>
    <mergeCell ref="A35:D35"/>
    <mergeCell ref="E35:F35"/>
    <mergeCell ref="G35:K35"/>
    <mergeCell ref="L35:Q35"/>
    <mergeCell ref="R35:V35"/>
    <mergeCell ref="W35:AB35"/>
    <mergeCell ref="AC33:AL33"/>
    <mergeCell ref="A34:D34"/>
    <mergeCell ref="E34:F34"/>
    <mergeCell ref="G34:K34"/>
    <mergeCell ref="L34:Q34"/>
    <mergeCell ref="R34:V34"/>
    <mergeCell ref="W34:AB34"/>
    <mergeCell ref="AC34:AL34"/>
    <mergeCell ref="A33:D33"/>
    <mergeCell ref="E33:F33"/>
    <mergeCell ref="G33:K33"/>
    <mergeCell ref="L33:Q33"/>
    <mergeCell ref="R33:V33"/>
    <mergeCell ref="W33:AB33"/>
    <mergeCell ref="AC31:AL31"/>
    <mergeCell ref="A32:D32"/>
    <mergeCell ref="E32:F32"/>
    <mergeCell ref="G32:K32"/>
    <mergeCell ref="L32:Q32"/>
    <mergeCell ref="R32:V32"/>
    <mergeCell ref="W32:AB32"/>
    <mergeCell ref="AC32:AL32"/>
    <mergeCell ref="A31:D31"/>
    <mergeCell ref="E31:F31"/>
    <mergeCell ref="G31:K31"/>
    <mergeCell ref="L31:Q31"/>
    <mergeCell ref="R31:V31"/>
    <mergeCell ref="W31:AB31"/>
    <mergeCell ref="AC29:AL29"/>
    <mergeCell ref="A30:D30"/>
    <mergeCell ref="E30:F30"/>
    <mergeCell ref="G30:K30"/>
    <mergeCell ref="L30:Q30"/>
    <mergeCell ref="R30:V30"/>
    <mergeCell ref="W30:AB30"/>
    <mergeCell ref="AC30:AL30"/>
    <mergeCell ref="A29:D29"/>
    <mergeCell ref="E29:F29"/>
    <mergeCell ref="G29:K29"/>
    <mergeCell ref="L29:Q29"/>
    <mergeCell ref="R29:V29"/>
    <mergeCell ref="W29:AB29"/>
    <mergeCell ref="AC27:AL27"/>
    <mergeCell ref="A28:D28"/>
    <mergeCell ref="E28:F28"/>
    <mergeCell ref="G28:K28"/>
    <mergeCell ref="L28:Q28"/>
    <mergeCell ref="R28:V28"/>
    <mergeCell ref="W28:AB28"/>
    <mergeCell ref="AC28:AL28"/>
    <mergeCell ref="A27:D27"/>
    <mergeCell ref="E27:F27"/>
    <mergeCell ref="G27:K27"/>
    <mergeCell ref="L27:Q27"/>
    <mergeCell ref="R27:V27"/>
    <mergeCell ref="W27:AB27"/>
    <mergeCell ref="AC25:AL25"/>
    <mergeCell ref="A26:D26"/>
    <mergeCell ref="E26:F26"/>
    <mergeCell ref="G26:K26"/>
    <mergeCell ref="L26:Q26"/>
    <mergeCell ref="R26:V26"/>
    <mergeCell ref="W26:AB26"/>
    <mergeCell ref="AC26:AL26"/>
    <mergeCell ref="A25:D25"/>
    <mergeCell ref="E25:F25"/>
    <mergeCell ref="G25:K25"/>
    <mergeCell ref="L25:Q25"/>
    <mergeCell ref="R25:V25"/>
    <mergeCell ref="W25:AB25"/>
    <mergeCell ref="AC23:AL23"/>
    <mergeCell ref="A24:D24"/>
    <mergeCell ref="E24:F24"/>
    <mergeCell ref="G24:K24"/>
    <mergeCell ref="L24:Q24"/>
    <mergeCell ref="R24:V24"/>
    <mergeCell ref="W24:AB24"/>
    <mergeCell ref="AC24:AL24"/>
    <mergeCell ref="A23:D23"/>
    <mergeCell ref="E23:F23"/>
    <mergeCell ref="G23:K23"/>
    <mergeCell ref="L23:Q23"/>
    <mergeCell ref="R23:V23"/>
    <mergeCell ref="W23:AB23"/>
    <mergeCell ref="AC21:AL21"/>
    <mergeCell ref="A22:D22"/>
    <mergeCell ref="E22:F22"/>
    <mergeCell ref="G22:K22"/>
    <mergeCell ref="L22:Q22"/>
    <mergeCell ref="R22:V22"/>
    <mergeCell ref="W22:AB22"/>
    <mergeCell ref="AC22:AL22"/>
    <mergeCell ref="A21:D21"/>
    <mergeCell ref="E21:F21"/>
    <mergeCell ref="G21:K21"/>
    <mergeCell ref="L21:Q21"/>
    <mergeCell ref="R21:V21"/>
    <mergeCell ref="W21:AB21"/>
    <mergeCell ref="AC19:AL19"/>
    <mergeCell ref="A20:D20"/>
    <mergeCell ref="E20:F20"/>
    <mergeCell ref="G20:K20"/>
    <mergeCell ref="L20:Q20"/>
    <mergeCell ref="R20:V20"/>
    <mergeCell ref="W20:AB20"/>
    <mergeCell ref="AC20:AL20"/>
    <mergeCell ref="A19:D19"/>
    <mergeCell ref="E19:F19"/>
    <mergeCell ref="G19:K19"/>
    <mergeCell ref="L19:Q19"/>
    <mergeCell ref="R19:V19"/>
    <mergeCell ref="W19:AB19"/>
    <mergeCell ref="A17:D18"/>
    <mergeCell ref="E17:Q17"/>
    <mergeCell ref="R17:AB17"/>
    <mergeCell ref="AC17:AL18"/>
    <mergeCell ref="E18:F18"/>
    <mergeCell ref="G18:K18"/>
    <mergeCell ref="L18:Q18"/>
    <mergeCell ref="R18:V18"/>
    <mergeCell ref="W18:AB18"/>
    <mergeCell ref="IP13:IV13"/>
    <mergeCell ref="T14:Y14"/>
    <mergeCell ref="A16:D16"/>
    <mergeCell ref="E16:F16"/>
    <mergeCell ref="G16:K16"/>
    <mergeCell ref="L16:Q16"/>
    <mergeCell ref="R16:V16"/>
    <mergeCell ref="W16:AB16"/>
    <mergeCell ref="AC16:AL16"/>
    <mergeCell ref="A12:G12"/>
    <mergeCell ref="H12:M12"/>
    <mergeCell ref="N12:T12"/>
    <mergeCell ref="Z12:AF12"/>
    <mergeCell ref="AG12:AL12"/>
    <mergeCell ref="A13:G13"/>
    <mergeCell ref="H13:M13"/>
    <mergeCell ref="N13:T13"/>
    <mergeCell ref="Z13:AF13"/>
    <mergeCell ref="AG13:AL13"/>
    <mergeCell ref="F10:AB10"/>
    <mergeCell ref="AE10:AI10"/>
    <mergeCell ref="AJ10:AL10"/>
    <mergeCell ref="A11:G11"/>
    <mergeCell ref="H11:M11"/>
    <mergeCell ref="Z11:AF11"/>
    <mergeCell ref="AG11:AL11"/>
    <mergeCell ref="A7:F7"/>
    <mergeCell ref="G7:AB7"/>
    <mergeCell ref="AJ7:AL8"/>
    <mergeCell ref="F8:AB8"/>
    <mergeCell ref="AE8:AI8"/>
    <mergeCell ref="A9:D9"/>
    <mergeCell ref="F9:H9"/>
    <mergeCell ref="AE9:AI9"/>
    <mergeCell ref="AJ9:AL9"/>
    <mergeCell ref="A1:AL1"/>
    <mergeCell ref="A2:AL2"/>
    <mergeCell ref="A3:AL3"/>
    <mergeCell ref="A5:AL5"/>
    <mergeCell ref="A6:F6"/>
    <mergeCell ref="G6:AB6"/>
  </mergeCells>
  <conditionalFormatting sqref="H13:M13 AG13:AL13 T14:Y14 L19:AB40">
    <cfRule type="cellIs" dxfId="0" priority="1" stopIfTrue="1" operator="equal">
      <formula>0</formula>
    </cfRule>
  </conditionalFormatting>
  <printOptions horizontalCentered="1"/>
  <pageMargins left="0" right="0" top="0" bottom="0" header="0" footer="0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Document" shapeId="1025" r:id="rId4">
          <objectPr defaultSize="0" autoPict="0" r:id="rId5">
            <anchor moveWithCells="1">
              <from>
                <xdr:col>33</xdr:col>
                <xdr:colOff>22860</xdr:colOff>
                <xdr:row>0</xdr:row>
                <xdr:rowOff>99060</xdr:rowOff>
              </from>
              <to>
                <xdr:col>37</xdr:col>
                <xdr:colOff>99060</xdr:colOff>
                <xdr:row>2</xdr:row>
                <xdr:rowOff>38100</xdr:rowOff>
              </to>
            </anchor>
          </objectPr>
        </oleObject>
      </mc:Choice>
      <mc:Fallback>
        <oleObject progId="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(Item 43)</vt:lpstr>
      <vt:lpstr>'(Item 43)'!Print_Area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2026-05-18T14:32:20Z</dcterms:created>
  <dcterms:modified xsi:type="dcterms:W3CDTF">2026-05-18T15:24:42Z</dcterms:modified>
</cp:coreProperties>
</file>