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G:\My Drive\M2A (GD)\CARRETERAS\DOCUMENTOS CARRETERAS\FORMAS Y DOCUMENTOS ACT\Formas con celdas\"/>
    </mc:Choice>
  </mc:AlternateContent>
  <xr:revisionPtr revIDLastSave="0" documentId="13_ncr:1_{6B279836-7F72-4891-A32A-F0FEECB96D4B}" xr6:coauthVersionLast="47" xr6:coauthVersionMax="47" xr10:uidLastSave="{00000000-0000-0000-0000-000000000000}"/>
  <bookViews>
    <workbookView xWindow="-25320" yWindow="-120" windowWidth="25440" windowHeight="15270" xr2:uid="{94FC3A84-A9BC-4322-B311-2768DE3D711D}"/>
  </bookViews>
  <sheets>
    <sheet name="MPPR- ACT-117C (p5)" sheetId="1" r:id="rId1"/>
    <sheet name="ACT-117C PAG atrás" sheetId="2" r:id="rId2"/>
  </sheets>
  <externalReferences>
    <externalReference r:id="rId3"/>
    <externalReference r:id="rId4"/>
  </externalReferences>
  <definedNames>
    <definedName name="Contract_Beginning_Date" localSheetId="0">#REF!</definedName>
    <definedName name="Contract_Beginning_Date">#REF!</definedName>
    <definedName name="Contract_Completion_Date" localSheetId="0">#REF!</definedName>
    <definedName name="Contract_Completion_Date">#REF!</definedName>
    <definedName name="Contract_Number" localSheetId="0">#REF!</definedName>
    <definedName name="Contract_Number">#REF!</definedName>
    <definedName name="Contract_Original_Amount" localSheetId="0">#REF!</definedName>
    <definedName name="Contract_Original_Amount">#REF!</definedName>
    <definedName name="Contract_Revised_Amount" localSheetId="0">#REF!</definedName>
    <definedName name="Contract_Revised_Amount">#REF!</definedName>
    <definedName name="Contractor" localSheetId="0">#REF!</definedName>
    <definedName name="Contractor">#REF!</definedName>
    <definedName name="Contractor_Name" localSheetId="0">#REF!</definedName>
    <definedName name="Contractor_Name">#REF!</definedName>
    <definedName name="ContractorName" localSheetId="0">#REF!</definedName>
    <definedName name="ContractorName">#REF!</definedName>
    <definedName name="Contractors_Name" localSheetId="0">#REF!</definedName>
    <definedName name="Contractors_Name">#REF!</definedName>
    <definedName name="Federal_Number" localSheetId="0">#REF!</definedName>
    <definedName name="Federal_Number">#REF!</definedName>
    <definedName name="Oracle_Number" localSheetId="0">#REF!</definedName>
    <definedName name="Oracle_Number">#REF!</definedName>
    <definedName name="_xlnm.Print_Area" localSheetId="1">'ACT-117C PAG atrás'!$B$1:$R$51</definedName>
    <definedName name="_xlnm.Print_Area" localSheetId="0">'MPPR- ACT-117C (p5)'!$A$1:$K$51</definedName>
    <definedName name="Project_Number" localSheetId="0">#REF!</definedName>
    <definedName name="Project_Number">#REF!</definedName>
    <definedName name="Revised_Completion_Date" localSheetId="0">#REF!</definedName>
    <definedName name="Revised_Completion_Date">#REF!</definedName>
    <definedName name="SpecNoColumn">[1]ValidationLists!$B$5:$B$120</definedName>
    <definedName name="SpecNoStart">[1]ValidationLists!$B$5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N8" i="2" l="1"/>
  <c r="S6" i="2"/>
  <c r="K27" i="1"/>
  <c r="K26" i="1"/>
  <c r="K25" i="1"/>
  <c r="K24" i="1"/>
  <c r="K23" i="1"/>
  <c r="K22" i="1"/>
  <c r="K21" i="1"/>
  <c r="K20" i="1"/>
  <c r="K19" i="1"/>
  <c r="K33" i="1" s="1"/>
  <c r="K34" i="1" l="1"/>
  <c r="K36" i="1" s="1"/>
  <c r="K45" i="1" s="1"/>
</calcChain>
</file>

<file path=xl/sharedStrings.xml><?xml version="1.0" encoding="utf-8"?>
<sst xmlns="http://schemas.openxmlformats.org/spreadsheetml/2006/main" count="134" uniqueCount="119">
  <si>
    <t>Goverment of Puerto Rico</t>
  </si>
  <si>
    <t>Department of Transportation and Public Works</t>
  </si>
  <si>
    <t>HIGHWAY AND TRANSPORTATION AUTHORITY</t>
  </si>
  <si>
    <t>MONTHLY PROGRESS PAYMENT REPORT</t>
  </si>
  <si>
    <t>1.  To:</t>
  </si>
  <si>
    <t>Director Ejecutivo</t>
  </si>
  <si>
    <t>9.  Date:</t>
  </si>
  <si>
    <t>2.  Project Name:</t>
  </si>
  <si>
    <t>Highway Safety Improvement Highway PR 176 Kilometers 0 to 4.00 San Juan, Puerto Rico</t>
  </si>
  <si>
    <t>10.  Cert. Num.:</t>
  </si>
  <si>
    <t>3.  Contractor:</t>
  </si>
  <si>
    <t>Puerto Rico Asphalt</t>
  </si>
  <si>
    <t>11.  Work Performed up to:</t>
  </si>
  <si>
    <t>4.  Project Num.:</t>
  </si>
  <si>
    <t>AC017630</t>
  </si>
  <si>
    <t>12.  Contract Beginning Date:</t>
  </si>
  <si>
    <t>5.  Federal Num.:</t>
  </si>
  <si>
    <t>ZP-176(3)</t>
  </si>
  <si>
    <t>13.  Contract Completion Date:</t>
  </si>
  <si>
    <t>6.  Oracle Num.:</t>
  </si>
  <si>
    <t>F000176030</t>
  </si>
  <si>
    <t xml:space="preserve">14.  Revised Completion Date </t>
  </si>
  <si>
    <t>7.  Contract Num.:</t>
  </si>
  <si>
    <t>2021-000339</t>
  </si>
  <si>
    <t>15.  Project Original Amount:</t>
  </si>
  <si>
    <t>8.  Municipality:</t>
  </si>
  <si>
    <t>San Juan</t>
  </si>
  <si>
    <t>16.  Project Revised Amount:</t>
  </si>
  <si>
    <t>Item No.</t>
  </si>
  <si>
    <t>Alt</t>
  </si>
  <si>
    <t>Spec. Code</t>
  </si>
  <si>
    <t>% Federal Participation</t>
  </si>
  <si>
    <t>Description</t>
  </si>
  <si>
    <t>Unit</t>
  </si>
  <si>
    <t>Quantity</t>
  </si>
  <si>
    <t>Unit Price</t>
  </si>
  <si>
    <t>Amount</t>
  </si>
  <si>
    <t>654-531</t>
  </si>
  <si>
    <t>Pedestrian Signal Head 16x18 LED Configuration</t>
  </si>
  <si>
    <t>Each</t>
  </si>
  <si>
    <t>654-644</t>
  </si>
  <si>
    <t>Coaxial and Power Cable</t>
  </si>
  <si>
    <t>LnM</t>
  </si>
  <si>
    <t>654-647</t>
  </si>
  <si>
    <t>Traf Signal Support S Mast ARM 25 FT Galv Steel</t>
  </si>
  <si>
    <t>654-670</t>
  </si>
  <si>
    <t>Adv TS Cont Assemb NEMA Int/NTCIP Full</t>
  </si>
  <si>
    <t>962-012</t>
  </si>
  <si>
    <t>Warm Mix Asphalt Paveent Marshall S(75)(12)</t>
  </si>
  <si>
    <t>962-033</t>
  </si>
  <si>
    <t>Control Strip Section</t>
  </si>
  <si>
    <t>Ton</t>
  </si>
  <si>
    <t>635-218</t>
  </si>
  <si>
    <t>Prepa Standard Underground URD-4</t>
  </si>
  <si>
    <t>956-140</t>
  </si>
  <si>
    <t>Cleaning of Pull Box</t>
  </si>
  <si>
    <t>888-000</t>
  </si>
  <si>
    <t xml:space="preserve">Special and additional Work (Grout Concrete) </t>
  </si>
  <si>
    <t>LS</t>
  </si>
  <si>
    <r>
      <t xml:space="preserve">Under penalty of absolute nullity, I hereby certify that no public servant of the Puerto Rico Highways and Transportation Authority is a party to or has an interest of any kind in the profits or benefits to be obtained under the contract which is the basis of this invoice, and should he be a party to, or have an interest in, the profits or benefits to be obtained under the contract, a waiver has been previously issued. The only consideration to provide the contracted goods or services under the contract is the payment agreed upon with the authorized representative of the government entity. The amount that appears in the invoice is fair and correct. The work has been performed, the goods have been delivered, and the services have been rendered, and no payment has been received therefor.  </t>
    </r>
    <r>
      <rPr>
        <b/>
        <sz val="11"/>
        <rFont val="Arial"/>
        <family val="2"/>
      </rPr>
      <t>Contractor:</t>
    </r>
    <r>
      <rPr>
        <sz val="11"/>
        <rFont val="Arial"/>
        <family val="2"/>
      </rPr>
      <t>__________________________________________________________</t>
    </r>
  </si>
  <si>
    <t>PAGE 5</t>
  </si>
  <si>
    <t>26.  Work Performed (WP):</t>
  </si>
  <si>
    <t>39.Prepared by:</t>
  </si>
  <si>
    <t>Christie Mota Vélez/ Puerto Rico Asphalt, LLC</t>
  </si>
  <si>
    <t>27.  5% Retained (WP):</t>
  </si>
  <si>
    <t>Contractor</t>
  </si>
  <si>
    <t>Date</t>
  </si>
  <si>
    <t>28.  Reimbursement (WP)(+):</t>
  </si>
  <si>
    <t>40. Concurred by:</t>
  </si>
  <si>
    <t>Ing. Luis R. Pastor Reyes</t>
  </si>
  <si>
    <t>29.  Sub Total:</t>
  </si>
  <si>
    <t>Project Administrator or Resident Engineer or Inspector</t>
  </si>
  <si>
    <t>30.  Material on Site (+/-):</t>
  </si>
  <si>
    <t>41.  Received for Review:</t>
  </si>
  <si>
    <t>31.  Liquidated Damages (LQD)(-):</t>
  </si>
  <si>
    <t xml:space="preserve">Regional Director's Designated
Representative </t>
  </si>
  <si>
    <t>Prompt Payment Process Start Date</t>
  </si>
  <si>
    <t>32. Reimbursement (LqD)(+):</t>
  </si>
  <si>
    <t>42.  Submitted for Review:</t>
  </si>
  <si>
    <t>Ing. Carlos Céspedes Gómez</t>
  </si>
  <si>
    <t>33.  Extra Retainage (+/-):</t>
  </si>
  <si>
    <t>Area Supervisor (Program Manager)</t>
  </si>
  <si>
    <t>34.  Price Adjustment Clause (+/-):</t>
  </si>
  <si>
    <t>43.  Approved by:</t>
  </si>
  <si>
    <t>Ing. Eduardo F. Ruiz Vélez</t>
  </si>
  <si>
    <t>35. Safety Penalties - Spec 638(-):</t>
  </si>
  <si>
    <t>Regional Director</t>
  </si>
  <si>
    <t>36.  Other (+/-):</t>
  </si>
  <si>
    <t>44.  Approved for Payment by:</t>
  </si>
  <si>
    <t>Sr. Angel M. Félix Cruz</t>
  </si>
  <si>
    <r>
      <t xml:space="preserve">37.  </t>
    </r>
    <r>
      <rPr>
        <b/>
        <sz val="11"/>
        <color theme="1"/>
        <rFont val="Calibri"/>
        <family val="2"/>
        <scheme val="minor"/>
      </rPr>
      <t>Net Payment:</t>
    </r>
  </si>
  <si>
    <t>Finance Area Director</t>
  </si>
  <si>
    <r>
      <t xml:space="preserve">38.  </t>
    </r>
    <r>
      <rPr>
        <b/>
        <sz val="11"/>
        <color theme="1"/>
        <rFont val="Calibri"/>
        <family val="2"/>
        <scheme val="minor"/>
      </rPr>
      <t>Total to Date (WP):</t>
    </r>
  </si>
  <si>
    <t>45.  Percent Work Performed:</t>
  </si>
  <si>
    <t>46.  Percent Time</t>
  </si>
  <si>
    <t>LIQUIDATED DAMAGES - N/A</t>
  </si>
  <si>
    <t xml:space="preserve">For not completing project on contract time from: </t>
  </si>
  <si>
    <t>to</t>
  </si>
  <si>
    <t>both dates included</t>
  </si>
  <si>
    <t xml:space="preserve">a total of </t>
  </si>
  <si>
    <t>days at</t>
  </si>
  <si>
    <t>per day.</t>
  </si>
  <si>
    <t>Total to Date:</t>
  </si>
  <si>
    <t>Previous Date:</t>
  </si>
  <si>
    <t>This Period:</t>
  </si>
  <si>
    <t>REIMBURSEMENT - N/A</t>
  </si>
  <si>
    <t>For extension of Contract Time this period:</t>
  </si>
  <si>
    <t>per day</t>
  </si>
  <si>
    <r>
      <t xml:space="preserve">59.  </t>
    </r>
    <r>
      <rPr>
        <sz val="10"/>
        <rFont val="Arial"/>
        <family val="2"/>
      </rPr>
      <t>Remarks</t>
    </r>
  </si>
  <si>
    <r>
      <t xml:space="preserve">60. </t>
    </r>
    <r>
      <rPr>
        <sz val="10"/>
        <rFont val="Arial"/>
        <family val="2"/>
      </rPr>
      <t>Distribution</t>
    </r>
  </si>
  <si>
    <t>ORIGINAL</t>
  </si>
  <si>
    <t>Treasury Office</t>
  </si>
  <si>
    <t xml:space="preserve">COPY 3 </t>
  </si>
  <si>
    <t>Project</t>
  </si>
  <si>
    <t>COPY 1</t>
  </si>
  <si>
    <t>Preaudit Office</t>
  </si>
  <si>
    <t>COPY 4</t>
  </si>
  <si>
    <t>Construction Area</t>
  </si>
  <si>
    <t>COPY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</si>
</sst>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409]mmmm\ d\,\ yyyy;@"/>
    <numFmt numFmtId="165" formatCode="[$-F800]dddd\,\ mmmm\ dd\,\ yyyy"/>
    <numFmt numFmtId="166" formatCode="[$-409]d\-mmm\-yy;@"/>
    <numFmt numFmtId="167" formatCode="&quot;$&quot;#,##0.00"/>
  </numFmts>
  <fonts count="22"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2"/>
      <color theme="1"/>
      <name val="Calibri"/>
      <family val="2"/>
      <scheme val="minor"/>
    </font>
    <font>
      <b/>
      <sz val="14"/>
      <color theme="1"/>
      <name val="Calibri"/>
      <family val="2"/>
      <scheme val="minor"/>
    </font>
    <font>
      <sz val="8"/>
      <color theme="1"/>
      <name val="Calibri"/>
      <family val="2"/>
      <scheme val="minor"/>
    </font>
    <font>
      <b/>
      <sz val="11"/>
      <name val="Calibri"/>
      <family val="2"/>
      <scheme val="minor"/>
    </font>
    <font>
      <sz val="11"/>
      <name val="Arial"/>
      <family val="2"/>
    </font>
    <font>
      <b/>
      <sz val="11"/>
      <name val="Arial"/>
      <family val="2"/>
    </font>
    <font>
      <u/>
      <sz val="11"/>
      <color theme="1"/>
      <name val="Calibri"/>
      <family val="2"/>
      <scheme val="minor"/>
    </font>
    <font>
      <sz val="10"/>
      <color theme="1"/>
      <name val="Calibri"/>
      <family val="2"/>
      <scheme val="minor"/>
    </font>
    <font>
      <sz val="9"/>
      <color theme="1"/>
      <name val="Calibri"/>
      <family val="2"/>
      <scheme val="minor"/>
    </font>
    <font>
      <sz val="10"/>
      <name val="Arial"/>
      <family val="2"/>
    </font>
    <font>
      <b/>
      <sz val="10"/>
      <name val="Arial"/>
      <family val="2"/>
    </font>
    <font>
      <b/>
      <sz val="9"/>
      <name val="Arial"/>
      <family val="2"/>
    </font>
    <font>
      <sz val="7"/>
      <name val="Arial"/>
      <family val="2"/>
    </font>
    <font>
      <sz val="9"/>
      <name val="Arial"/>
      <family val="2"/>
    </font>
    <font>
      <sz val="12"/>
      <name val="Arial"/>
      <family val="2"/>
    </font>
    <font>
      <sz val="6"/>
      <name val="Arial"/>
      <family val="2"/>
    </font>
    <font>
      <sz val="6"/>
      <name val="Arial Narrow"/>
      <family val="2"/>
    </font>
    <font>
      <sz val="6"/>
      <name val="Bell MT"/>
      <family val="1"/>
    </font>
  </fonts>
  <fills count="4">
    <fill>
      <patternFill patternType="none"/>
    </fill>
    <fill>
      <patternFill patternType="gray125"/>
    </fill>
    <fill>
      <patternFill patternType="solid">
        <fgColor theme="0"/>
        <bgColor indexed="64"/>
      </patternFill>
    </fill>
    <fill>
      <patternFill patternType="solid">
        <fgColor indexed="9"/>
        <bgColor indexed="64"/>
      </patternFill>
    </fill>
  </fills>
  <borders count="16">
    <border>
      <left/>
      <right/>
      <top/>
      <bottom/>
      <diagonal/>
    </border>
    <border>
      <left/>
      <right/>
      <top/>
      <bottom style="double">
        <color indexed="64"/>
      </bottom>
      <diagonal/>
    </border>
    <border>
      <left/>
      <right/>
      <top style="double">
        <color auto="1"/>
      </top>
      <bottom style="thin">
        <color indexed="64"/>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13" fillId="0" borderId="0"/>
  </cellStyleXfs>
  <cellXfs count="152">
    <xf numFmtId="0" fontId="0" fillId="0" borderId="0" xfId="0"/>
    <xf numFmtId="0" fontId="5" fillId="0" borderId="0" xfId="0" applyFont="1" applyAlignment="1">
      <alignment horizontal="center"/>
    </xf>
    <xf numFmtId="0" fontId="6" fillId="0" borderId="4" xfId="0" applyFont="1" applyBorder="1"/>
    <xf numFmtId="0" fontId="0" fillId="0" borderId="4" xfId="0" applyBorder="1"/>
    <xf numFmtId="165" fontId="0" fillId="0" borderId="0" xfId="0" applyNumberFormat="1"/>
    <xf numFmtId="0" fontId="0" fillId="0" borderId="5" xfId="0" applyBorder="1"/>
    <xf numFmtId="0" fontId="0" fillId="0" borderId="0" xfId="0" applyAlignment="1">
      <alignment horizontal="left"/>
    </xf>
    <xf numFmtId="0" fontId="0" fillId="0" borderId="0" xfId="0" applyAlignment="1">
      <alignment horizontal="right"/>
    </xf>
    <xf numFmtId="0" fontId="3" fillId="0" borderId="0" xfId="0" applyFont="1"/>
    <xf numFmtId="0" fontId="0" fillId="0" borderId="0" xfId="0" applyAlignment="1">
      <alignment horizontal="center"/>
    </xf>
    <xf numFmtId="0" fontId="7" fillId="2" borderId="6" xfId="0" applyFont="1" applyFill="1" applyBorder="1" applyAlignment="1">
      <alignment horizontal="center" vertical="center" wrapText="1"/>
    </xf>
    <xf numFmtId="0" fontId="0" fillId="0" borderId="6" xfId="0" applyBorder="1" applyAlignment="1">
      <alignment horizontal="center" vertical="center"/>
    </xf>
    <xf numFmtId="0" fontId="0" fillId="0" borderId="6" xfId="0" applyBorder="1"/>
    <xf numFmtId="0" fontId="0" fillId="0" borderId="6" xfId="0" applyBorder="1" applyAlignment="1">
      <alignment horizontal="center"/>
    </xf>
    <xf numFmtId="0" fontId="0" fillId="0" borderId="7" xfId="0" applyBorder="1" applyAlignment="1">
      <alignment vertical="center"/>
    </xf>
    <xf numFmtId="0" fontId="0" fillId="0" borderId="4" xfId="0" applyBorder="1" applyAlignment="1">
      <alignment vertical="center"/>
    </xf>
    <xf numFmtId="0" fontId="0" fillId="0" borderId="8" xfId="0" applyBorder="1" applyAlignment="1">
      <alignment vertical="center"/>
    </xf>
    <xf numFmtId="0" fontId="0" fillId="0" borderId="6" xfId="0" applyBorder="1" applyAlignment="1">
      <alignment horizontal="right" vertical="center"/>
    </xf>
    <xf numFmtId="44" fontId="0" fillId="0" borderId="6" xfId="1" applyFont="1" applyBorder="1" applyAlignment="1"/>
    <xf numFmtId="44" fontId="0" fillId="0" borderId="6" xfId="0" applyNumberFormat="1" applyBorder="1" applyAlignment="1">
      <alignment horizontal="center"/>
    </xf>
    <xf numFmtId="0" fontId="0" fillId="0" borderId="7" xfId="0" applyBorder="1" applyAlignment="1">
      <alignment vertical="center" wrapText="1"/>
    </xf>
    <xf numFmtId="0" fontId="0" fillId="0" borderId="4" xfId="0" applyBorder="1" applyAlignment="1">
      <alignment vertical="center" wrapText="1"/>
    </xf>
    <xf numFmtId="0" fontId="0" fillId="0" borderId="8" xfId="0" applyBorder="1" applyAlignment="1">
      <alignment vertical="center" wrapText="1"/>
    </xf>
    <xf numFmtId="44" fontId="0" fillId="0" borderId="9" xfId="1" applyFont="1" applyBorder="1" applyAlignment="1"/>
    <xf numFmtId="0" fontId="0" fillId="0" borderId="0" xfId="0" applyAlignment="1">
      <alignment wrapText="1"/>
    </xf>
    <xf numFmtId="0" fontId="0" fillId="0" borderId="7" xfId="0" applyBorder="1" applyAlignment="1">
      <alignment horizontal="left" vertical="center"/>
    </xf>
    <xf numFmtId="0" fontId="0" fillId="0" borderId="4" xfId="0" applyBorder="1" applyAlignment="1">
      <alignment horizontal="left" vertical="center"/>
    </xf>
    <xf numFmtId="0" fontId="0" fillId="0" borderId="8" xfId="0" applyBorder="1" applyAlignment="1">
      <alignment horizontal="left" vertical="center"/>
    </xf>
    <xf numFmtId="0" fontId="0" fillId="0" borderId="0" xfId="0" applyAlignment="1">
      <alignment horizontal="center" vertical="center"/>
    </xf>
    <xf numFmtId="0" fontId="3" fillId="0" borderId="0" xfId="0" applyFont="1" applyAlignment="1">
      <alignment horizontal="center" vertical="center"/>
    </xf>
    <xf numFmtId="44" fontId="0" fillId="0" borderId="0" xfId="0" applyNumberFormat="1"/>
    <xf numFmtId="44" fontId="0" fillId="0" borderId="0" xfId="0" applyNumberFormat="1" applyAlignment="1">
      <alignment horizontal="center"/>
    </xf>
    <xf numFmtId="0" fontId="3" fillId="2" borderId="0" xfId="0" applyFont="1" applyFill="1"/>
    <xf numFmtId="0" fontId="0" fillId="2" borderId="0" xfId="0" applyFill="1"/>
    <xf numFmtId="44" fontId="10" fillId="2" borderId="0" xfId="0" applyNumberFormat="1" applyFont="1" applyFill="1"/>
    <xf numFmtId="44" fontId="0" fillId="2" borderId="3" xfId="0" applyNumberFormat="1" applyFill="1" applyBorder="1"/>
    <xf numFmtId="0" fontId="0" fillId="2" borderId="0" xfId="0" applyFill="1" applyAlignment="1">
      <alignment vertical="top"/>
    </xf>
    <xf numFmtId="44" fontId="0" fillId="2" borderId="4" xfId="1" applyFont="1" applyFill="1" applyBorder="1"/>
    <xf numFmtId="0" fontId="0" fillId="2" borderId="3" xfId="0" applyFill="1" applyBorder="1" applyAlignment="1">
      <alignment horizontal="center"/>
    </xf>
    <xf numFmtId="14" fontId="0" fillId="2" borderId="3" xfId="0" applyNumberFormat="1" applyFill="1" applyBorder="1"/>
    <xf numFmtId="44" fontId="0" fillId="2" borderId="4" xfId="0" applyNumberFormat="1" applyFill="1" applyBorder="1"/>
    <xf numFmtId="0" fontId="11" fillId="2" borderId="0" xfId="0" applyFont="1" applyFill="1" applyAlignment="1">
      <alignment vertical="top"/>
    </xf>
    <xf numFmtId="0" fontId="0" fillId="2" borderId="3" xfId="0" applyFill="1" applyBorder="1" applyAlignment="1">
      <alignment vertical="center"/>
    </xf>
    <xf numFmtId="0" fontId="0" fillId="2" borderId="3" xfId="0" applyFill="1" applyBorder="1"/>
    <xf numFmtId="44" fontId="0" fillId="0" borderId="3" xfId="0" applyNumberFormat="1" applyBorder="1"/>
    <xf numFmtId="44" fontId="0" fillId="0" borderId="4" xfId="0" applyNumberFormat="1" applyBorder="1"/>
    <xf numFmtId="10" fontId="0" fillId="0" borderId="3" xfId="2" applyNumberFormat="1" applyFont="1" applyBorder="1"/>
    <xf numFmtId="0" fontId="13" fillId="0" borderId="0" xfId="3"/>
    <xf numFmtId="0" fontId="13" fillId="0" borderId="12" xfId="3" applyBorder="1"/>
    <xf numFmtId="0" fontId="13" fillId="0" borderId="13" xfId="3" applyBorder="1"/>
    <xf numFmtId="0" fontId="13" fillId="0" borderId="0" xfId="3" applyAlignment="1">
      <alignment horizontal="center"/>
    </xf>
    <xf numFmtId="15" fontId="14" fillId="0" borderId="0" xfId="3" applyNumberFormat="1" applyFont="1" applyAlignment="1">
      <alignment horizontal="center"/>
    </xf>
    <xf numFmtId="15" fontId="13" fillId="0" borderId="0" xfId="3" applyNumberFormat="1" applyAlignment="1">
      <alignment horizontal="center"/>
    </xf>
    <xf numFmtId="8" fontId="15" fillId="0" borderId="3" xfId="3" applyNumberFormat="1" applyFont="1" applyBorder="1" applyAlignment="1" applyProtection="1">
      <alignment horizontal="center"/>
      <protection locked="0"/>
    </xf>
    <xf numFmtId="0" fontId="13" fillId="0" borderId="0" xfId="3" applyAlignment="1">
      <alignment horizontal="left"/>
    </xf>
    <xf numFmtId="0" fontId="13" fillId="0" borderId="0" xfId="3" applyAlignment="1">
      <alignment horizontal="right"/>
    </xf>
    <xf numFmtId="0" fontId="16" fillId="0" borderId="0" xfId="3" applyFont="1" applyAlignment="1">
      <alignment horizontal="center" vertical="top"/>
    </xf>
    <xf numFmtId="14" fontId="13" fillId="0" borderId="0" xfId="3" applyNumberFormat="1"/>
    <xf numFmtId="0" fontId="13" fillId="0" borderId="11" xfId="3" applyBorder="1"/>
    <xf numFmtId="8" fontId="14" fillId="0" borderId="0" xfId="3" applyNumberFormat="1" applyFont="1" applyAlignment="1">
      <alignment horizontal="center"/>
    </xf>
    <xf numFmtId="8" fontId="13" fillId="0" borderId="0" xfId="3" applyNumberFormat="1" applyAlignment="1">
      <alignment horizontal="left"/>
    </xf>
    <xf numFmtId="0" fontId="16" fillId="0" borderId="0" xfId="3" applyFont="1" applyAlignment="1">
      <alignment vertical="top"/>
    </xf>
    <xf numFmtId="49" fontId="17" fillId="0" borderId="12" xfId="3" applyNumberFormat="1" applyFont="1" applyBorder="1" applyAlignment="1" applyProtection="1">
      <alignment horizontal="left" vertical="center" wrapText="1"/>
      <protection locked="0"/>
    </xf>
    <xf numFmtId="49" fontId="17" fillId="0" borderId="0" xfId="3" applyNumberFormat="1" applyFont="1" applyAlignment="1" applyProtection="1">
      <alignment horizontal="left" vertical="center" wrapText="1"/>
      <protection locked="0"/>
    </xf>
    <xf numFmtId="49" fontId="17" fillId="0" borderId="13" xfId="3" applyNumberFormat="1" applyFont="1" applyBorder="1" applyAlignment="1" applyProtection="1">
      <alignment horizontal="left" vertical="center" wrapText="1"/>
      <protection locked="0"/>
    </xf>
    <xf numFmtId="49" fontId="17" fillId="0" borderId="0" xfId="3" applyNumberFormat="1" applyFont="1" applyAlignment="1" applyProtection="1">
      <alignment horizontal="center"/>
      <protection locked="0"/>
    </xf>
    <xf numFmtId="0" fontId="19" fillId="0" borderId="5" xfId="3" applyFont="1" applyBorder="1"/>
    <xf numFmtId="0" fontId="13" fillId="0" borderId="5" xfId="3" applyBorder="1"/>
    <xf numFmtId="0" fontId="16" fillId="0" borderId="5" xfId="3" applyFont="1" applyBorder="1" applyAlignment="1">
      <alignment horizontal="justify" vertical="top" wrapText="1"/>
    </xf>
    <xf numFmtId="0" fontId="16" fillId="0" borderId="11" xfId="3" applyFont="1" applyBorder="1" applyAlignment="1">
      <alignment horizontal="justify" vertical="top" wrapText="1"/>
    </xf>
    <xf numFmtId="0" fontId="19" fillId="0" borderId="12" xfId="3" applyFont="1" applyBorder="1"/>
    <xf numFmtId="0" fontId="20" fillId="0" borderId="0" xfId="3" applyFont="1"/>
    <xf numFmtId="0" fontId="16" fillId="0" borderId="0" xfId="3" applyFont="1" applyAlignment="1">
      <alignment horizontal="justify" vertical="top" wrapText="1"/>
    </xf>
    <xf numFmtId="0" fontId="16" fillId="0" borderId="13" xfId="3" applyFont="1" applyBorder="1" applyAlignment="1">
      <alignment horizontal="justify" vertical="top" wrapText="1"/>
    </xf>
    <xf numFmtId="0" fontId="21" fillId="0" borderId="12" xfId="3" applyFont="1" applyBorder="1"/>
    <xf numFmtId="0" fontId="21" fillId="0" borderId="14" xfId="3" applyFont="1" applyBorder="1"/>
    <xf numFmtId="0" fontId="13" fillId="0" borderId="3" xfId="3" applyBorder="1"/>
    <xf numFmtId="0" fontId="20" fillId="0" borderId="3" xfId="3" applyFont="1" applyBorder="1"/>
    <xf numFmtId="0" fontId="16" fillId="0" borderId="3" xfId="3" applyFont="1" applyBorder="1" applyAlignment="1">
      <alignment horizontal="justify" vertical="top" wrapText="1"/>
    </xf>
    <xf numFmtId="0" fontId="16" fillId="0" borderId="15" xfId="3" applyFont="1" applyBorder="1" applyAlignment="1">
      <alignment horizontal="justify" vertical="top" wrapText="1"/>
    </xf>
    <xf numFmtId="49" fontId="17" fillId="0" borderId="12" xfId="3" applyNumberFormat="1" applyFont="1" applyBorder="1" applyAlignment="1" applyProtection="1">
      <alignment horizontal="left" vertical="center" wrapText="1"/>
      <protection locked="0"/>
    </xf>
    <xf numFmtId="49" fontId="17" fillId="0" borderId="0" xfId="3" applyNumberFormat="1" applyFont="1" applyAlignment="1" applyProtection="1">
      <alignment horizontal="left" vertical="center" wrapText="1"/>
      <protection locked="0"/>
    </xf>
    <xf numFmtId="49" fontId="17" fillId="0" borderId="13" xfId="3" applyNumberFormat="1" applyFont="1" applyBorder="1" applyAlignment="1" applyProtection="1">
      <alignment horizontal="left" vertical="center" wrapText="1"/>
      <protection locked="0"/>
    </xf>
    <xf numFmtId="0" fontId="16" fillId="0" borderId="10" xfId="3" applyFont="1" applyBorder="1" applyAlignment="1">
      <alignment horizontal="left"/>
    </xf>
    <xf numFmtId="0" fontId="16" fillId="0" borderId="5" xfId="3" applyFont="1" applyBorder="1" applyAlignment="1">
      <alignment horizontal="left"/>
    </xf>
    <xf numFmtId="167" fontId="17" fillId="0" borderId="12" xfId="3" applyNumberFormat="1" applyFont="1" applyBorder="1" applyAlignment="1" applyProtection="1">
      <alignment horizontal="left" vertical="center" wrapText="1"/>
      <protection locked="0"/>
    </xf>
    <xf numFmtId="167" fontId="17" fillId="0" borderId="0" xfId="3" applyNumberFormat="1" applyFont="1" applyAlignment="1" applyProtection="1">
      <alignment horizontal="left" vertical="center" wrapText="1"/>
      <protection locked="0"/>
    </xf>
    <xf numFmtId="167" fontId="17" fillId="0" borderId="13" xfId="3" applyNumberFormat="1" applyFont="1" applyBorder="1" applyAlignment="1" applyProtection="1">
      <alignment horizontal="left" vertical="center" wrapText="1"/>
      <protection locked="0"/>
    </xf>
    <xf numFmtId="49" fontId="17" fillId="0" borderId="12" xfId="3" applyNumberFormat="1" applyFont="1" applyBorder="1" applyAlignment="1" applyProtection="1">
      <alignment horizontal="center" vertical="center" wrapText="1"/>
      <protection locked="0"/>
    </xf>
    <xf numFmtId="49" fontId="17" fillId="0" borderId="0" xfId="3" applyNumberFormat="1" applyFont="1" applyAlignment="1" applyProtection="1">
      <alignment horizontal="center" vertical="center" wrapText="1"/>
      <protection locked="0"/>
    </xf>
    <xf numFmtId="49" fontId="17" fillId="0" borderId="13" xfId="3" applyNumberFormat="1" applyFont="1" applyBorder="1" applyAlignment="1" applyProtection="1">
      <alignment horizontal="center" vertical="center" wrapText="1"/>
      <protection locked="0"/>
    </xf>
    <xf numFmtId="167" fontId="15" fillId="0" borderId="3" xfId="3" applyNumberFormat="1" applyFont="1" applyBorder="1" applyAlignment="1">
      <alignment horizontal="center"/>
    </xf>
    <xf numFmtId="0" fontId="16" fillId="0" borderId="10" xfId="3" quotePrefix="1" applyFont="1" applyBorder="1" applyAlignment="1">
      <alignment horizontal="left" vertical="top" wrapText="1"/>
    </xf>
    <xf numFmtId="0" fontId="16" fillId="0" borderId="5" xfId="3" quotePrefix="1" applyFont="1" applyBorder="1" applyAlignment="1">
      <alignment horizontal="left" vertical="top" wrapText="1"/>
    </xf>
    <xf numFmtId="49" fontId="17" fillId="0" borderId="5" xfId="3" applyNumberFormat="1" applyFont="1" applyBorder="1" applyAlignment="1" applyProtection="1">
      <alignment horizontal="left" vertical="center"/>
      <protection locked="0"/>
    </xf>
    <xf numFmtId="0" fontId="13" fillId="0" borderId="5" xfId="3" applyBorder="1" applyAlignment="1">
      <alignment horizontal="left" vertical="center"/>
    </xf>
    <xf numFmtId="0" fontId="13" fillId="0" borderId="11" xfId="3" applyBorder="1" applyAlignment="1">
      <alignment horizontal="left" vertical="center"/>
    </xf>
    <xf numFmtId="49" fontId="18" fillId="0" borderId="12" xfId="3" applyNumberFormat="1" applyFont="1" applyBorder="1" applyAlignment="1" applyProtection="1">
      <alignment horizontal="left" vertical="center" wrapText="1"/>
      <protection locked="0"/>
    </xf>
    <xf numFmtId="49" fontId="18" fillId="0" borderId="0" xfId="3" applyNumberFormat="1" applyFont="1" applyAlignment="1" applyProtection="1">
      <alignment horizontal="left" vertical="center" wrapText="1"/>
      <protection locked="0"/>
    </xf>
    <xf numFmtId="49" fontId="18" fillId="0" borderId="13" xfId="3" applyNumberFormat="1" applyFont="1" applyBorder="1" applyAlignment="1" applyProtection="1">
      <alignment horizontal="left" vertical="center" wrapText="1"/>
      <protection locked="0"/>
    </xf>
    <xf numFmtId="49" fontId="15" fillId="0" borderId="12" xfId="3" applyNumberFormat="1" applyFont="1" applyBorder="1" applyAlignment="1" applyProtection="1">
      <alignment horizontal="left" vertical="center" wrapText="1"/>
      <protection locked="0"/>
    </xf>
    <xf numFmtId="49" fontId="15" fillId="0" borderId="0" xfId="3" applyNumberFormat="1" applyFont="1" applyAlignment="1" applyProtection="1">
      <alignment horizontal="left" vertical="center" wrapText="1"/>
      <protection locked="0"/>
    </xf>
    <xf numFmtId="49" fontId="15" fillId="0" borderId="13" xfId="3" applyNumberFormat="1" applyFont="1" applyBorder="1" applyAlignment="1" applyProtection="1">
      <alignment horizontal="left" vertical="center" wrapText="1"/>
      <protection locked="0"/>
    </xf>
    <xf numFmtId="0" fontId="16" fillId="0" borderId="5" xfId="3" applyFont="1" applyBorder="1" applyAlignment="1">
      <alignment horizontal="center" vertical="top"/>
    </xf>
    <xf numFmtId="0" fontId="13" fillId="0" borderId="12" xfId="3" applyBorder="1" applyAlignment="1">
      <alignment horizontal="left"/>
    </xf>
    <xf numFmtId="0" fontId="13" fillId="0" borderId="0" xfId="3" applyAlignment="1">
      <alignment horizontal="left"/>
    </xf>
    <xf numFmtId="167" fontId="15" fillId="0" borderId="3" xfId="3" applyNumberFormat="1" applyFont="1" applyBorder="1" applyAlignment="1" applyProtection="1">
      <alignment horizontal="center" shrinkToFit="1"/>
      <protection locked="0"/>
    </xf>
    <xf numFmtId="0" fontId="16" fillId="0" borderId="4" xfId="3" applyFont="1" applyBorder="1" applyAlignment="1">
      <alignment horizontal="center" vertical="top"/>
    </xf>
    <xf numFmtId="0" fontId="14" fillId="3" borderId="7" xfId="3" applyFont="1" applyFill="1" applyBorder="1" applyAlignment="1">
      <alignment horizontal="center"/>
    </xf>
    <xf numFmtId="0" fontId="14" fillId="3" borderId="4" xfId="3" applyFont="1" applyFill="1" applyBorder="1" applyAlignment="1">
      <alignment horizontal="center"/>
    </xf>
    <xf numFmtId="0" fontId="14" fillId="3" borderId="8" xfId="3" applyFont="1" applyFill="1" applyBorder="1" applyAlignment="1">
      <alignment horizontal="center"/>
    </xf>
    <xf numFmtId="1" fontId="15" fillId="0" borderId="3" xfId="3" applyNumberFormat="1" applyFont="1" applyBorder="1" applyAlignment="1" applyProtection="1">
      <alignment horizontal="center"/>
      <protection locked="0"/>
    </xf>
    <xf numFmtId="0" fontId="13" fillId="0" borderId="0" xfId="3" applyAlignment="1">
      <alignment horizontal="center"/>
    </xf>
    <xf numFmtId="8" fontId="15" fillId="0" borderId="3" xfId="3" applyNumberFormat="1" applyFont="1" applyBorder="1" applyAlignment="1" applyProtection="1">
      <alignment horizontal="right"/>
      <protection locked="0"/>
    </xf>
    <xf numFmtId="0" fontId="13" fillId="0" borderId="0" xfId="3" applyAlignment="1">
      <alignment horizontal="right"/>
    </xf>
    <xf numFmtId="166" fontId="15" fillId="0" borderId="3" xfId="3" applyNumberFormat="1" applyFont="1" applyBorder="1" applyAlignment="1" applyProtection="1">
      <alignment horizontal="center"/>
      <protection locked="0"/>
    </xf>
    <xf numFmtId="1" fontId="15" fillId="0" borderId="3" xfId="3" applyNumberFormat="1" applyFont="1" applyBorder="1" applyAlignment="1">
      <alignment horizontal="center"/>
    </xf>
    <xf numFmtId="8" fontId="15" fillId="0" borderId="3" xfId="3" applyNumberFormat="1" applyFont="1" applyBorder="1" applyAlignment="1">
      <alignment horizontal="center"/>
    </xf>
    <xf numFmtId="0" fontId="0" fillId="2" borderId="3" xfId="0" applyFill="1" applyBorder="1" applyAlignment="1">
      <alignment horizontal="left"/>
    </xf>
    <xf numFmtId="0" fontId="0" fillId="2" borderId="3" xfId="0" applyFill="1" applyBorder="1" applyAlignment="1">
      <alignment horizontal="center" vertical="center"/>
    </xf>
    <xf numFmtId="0" fontId="0" fillId="2" borderId="5" xfId="0" applyFill="1" applyBorder="1" applyAlignment="1">
      <alignment horizontal="left" vertical="top" wrapText="1"/>
    </xf>
    <xf numFmtId="0" fontId="12" fillId="2" borderId="5" xfId="0" applyFont="1" applyFill="1" applyBorder="1" applyAlignment="1">
      <alignment horizontal="center" vertical="top" wrapText="1"/>
    </xf>
    <xf numFmtId="0" fontId="0" fillId="0" borderId="7" xfId="0" applyBorder="1" applyAlignment="1">
      <alignment vertical="center"/>
    </xf>
    <xf numFmtId="0" fontId="0" fillId="0" borderId="4" xfId="0" applyBorder="1" applyAlignment="1">
      <alignment vertical="center"/>
    </xf>
    <xf numFmtId="0" fontId="0" fillId="0" borderId="8" xfId="0" applyBorder="1" applyAlignment="1">
      <alignment vertical="center"/>
    </xf>
    <xf numFmtId="0" fontId="0" fillId="0" borderId="7" xfId="0" applyBorder="1" applyAlignment="1">
      <alignment vertical="center" wrapText="1"/>
    </xf>
    <xf numFmtId="0" fontId="0" fillId="0" borderId="4" xfId="0" applyBorder="1" applyAlignment="1">
      <alignment vertical="center" wrapText="1"/>
    </xf>
    <xf numFmtId="0" fontId="0" fillId="0" borderId="8" xfId="0" applyBorder="1" applyAlignment="1">
      <alignment vertical="center" wrapText="1"/>
    </xf>
    <xf numFmtId="0" fontId="8" fillId="0" borderId="10" xfId="0" applyFont="1" applyBorder="1" applyAlignment="1">
      <alignment horizontal="justify" vertical="center" wrapText="1"/>
    </xf>
    <xf numFmtId="0" fontId="8" fillId="0" borderId="5" xfId="0" applyFont="1" applyBorder="1" applyAlignment="1">
      <alignment horizontal="justify" vertical="center" wrapText="1"/>
    </xf>
    <xf numFmtId="0" fontId="8" fillId="0" borderId="11" xfId="0" applyFont="1" applyBorder="1" applyAlignment="1">
      <alignment horizontal="justify" vertical="center" wrapText="1"/>
    </xf>
    <xf numFmtId="0" fontId="8" fillId="0" borderId="12" xfId="0" applyFont="1" applyBorder="1" applyAlignment="1">
      <alignment horizontal="justify" vertical="center" wrapText="1"/>
    </xf>
    <xf numFmtId="0" fontId="8" fillId="0" borderId="0" xfId="0" applyFont="1" applyAlignment="1">
      <alignment horizontal="justify" vertical="center" wrapText="1"/>
    </xf>
    <xf numFmtId="0" fontId="8" fillId="0" borderId="13" xfId="0" applyFont="1" applyBorder="1" applyAlignment="1">
      <alignment horizontal="justify" vertical="center" wrapText="1"/>
    </xf>
    <xf numFmtId="0" fontId="8" fillId="0" borderId="14" xfId="0" applyFont="1" applyBorder="1" applyAlignment="1">
      <alignment horizontal="justify" vertical="center" wrapText="1"/>
    </xf>
    <xf numFmtId="0" fontId="8" fillId="0" borderId="3" xfId="0" applyFont="1" applyBorder="1" applyAlignment="1">
      <alignment horizontal="justify" vertical="center" wrapText="1"/>
    </xf>
    <xf numFmtId="0" fontId="8" fillId="0" borderId="15" xfId="0" applyFont="1" applyBorder="1" applyAlignment="1">
      <alignment horizontal="justify" vertical="center" wrapText="1"/>
    </xf>
    <xf numFmtId="0" fontId="3" fillId="0" borderId="5" xfId="0" applyFont="1" applyBorder="1" applyAlignment="1">
      <alignment horizontal="center" vertical="center"/>
    </xf>
    <xf numFmtId="0" fontId="0" fillId="0" borderId="4" xfId="0" applyBorder="1" applyAlignment="1">
      <alignment horizontal="left"/>
    </xf>
    <xf numFmtId="44" fontId="0" fillId="0" borderId="3" xfId="1" applyFont="1" applyBorder="1" applyAlignment="1">
      <alignment horizontal="center"/>
    </xf>
    <xf numFmtId="0" fontId="7" fillId="2" borderId="6" xfId="0" applyFont="1" applyFill="1" applyBorder="1" applyAlignment="1">
      <alignment horizontal="center" vertical="center" wrapText="1"/>
    </xf>
    <xf numFmtId="164" fontId="0" fillId="0" borderId="3" xfId="0" applyNumberFormat="1" applyBorder="1" applyAlignment="1">
      <alignment horizontal="center"/>
    </xf>
    <xf numFmtId="164" fontId="0" fillId="0" borderId="3" xfId="0" quotePrefix="1" applyNumberFormat="1" applyBorder="1" applyAlignment="1">
      <alignment horizontal="center"/>
    </xf>
    <xf numFmtId="0" fontId="0" fillId="0" borderId="3" xfId="0" applyBorder="1" applyAlignment="1">
      <alignment horizontal="center"/>
    </xf>
    <xf numFmtId="14" fontId="0" fillId="0" borderId="3" xfId="0" applyNumberFormat="1" applyBorder="1" applyAlignment="1">
      <alignment horizontal="center"/>
    </xf>
    <xf numFmtId="164" fontId="0" fillId="0" borderId="0" xfId="0" applyNumberFormat="1" applyAlignment="1">
      <alignment horizontal="center"/>
    </xf>
    <xf numFmtId="0" fontId="4" fillId="0" borderId="0" xfId="0" applyFont="1" applyAlignment="1">
      <alignment horizontal="center" vertical="center"/>
    </xf>
    <xf numFmtId="0" fontId="2" fillId="0" borderId="0" xfId="0" applyFont="1" applyAlignment="1">
      <alignment horizontal="center" wrapText="1"/>
    </xf>
    <xf numFmtId="0" fontId="4" fillId="0" borderId="0" xfId="0" applyFont="1" applyAlignment="1">
      <alignment horizontal="center"/>
    </xf>
    <xf numFmtId="0" fontId="5" fillId="0" borderId="0" xfId="0" applyFont="1" applyAlignment="1">
      <alignment horizontal="center"/>
    </xf>
    <xf numFmtId="0" fontId="5" fillId="0" borderId="1" xfId="0" applyFont="1" applyBorder="1" applyAlignment="1">
      <alignment horizontal="center"/>
    </xf>
    <xf numFmtId="0" fontId="0" fillId="0" borderId="2" xfId="0" applyBorder="1" applyAlignment="1">
      <alignment horizontal="left"/>
    </xf>
  </cellXfs>
  <cellStyles count="4">
    <cellStyle name="Currency" xfId="1" builtinId="4"/>
    <cellStyle name="Normal" xfId="0" builtinId="0"/>
    <cellStyle name="Normal 3" xfId="3" xr:uid="{A140D9B6-12DF-4DE7-9369-2DFD39F55667}"/>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133613</xdr:rowOff>
    </xdr:from>
    <xdr:to>
      <xdr:col>2</xdr:col>
      <xdr:colOff>702684</xdr:colOff>
      <xdr:row>5</xdr:row>
      <xdr:rowOff>21390</xdr:rowOff>
    </xdr:to>
    <xdr:pic>
      <xdr:nvPicPr>
        <xdr:cNvPr id="2" name="Picture 1">
          <a:extLst>
            <a:ext uri="{FF2B5EF4-FFF2-40B4-BE49-F238E27FC236}">
              <a16:creationId xmlns:a16="http://schemas.microsoft.com/office/drawing/2014/main" id="{772F1C1E-51AD-4DD5-A854-2261E2A5404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t="5080" b="5080"/>
        <a:stretch/>
      </xdr:blipFill>
      <xdr:spPr bwMode="auto">
        <a:xfrm>
          <a:off x="0" y="133613"/>
          <a:ext cx="1881403" cy="923621"/>
        </a:xfrm>
        <a:prstGeom prst="rect">
          <a:avLst/>
        </a:prstGeom>
        <a:noFill/>
        <a:ln>
          <a:noFill/>
        </a:ln>
        <a:extLst>
          <a:ext uri="{909E8E84-426E-40DD-AFC4-6F175D3DCCD1}">
            <a14:hiddenFill xmlns:a14="http://schemas.microsoft.com/office/drawing/2010/main">
              <a:solidFill>
                <a:schemeClr val="accent1"/>
              </a:solidFill>
            </a14:hiddenFill>
          </a:ext>
          <a:ext uri="{91240B29-F687-4F45-9708-019B960494DF}">
            <a14:hiddenLine xmlns:a14="http://schemas.microsoft.com/office/drawing/2010/main" w="9525">
              <a:solidFill>
                <a:schemeClr val="tx1"/>
              </a:solidFill>
              <a:miter lim="800000"/>
              <a:headEnd/>
              <a:tailEnd/>
            </a14:hiddenLine>
          </a:ext>
        </a:extLst>
      </xdr:spPr>
    </xdr:pic>
    <xdr:clientData/>
  </xdr:twoCellAnchor>
  <xdr:oneCellAnchor>
    <xdr:from>
      <xdr:col>10</xdr:col>
      <xdr:colOff>51511</xdr:colOff>
      <xdr:row>0</xdr:row>
      <xdr:rowOff>158750</xdr:rowOff>
    </xdr:from>
    <xdr:ext cx="1031693" cy="436786"/>
    <xdr:sp macro="" textlink="">
      <xdr:nvSpPr>
        <xdr:cNvPr id="3" name="TextBox 2">
          <a:extLst>
            <a:ext uri="{FF2B5EF4-FFF2-40B4-BE49-F238E27FC236}">
              <a16:creationId xmlns:a16="http://schemas.microsoft.com/office/drawing/2014/main" id="{93434A3F-BC80-4416-A1AD-BB499453AE32}"/>
            </a:ext>
          </a:extLst>
        </xdr:cNvPr>
        <xdr:cNvSpPr txBox="1"/>
      </xdr:nvSpPr>
      <xdr:spPr>
        <a:xfrm>
          <a:off x="8694496" y="160655"/>
          <a:ext cx="1031693" cy="436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1100" b="1">
              <a:solidFill>
                <a:sysClr val="windowText" lastClr="000000"/>
              </a:solidFill>
            </a:rPr>
            <a:t>ACT-117C</a:t>
          </a:r>
        </a:p>
        <a:p>
          <a:pPr algn="ctr"/>
          <a:r>
            <a:rPr lang="en-US" sz="1100"/>
            <a:t>(Rev. 03/2020</a:t>
          </a:r>
          <a:r>
            <a:rPr lang="en-US" sz="1100" baseline="0"/>
            <a:t>)</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15</xdr:col>
      <xdr:colOff>352425</xdr:colOff>
      <xdr:row>0</xdr:row>
      <xdr:rowOff>0</xdr:rowOff>
    </xdr:from>
    <xdr:to>
      <xdr:col>18</xdr:col>
      <xdr:colOff>19050</xdr:colOff>
      <xdr:row>2</xdr:row>
      <xdr:rowOff>45804</xdr:rowOff>
    </xdr:to>
    <xdr:sp macro="" textlink="">
      <xdr:nvSpPr>
        <xdr:cNvPr id="2" name="TextBox 1">
          <a:extLst>
            <a:ext uri="{FF2B5EF4-FFF2-40B4-BE49-F238E27FC236}">
              <a16:creationId xmlns:a16="http://schemas.microsoft.com/office/drawing/2014/main" id="{FAB8E75E-AFC3-44B6-9293-AAD838BD72F4}"/>
            </a:ext>
          </a:extLst>
        </xdr:cNvPr>
        <xdr:cNvSpPr txBox="1"/>
      </xdr:nvSpPr>
      <xdr:spPr>
        <a:xfrm>
          <a:off x="6536055" y="0"/>
          <a:ext cx="899160" cy="409659"/>
        </a:xfrm>
        <a:prstGeom prst="rect">
          <a:avLst/>
        </a:prstGeom>
        <a:noFill/>
        <a:ln w="9525" cmpd="sng">
          <a:noFill/>
        </a:ln>
        <a:effectLst/>
      </xdr:spPr>
      <xdr:txBody>
        <a:bodyPr wrap="square" rtlCol="0" anchor="t"/>
        <a:lstStyle/>
        <a:p>
          <a:pPr marL="0" marR="0" lvl="0" indent="0" algn="r" defTabSz="914400" eaLnBrk="1" fontAlgn="auto" latinLnBrk="0" hangingPunct="1">
            <a:lnSpc>
              <a:spcPct val="100000"/>
            </a:lnSpc>
            <a:spcBef>
              <a:spcPts val="0"/>
            </a:spcBef>
            <a:spcAft>
              <a:spcPts val="0"/>
            </a:spcAft>
            <a:buClrTx/>
            <a:buSzTx/>
            <a:buFontTx/>
            <a:buNone/>
            <a:tabLst/>
            <a:defRPr/>
          </a:pPr>
          <a:r>
            <a:rPr kumimoji="0" lang="en-US" sz="900" b="0" i="0" u="none" strike="noStrike" kern="0" cap="none" spc="0" normalizeH="0" baseline="0" noProof="0">
              <a:ln>
                <a:noFill/>
              </a:ln>
              <a:solidFill>
                <a:sysClr val="windowText" lastClr="000000"/>
              </a:solidFill>
              <a:effectLst/>
              <a:uLnTx/>
              <a:uFillTx/>
              <a:latin typeface="Calibri"/>
              <a:ea typeface="+mn-ea"/>
              <a:cs typeface="+mn-cs"/>
            </a:rPr>
            <a:t>ACT-117C</a:t>
          </a:r>
        </a:p>
        <a:p>
          <a:pPr marL="0" marR="0" lvl="0" indent="0" algn="r" defTabSz="914400" eaLnBrk="1" fontAlgn="auto" latinLnBrk="0" hangingPunct="1">
            <a:lnSpc>
              <a:spcPct val="100000"/>
            </a:lnSpc>
            <a:spcBef>
              <a:spcPts val="0"/>
            </a:spcBef>
            <a:spcAft>
              <a:spcPts val="0"/>
            </a:spcAft>
            <a:buClrTx/>
            <a:buSzTx/>
            <a:buFontTx/>
            <a:buNone/>
            <a:tabLst/>
            <a:defRPr/>
          </a:pPr>
          <a:r>
            <a:rPr kumimoji="0" lang="en-US" sz="900" b="0" i="0" u="none" strike="noStrike" kern="0" cap="none" spc="0" normalizeH="0" baseline="0" noProof="0">
              <a:ln>
                <a:noFill/>
              </a:ln>
              <a:solidFill>
                <a:sysClr val="windowText" lastClr="000000"/>
              </a:solidFill>
              <a:effectLst/>
              <a:uLnTx/>
              <a:uFillTx/>
              <a:latin typeface="Calibri"/>
              <a:ea typeface="+mn-ea"/>
              <a:cs typeface="+mn-cs"/>
            </a:rPr>
            <a:t>(Rev 03/2020)</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imaldonado\Documents\Acumenian,%20LLC\PRHTA\Emergency%20Projects\Templates%20ER%20PRojects%20Rev.%2011-02-2017%20incluyendo%20CCP.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CERTIFICACION%20DE%20PAGO%20Progress%20Payment%20Report/ACT-117C%20Monthly%20Progress%20Payment%20Report%20-Federal%20Projects.xlsx" TargetMode="External"/><Relationship Id="rId2" Type="http://schemas.openxmlformats.org/officeDocument/2006/relationships/externalLinkPath" Target="file:///G:\My%20Drive\M2A%20(GD)\CARRETERAS\DOCUMENTOS%20CARRETERAS\FORMAS%20Y%20DOCUMENTOS%20ACT\CERTIFICACION%20DE%20PAGO%20Progress%20Payment%20Report\ACT-117C%20Monthly%20Progress%20Payment%20Report%20-Federal%20Projects.xlsx" TargetMode="External"/><Relationship Id="rId1" Type="http://schemas.openxmlformats.org/officeDocument/2006/relationships/externalLinkPath" Target="/My%20Drive/M2A%20(GD)/CARRETERAS/DOCUMENTOS%20CARRETERAS/FORMAS%20Y%20DOCUMENTOS%20ACT/CERTIFICACION%20DE%20PAGO%20Progress%20Payment%20Report/ACT-117C%20Monthly%20Progress%20Payment%20Report%20-Federal%20Projec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idationLists"/>
      <sheetName val="Document Worksheet"/>
      <sheetName val="Unit Prices ER Projects"/>
      <sheetName val="TO1 # Approval Sheet "/>
      <sheetName val="TO #1 Checklist"/>
      <sheetName val="TO #2 Approval Sheet "/>
      <sheetName val="TO #2 Checklist "/>
      <sheetName val="TO #3 Approval Sheet "/>
      <sheetName val="TO #3 Checklist"/>
      <sheetName val="TO #4 Approval Sheet"/>
      <sheetName val="TO #4 Checklist "/>
      <sheetName val="TO #5 Approval Sheet"/>
      <sheetName val="TO #5 Checklist "/>
      <sheetName val="TO #6 Approval Sheet "/>
      <sheetName val="TO #6 Checklist"/>
      <sheetName val="TO #7 Approval Sheet"/>
      <sheetName val="TO #7 Checklist "/>
      <sheetName val="TO #8 Approval Sheet "/>
      <sheetName val="TO #8 Checklist "/>
      <sheetName val="TO #9 Approval Sheet "/>
      <sheetName val="TO #9 Checklist"/>
      <sheetName val="TO #10 Approval Sheet "/>
      <sheetName val="TO #10 Checklist"/>
      <sheetName val="TO #11 Approval Sheet "/>
      <sheetName val="TO #11 Checklist"/>
      <sheetName val="TO #12 Approval Sheet"/>
      <sheetName val="TO #12 Checklist"/>
      <sheetName val="TO #13 Approval Sheet"/>
      <sheetName val="TO #13 Checklist "/>
      <sheetName val="TO #14 Approval Sheet"/>
      <sheetName val="TO #14 Checklist "/>
      <sheetName val="TO #15 Approval Sheet"/>
      <sheetName val="TO #15 Checklist "/>
      <sheetName val="Monthly Task WP"/>
      <sheetName val="Monthly Progress Payment Report"/>
      <sheetName val="Sheet12"/>
      <sheetName val="Sheet3"/>
    </sheetNames>
    <sheetDataSet>
      <sheetData sheetId="0">
        <row r="5">
          <cell r="B5" t="str">
            <v>Spec No.</v>
          </cell>
        </row>
        <row r="6">
          <cell r="B6">
            <v>151</v>
          </cell>
        </row>
        <row r="7">
          <cell r="B7">
            <v>201</v>
          </cell>
        </row>
        <row r="8">
          <cell r="B8">
            <v>202</v>
          </cell>
        </row>
        <row r="9">
          <cell r="B9">
            <v>202</v>
          </cell>
        </row>
        <row r="10">
          <cell r="B10">
            <v>203</v>
          </cell>
        </row>
        <row r="11">
          <cell r="B11">
            <v>203</v>
          </cell>
        </row>
        <row r="12">
          <cell r="B12">
            <v>203</v>
          </cell>
        </row>
        <row r="13">
          <cell r="B13">
            <v>203</v>
          </cell>
        </row>
        <row r="14">
          <cell r="B14">
            <v>203</v>
          </cell>
        </row>
        <row r="15">
          <cell r="B15">
            <v>205</v>
          </cell>
        </row>
        <row r="16">
          <cell r="B16">
            <v>206</v>
          </cell>
        </row>
        <row r="17">
          <cell r="B17">
            <v>209</v>
          </cell>
        </row>
        <row r="18">
          <cell r="B18">
            <v>301</v>
          </cell>
        </row>
        <row r="19">
          <cell r="B19">
            <v>304</v>
          </cell>
        </row>
        <row r="20">
          <cell r="B20">
            <v>305</v>
          </cell>
        </row>
        <row r="21">
          <cell r="B21">
            <v>401</v>
          </cell>
        </row>
        <row r="22">
          <cell r="B22">
            <v>401</v>
          </cell>
        </row>
        <row r="23">
          <cell r="B23">
            <v>401</v>
          </cell>
        </row>
        <row r="24">
          <cell r="B24">
            <v>401</v>
          </cell>
        </row>
        <row r="25">
          <cell r="B25">
            <v>401</v>
          </cell>
        </row>
        <row r="26">
          <cell r="B26">
            <v>401</v>
          </cell>
        </row>
        <row r="27">
          <cell r="B27">
            <v>403</v>
          </cell>
        </row>
        <row r="28">
          <cell r="B28">
            <v>601</v>
          </cell>
        </row>
        <row r="29">
          <cell r="B29">
            <v>601</v>
          </cell>
        </row>
        <row r="30">
          <cell r="B30">
            <v>601</v>
          </cell>
        </row>
        <row r="31">
          <cell r="B31">
            <v>602</v>
          </cell>
        </row>
        <row r="32">
          <cell r="B32">
            <v>603</v>
          </cell>
        </row>
        <row r="33">
          <cell r="B33">
            <v>603</v>
          </cell>
        </row>
        <row r="34">
          <cell r="B34">
            <v>603</v>
          </cell>
        </row>
        <row r="35">
          <cell r="B35">
            <v>603</v>
          </cell>
        </row>
        <row r="36">
          <cell r="B36">
            <v>603</v>
          </cell>
        </row>
        <row r="37">
          <cell r="B37">
            <v>603</v>
          </cell>
        </row>
        <row r="38">
          <cell r="B38">
            <v>603</v>
          </cell>
        </row>
        <row r="39">
          <cell r="B39">
            <v>603</v>
          </cell>
        </row>
        <row r="40">
          <cell r="B40">
            <v>603</v>
          </cell>
        </row>
        <row r="41">
          <cell r="B41">
            <v>603</v>
          </cell>
        </row>
        <row r="42">
          <cell r="B42">
            <v>604</v>
          </cell>
        </row>
        <row r="43">
          <cell r="B43">
            <v>604</v>
          </cell>
        </row>
        <row r="44">
          <cell r="B44">
            <v>604</v>
          </cell>
        </row>
        <row r="45">
          <cell r="B45">
            <v>604</v>
          </cell>
        </row>
        <row r="46">
          <cell r="B46">
            <v>604</v>
          </cell>
        </row>
        <row r="47">
          <cell r="B47">
            <v>605</v>
          </cell>
        </row>
        <row r="48">
          <cell r="B48">
            <v>605</v>
          </cell>
        </row>
        <row r="49">
          <cell r="B49">
            <v>606</v>
          </cell>
        </row>
        <row r="50">
          <cell r="B50">
            <v>606</v>
          </cell>
        </row>
        <row r="51">
          <cell r="B51">
            <v>606</v>
          </cell>
        </row>
        <row r="52">
          <cell r="B52">
            <v>607</v>
          </cell>
        </row>
        <row r="53">
          <cell r="B53">
            <v>607</v>
          </cell>
        </row>
        <row r="54">
          <cell r="B54">
            <v>607</v>
          </cell>
        </row>
        <row r="55">
          <cell r="B55">
            <v>607</v>
          </cell>
        </row>
        <row r="56">
          <cell r="B56">
            <v>608</v>
          </cell>
        </row>
        <row r="57">
          <cell r="B57">
            <v>609</v>
          </cell>
        </row>
        <row r="58">
          <cell r="B58">
            <v>609</v>
          </cell>
        </row>
        <row r="59">
          <cell r="B59">
            <v>609</v>
          </cell>
        </row>
        <row r="60">
          <cell r="B60">
            <v>610</v>
          </cell>
        </row>
        <row r="61">
          <cell r="B61">
            <v>611</v>
          </cell>
        </row>
        <row r="62">
          <cell r="B62">
            <v>613</v>
          </cell>
        </row>
        <row r="63">
          <cell r="B63">
            <v>613</v>
          </cell>
        </row>
        <row r="64">
          <cell r="B64">
            <v>614</v>
          </cell>
        </row>
        <row r="65">
          <cell r="B65">
            <v>617</v>
          </cell>
        </row>
        <row r="66">
          <cell r="B66">
            <v>618</v>
          </cell>
        </row>
        <row r="67">
          <cell r="B67">
            <v>622</v>
          </cell>
        </row>
        <row r="68">
          <cell r="B68">
            <v>622</v>
          </cell>
        </row>
        <row r="69">
          <cell r="B69">
            <v>623</v>
          </cell>
        </row>
        <row r="70">
          <cell r="B70">
            <v>626</v>
          </cell>
        </row>
        <row r="71">
          <cell r="B71">
            <v>631</v>
          </cell>
        </row>
        <row r="72">
          <cell r="B72">
            <v>636</v>
          </cell>
        </row>
        <row r="73">
          <cell r="B73">
            <v>636</v>
          </cell>
        </row>
        <row r="74">
          <cell r="B74">
            <v>636</v>
          </cell>
        </row>
        <row r="75">
          <cell r="B75">
            <v>636</v>
          </cell>
        </row>
        <row r="76">
          <cell r="B76">
            <v>636</v>
          </cell>
        </row>
        <row r="77">
          <cell r="B77">
            <v>636</v>
          </cell>
        </row>
        <row r="78">
          <cell r="B78">
            <v>636</v>
          </cell>
        </row>
        <row r="79">
          <cell r="B79">
            <v>636</v>
          </cell>
        </row>
        <row r="80">
          <cell r="B80">
            <v>636</v>
          </cell>
        </row>
        <row r="81">
          <cell r="B81">
            <v>636</v>
          </cell>
        </row>
        <row r="82">
          <cell r="B82">
            <v>636</v>
          </cell>
        </row>
        <row r="83">
          <cell r="B83">
            <v>636</v>
          </cell>
        </row>
        <row r="84">
          <cell r="B84">
            <v>636</v>
          </cell>
        </row>
        <row r="85">
          <cell r="B85">
            <v>636</v>
          </cell>
        </row>
        <row r="86">
          <cell r="B86">
            <v>636</v>
          </cell>
        </row>
        <row r="87">
          <cell r="B87">
            <v>636</v>
          </cell>
        </row>
        <row r="88">
          <cell r="B88">
            <v>636</v>
          </cell>
        </row>
        <row r="89">
          <cell r="B89">
            <v>636</v>
          </cell>
        </row>
        <row r="90">
          <cell r="B90">
            <v>636</v>
          </cell>
        </row>
        <row r="91">
          <cell r="B91">
            <v>636</v>
          </cell>
        </row>
        <row r="92">
          <cell r="B92">
            <v>636</v>
          </cell>
        </row>
        <row r="93">
          <cell r="B93">
            <v>636</v>
          </cell>
        </row>
        <row r="94">
          <cell r="B94">
            <v>636</v>
          </cell>
        </row>
        <row r="95">
          <cell r="B95">
            <v>636</v>
          </cell>
        </row>
        <row r="96">
          <cell r="B96">
            <v>636</v>
          </cell>
        </row>
        <row r="97">
          <cell r="B97">
            <v>636</v>
          </cell>
        </row>
        <row r="98">
          <cell r="B98">
            <v>636</v>
          </cell>
        </row>
        <row r="99">
          <cell r="B99">
            <v>638</v>
          </cell>
        </row>
        <row r="100">
          <cell r="B100">
            <v>638</v>
          </cell>
        </row>
        <row r="101">
          <cell r="B101">
            <v>638</v>
          </cell>
        </row>
        <row r="102">
          <cell r="B102">
            <v>638</v>
          </cell>
        </row>
        <row r="103">
          <cell r="B103">
            <v>638</v>
          </cell>
        </row>
        <row r="104">
          <cell r="B104">
            <v>638</v>
          </cell>
        </row>
        <row r="105">
          <cell r="B105">
            <v>640</v>
          </cell>
        </row>
        <row r="106">
          <cell r="B106">
            <v>661</v>
          </cell>
        </row>
        <row r="107">
          <cell r="B107">
            <v>905</v>
          </cell>
        </row>
        <row r="108">
          <cell r="B108">
            <v>947</v>
          </cell>
        </row>
        <row r="109">
          <cell r="B109">
            <v>962</v>
          </cell>
        </row>
        <row r="110">
          <cell r="B110">
            <v>962</v>
          </cell>
        </row>
        <row r="111">
          <cell r="B111">
            <v>962</v>
          </cell>
        </row>
        <row r="112">
          <cell r="B112">
            <v>962</v>
          </cell>
        </row>
        <row r="113">
          <cell r="B113">
            <v>962</v>
          </cell>
        </row>
        <row r="114">
          <cell r="B114">
            <v>962</v>
          </cell>
        </row>
        <row r="115">
          <cell r="B115" t="str">
            <v>610&amp;607</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PPR- ACT-117C (p1)"/>
      <sheetName val="MPPR- ACT-117C (p2)"/>
      <sheetName val="MPPR- ACT-117C (p3)"/>
      <sheetName val="MPPR- ACT-117C (p4)"/>
      <sheetName val="MPPR- ACT-117C (p5)"/>
      <sheetName val="ACT-117C PAG atrás"/>
      <sheetName val="Instrucciones"/>
    </sheetNames>
    <sheetDataSet>
      <sheetData sheetId="0">
        <row r="19">
          <cell r="K19">
            <v>113215.20000000001</v>
          </cell>
        </row>
        <row r="20">
          <cell r="K20">
            <v>2529.92</v>
          </cell>
        </row>
        <row r="21">
          <cell r="K21">
            <v>17435.600000000002</v>
          </cell>
        </row>
        <row r="22">
          <cell r="K22">
            <v>1662.6000000000001</v>
          </cell>
        </row>
        <row r="23">
          <cell r="K23">
            <v>4765.2</v>
          </cell>
        </row>
        <row r="24">
          <cell r="K24">
            <v>23250</v>
          </cell>
        </row>
        <row r="25">
          <cell r="K25">
            <v>15000</v>
          </cell>
        </row>
        <row r="26">
          <cell r="K26">
            <v>2900</v>
          </cell>
        </row>
        <row r="27">
          <cell r="K27">
            <v>574</v>
          </cell>
        </row>
        <row r="28">
          <cell r="K28">
            <v>38400</v>
          </cell>
        </row>
        <row r="29">
          <cell r="K29">
            <v>300</v>
          </cell>
        </row>
      </sheetData>
      <sheetData sheetId="1">
        <row r="19">
          <cell r="K19">
            <v>300</v>
          </cell>
        </row>
        <row r="20">
          <cell r="K20">
            <v>450</v>
          </cell>
        </row>
        <row r="21">
          <cell r="K21">
            <v>1470</v>
          </cell>
        </row>
        <row r="22">
          <cell r="K22">
            <v>3600</v>
          </cell>
        </row>
        <row r="23">
          <cell r="K23">
            <v>400</v>
          </cell>
        </row>
        <row r="24">
          <cell r="K24">
            <v>2400</v>
          </cell>
        </row>
        <row r="25">
          <cell r="K25">
            <v>600</v>
          </cell>
        </row>
        <row r="26">
          <cell r="K26">
            <v>3600</v>
          </cell>
        </row>
        <row r="27">
          <cell r="K27">
            <v>375</v>
          </cell>
        </row>
        <row r="28">
          <cell r="K28">
            <v>650</v>
          </cell>
        </row>
        <row r="29">
          <cell r="K29">
            <v>2250</v>
          </cell>
        </row>
      </sheetData>
      <sheetData sheetId="2">
        <row r="19">
          <cell r="K19">
            <v>400</v>
          </cell>
        </row>
        <row r="20">
          <cell r="K20">
            <v>1776</v>
          </cell>
        </row>
        <row r="21">
          <cell r="K21">
            <v>7221.6</v>
          </cell>
        </row>
        <row r="22">
          <cell r="K22">
            <v>660</v>
          </cell>
        </row>
        <row r="23">
          <cell r="K23">
            <v>1925</v>
          </cell>
        </row>
        <row r="24">
          <cell r="K24">
            <v>10000</v>
          </cell>
        </row>
        <row r="25">
          <cell r="K25">
            <v>12000</v>
          </cell>
        </row>
        <row r="26">
          <cell r="K26">
            <v>1811.55</v>
          </cell>
        </row>
        <row r="27">
          <cell r="K27">
            <v>1811.55</v>
          </cell>
        </row>
        <row r="28">
          <cell r="K28">
            <v>2567.8200000000002</v>
          </cell>
        </row>
      </sheetData>
      <sheetData sheetId="3">
        <row r="19">
          <cell r="K19">
            <v>13000</v>
          </cell>
        </row>
        <row r="20">
          <cell r="K20">
            <v>179.22</v>
          </cell>
        </row>
        <row r="21">
          <cell r="K21">
            <v>15000</v>
          </cell>
        </row>
        <row r="22">
          <cell r="K22">
            <v>10000</v>
          </cell>
        </row>
        <row r="23">
          <cell r="K23">
            <v>44000</v>
          </cell>
        </row>
        <row r="24">
          <cell r="K24">
            <v>2100</v>
          </cell>
        </row>
        <row r="25">
          <cell r="K25">
            <v>6190.38</v>
          </cell>
        </row>
        <row r="26">
          <cell r="K26">
            <v>17100</v>
          </cell>
        </row>
        <row r="27">
          <cell r="K27">
            <v>5400</v>
          </cell>
        </row>
        <row r="28">
          <cell r="K28">
            <v>1400</v>
          </cell>
        </row>
      </sheetData>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CBA-316E-402C-98FD-1B02F4C352D5}">
  <dimension ref="A2:Q50"/>
  <sheetViews>
    <sheetView showGridLines="0" tabSelected="1" zoomScale="80" zoomScaleNormal="80" zoomScaleSheetLayoutView="120" workbookViewId="0">
      <selection activeCell="P9" sqref="P9:Q9"/>
    </sheetView>
  </sheetViews>
  <sheetFormatPr defaultColWidth="8.77734375" defaultRowHeight="14.4" x14ac:dyDescent="0.3"/>
  <cols>
    <col min="1" max="1" width="8.6640625" customWidth="1"/>
    <col min="2" max="2" width="8.44140625" customWidth="1"/>
    <col min="3" max="3" width="10.44140625" customWidth="1"/>
    <col min="4" max="4" width="13" customWidth="1"/>
    <col min="5" max="5" width="27.109375" customWidth="1"/>
    <col min="6" max="6" width="6.33203125" customWidth="1"/>
    <col min="7" max="7" width="9.6640625" customWidth="1"/>
    <col min="8" max="8" width="8.44140625" customWidth="1"/>
    <col min="9" max="9" width="19.33203125" customWidth="1"/>
    <col min="10" max="10" width="14.44140625" customWidth="1"/>
    <col min="11" max="11" width="17.6640625" customWidth="1"/>
    <col min="16" max="16" width="12.44140625" customWidth="1"/>
  </cols>
  <sheetData>
    <row r="2" spans="1:17" ht="23.25" customHeight="1" x14ac:dyDescent="0.3">
      <c r="A2" s="146" t="s">
        <v>0</v>
      </c>
      <c r="B2" s="146"/>
      <c r="C2" s="146"/>
      <c r="D2" s="146"/>
      <c r="E2" s="146"/>
      <c r="F2" s="146"/>
      <c r="G2" s="146"/>
      <c r="H2" s="146"/>
      <c r="I2" s="146"/>
      <c r="J2" s="146"/>
      <c r="K2" s="146"/>
      <c r="L2" s="147"/>
      <c r="M2" s="147"/>
      <c r="N2" s="147"/>
      <c r="O2" s="147"/>
      <c r="P2" s="147"/>
      <c r="Q2" s="147"/>
    </row>
    <row r="3" spans="1:17" ht="15.6" x14ac:dyDescent="0.3">
      <c r="A3" s="148" t="s">
        <v>1</v>
      </c>
      <c r="B3" s="148"/>
      <c r="C3" s="148"/>
      <c r="D3" s="148"/>
      <c r="E3" s="148"/>
      <c r="F3" s="148"/>
      <c r="G3" s="148"/>
      <c r="H3" s="148"/>
      <c r="I3" s="148"/>
      <c r="J3" s="148"/>
      <c r="K3" s="148"/>
      <c r="L3" s="147"/>
      <c r="M3" s="147"/>
      <c r="N3" s="147"/>
      <c r="O3" s="147"/>
      <c r="P3" s="147"/>
      <c r="Q3" s="147"/>
    </row>
    <row r="4" spans="1:17" ht="18" x14ac:dyDescent="0.35">
      <c r="A4" s="149" t="s">
        <v>2</v>
      </c>
      <c r="B4" s="149"/>
      <c r="C4" s="149"/>
      <c r="D4" s="149"/>
      <c r="E4" s="149"/>
      <c r="F4" s="149"/>
      <c r="G4" s="149"/>
      <c r="H4" s="149"/>
      <c r="I4" s="149"/>
      <c r="J4" s="149"/>
      <c r="K4" s="149"/>
    </row>
    <row r="5" spans="1:17" ht="11.55" customHeight="1" x14ac:dyDescent="0.35">
      <c r="A5" s="1"/>
      <c r="B5" s="1"/>
      <c r="C5" s="1"/>
      <c r="D5" s="1"/>
      <c r="E5" s="1"/>
      <c r="F5" s="1"/>
      <c r="G5" s="1"/>
      <c r="H5" s="1"/>
      <c r="I5" s="1"/>
      <c r="J5" s="1"/>
      <c r="K5" s="1"/>
    </row>
    <row r="6" spans="1:17" ht="18" customHeight="1" thickBot="1" x14ac:dyDescent="0.4">
      <c r="A6" s="150" t="s">
        <v>3</v>
      </c>
      <c r="B6" s="150"/>
      <c r="C6" s="150"/>
      <c r="D6" s="150"/>
      <c r="E6" s="150"/>
      <c r="F6" s="150"/>
      <c r="G6" s="150"/>
      <c r="H6" s="150"/>
      <c r="I6" s="150"/>
      <c r="J6" s="150"/>
      <c r="K6" s="150"/>
    </row>
    <row r="7" spans="1:17" ht="29.7" customHeight="1" thickTop="1" x14ac:dyDescent="0.3">
      <c r="A7" t="s">
        <v>4</v>
      </c>
      <c r="C7" s="151" t="s">
        <v>5</v>
      </c>
      <c r="D7" s="151"/>
      <c r="E7" s="151"/>
      <c r="F7" s="151"/>
      <c r="H7" t="s">
        <v>6</v>
      </c>
      <c r="J7" s="141">
        <v>44986</v>
      </c>
      <c r="K7" s="141"/>
    </row>
    <row r="8" spans="1:17" ht="27.45" customHeight="1" x14ac:dyDescent="0.3">
      <c r="A8" t="s">
        <v>7</v>
      </c>
      <c r="C8" s="2" t="s">
        <v>8</v>
      </c>
      <c r="D8" s="3"/>
      <c r="E8" s="3"/>
      <c r="F8" s="3"/>
      <c r="H8" t="s">
        <v>9</v>
      </c>
      <c r="J8" s="143">
        <v>8</v>
      </c>
      <c r="K8" s="143"/>
      <c r="P8" s="4"/>
    </row>
    <row r="9" spans="1:17" ht="26.25" customHeight="1" x14ac:dyDescent="0.3">
      <c r="A9" t="s">
        <v>10</v>
      </c>
      <c r="C9" s="138" t="s">
        <v>11</v>
      </c>
      <c r="D9" s="138"/>
      <c r="E9" s="138"/>
      <c r="F9" s="138"/>
      <c r="H9" t="s">
        <v>12</v>
      </c>
      <c r="J9" s="144">
        <v>44977</v>
      </c>
      <c r="K9" s="143"/>
      <c r="P9" s="145"/>
      <c r="Q9" s="145"/>
    </row>
    <row r="10" spans="1:17" ht="24.75" customHeight="1" x14ac:dyDescent="0.3">
      <c r="A10" t="s">
        <v>13</v>
      </c>
      <c r="C10" s="138" t="s">
        <v>14</v>
      </c>
      <c r="D10" s="138"/>
      <c r="E10" s="5"/>
      <c r="G10" s="6" t="s">
        <v>15</v>
      </c>
      <c r="H10" s="6"/>
      <c r="J10" s="141">
        <v>44348</v>
      </c>
      <c r="K10" s="141"/>
    </row>
    <row r="11" spans="1:17" ht="19.95" customHeight="1" x14ac:dyDescent="0.3">
      <c r="A11" t="s">
        <v>16</v>
      </c>
      <c r="C11" s="138" t="s">
        <v>17</v>
      </c>
      <c r="D11" s="138"/>
      <c r="G11" s="6" t="s">
        <v>18</v>
      </c>
      <c r="H11" s="6"/>
      <c r="J11" s="141">
        <v>44767</v>
      </c>
      <c r="K11" s="141"/>
    </row>
    <row r="12" spans="1:17" ht="19.95" customHeight="1" x14ac:dyDescent="0.3">
      <c r="A12" t="s">
        <v>19</v>
      </c>
      <c r="C12" s="138" t="s">
        <v>20</v>
      </c>
      <c r="D12" s="138"/>
      <c r="G12" s="6" t="s">
        <v>21</v>
      </c>
      <c r="H12" s="6"/>
      <c r="J12" s="142">
        <v>44812</v>
      </c>
      <c r="K12" s="141"/>
      <c r="O12" s="7"/>
    </row>
    <row r="13" spans="1:17" ht="19.95" customHeight="1" x14ac:dyDescent="0.3">
      <c r="A13" s="6" t="s">
        <v>22</v>
      </c>
      <c r="C13" s="138" t="s">
        <v>23</v>
      </c>
      <c r="D13" s="138"/>
      <c r="G13" s="6" t="s">
        <v>24</v>
      </c>
      <c r="H13" s="6"/>
      <c r="J13" s="139">
        <v>3137499</v>
      </c>
      <c r="K13" s="139"/>
    </row>
    <row r="14" spans="1:17" ht="19.95" customHeight="1" x14ac:dyDescent="0.3">
      <c r="A14" t="s">
        <v>25</v>
      </c>
      <c r="C14" s="138" t="s">
        <v>26</v>
      </c>
      <c r="D14" s="138"/>
      <c r="G14" s="6" t="s">
        <v>27</v>
      </c>
      <c r="H14" s="6"/>
      <c r="J14" s="139">
        <v>4027901</v>
      </c>
      <c r="K14" s="139"/>
    </row>
    <row r="15" spans="1:17" x14ac:dyDescent="0.3">
      <c r="H15" s="8"/>
    </row>
    <row r="17" spans="1:13" x14ac:dyDescent="0.3">
      <c r="A17" s="9">
        <v>17</v>
      </c>
      <c r="B17" s="9">
        <v>18</v>
      </c>
      <c r="C17" s="9">
        <v>19</v>
      </c>
      <c r="D17" s="9">
        <v>20</v>
      </c>
      <c r="E17" s="9">
        <v>21</v>
      </c>
      <c r="F17" s="9"/>
      <c r="G17" s="9"/>
      <c r="H17" s="9">
        <v>22</v>
      </c>
      <c r="I17" s="9">
        <v>23</v>
      </c>
      <c r="J17" s="9">
        <v>24</v>
      </c>
      <c r="K17" s="9">
        <v>25</v>
      </c>
    </row>
    <row r="18" spans="1:13" ht="43.5" customHeight="1" x14ac:dyDescent="0.3">
      <c r="A18" s="10" t="s">
        <v>28</v>
      </c>
      <c r="B18" s="10" t="s">
        <v>29</v>
      </c>
      <c r="C18" s="10" t="s">
        <v>30</v>
      </c>
      <c r="D18" s="10" t="s">
        <v>31</v>
      </c>
      <c r="E18" s="140" t="s">
        <v>32</v>
      </c>
      <c r="F18" s="140"/>
      <c r="G18" s="140"/>
      <c r="H18" s="10" t="s">
        <v>33</v>
      </c>
      <c r="I18" s="10" t="s">
        <v>34</v>
      </c>
      <c r="J18" s="10" t="s">
        <v>35</v>
      </c>
      <c r="K18" s="10" t="s">
        <v>36</v>
      </c>
    </row>
    <row r="19" spans="1:13" ht="26.25" customHeight="1" x14ac:dyDescent="0.3">
      <c r="A19" s="11">
        <v>108</v>
      </c>
      <c r="B19" s="12"/>
      <c r="C19" s="13" t="s">
        <v>37</v>
      </c>
      <c r="D19" s="11"/>
      <c r="E19" s="14" t="s">
        <v>38</v>
      </c>
      <c r="F19" s="15"/>
      <c r="G19" s="16"/>
      <c r="H19" s="11" t="s">
        <v>39</v>
      </c>
      <c r="I19" s="17">
        <v>19</v>
      </c>
      <c r="J19" s="18">
        <v>940</v>
      </c>
      <c r="K19" s="19">
        <f>I19*J19</f>
        <v>17860</v>
      </c>
    </row>
    <row r="20" spans="1:13" ht="24" customHeight="1" x14ac:dyDescent="0.3">
      <c r="A20" s="11">
        <v>114</v>
      </c>
      <c r="B20" s="12"/>
      <c r="C20" s="13" t="s">
        <v>40</v>
      </c>
      <c r="D20" s="11"/>
      <c r="E20" s="20" t="s">
        <v>41</v>
      </c>
      <c r="F20" s="21"/>
      <c r="G20" s="22"/>
      <c r="H20" s="11" t="s">
        <v>42</v>
      </c>
      <c r="I20" s="17">
        <v>300</v>
      </c>
      <c r="J20" s="18">
        <v>11</v>
      </c>
      <c r="K20" s="19">
        <f>I20*J20</f>
        <v>3300</v>
      </c>
    </row>
    <row r="21" spans="1:13" ht="30" customHeight="1" x14ac:dyDescent="0.3">
      <c r="A21" s="11">
        <v>116</v>
      </c>
      <c r="B21" s="12"/>
      <c r="C21" s="13" t="s">
        <v>43</v>
      </c>
      <c r="D21" s="11"/>
      <c r="E21" s="125" t="s">
        <v>44</v>
      </c>
      <c r="F21" s="126"/>
      <c r="G21" s="127"/>
      <c r="H21" s="11" t="s">
        <v>39</v>
      </c>
      <c r="I21" s="17">
        <v>2</v>
      </c>
      <c r="J21" s="23">
        <v>8000</v>
      </c>
      <c r="K21" s="19">
        <f>I21*J21</f>
        <v>16000</v>
      </c>
    </row>
    <row r="22" spans="1:13" ht="31.5" customHeight="1" x14ac:dyDescent="0.3">
      <c r="A22" s="11">
        <v>119</v>
      </c>
      <c r="B22" s="12"/>
      <c r="C22" s="13" t="s">
        <v>45</v>
      </c>
      <c r="D22" s="11"/>
      <c r="E22" s="125" t="s">
        <v>46</v>
      </c>
      <c r="F22" s="126"/>
      <c r="G22" s="127"/>
      <c r="H22" s="11" t="s">
        <v>39</v>
      </c>
      <c r="I22" s="17">
        <v>4</v>
      </c>
      <c r="J22" s="18">
        <v>27000</v>
      </c>
      <c r="K22" s="19">
        <f t="shared" ref="K22:K27" si="0">J22*I22</f>
        <v>108000</v>
      </c>
      <c r="M22" s="24"/>
    </row>
    <row r="23" spans="1:13" ht="30.75" customHeight="1" x14ac:dyDescent="0.3">
      <c r="A23" s="11">
        <v>132</v>
      </c>
      <c r="B23" s="12"/>
      <c r="C23" s="13" t="s">
        <v>47</v>
      </c>
      <c r="D23" s="11"/>
      <c r="E23" s="125" t="s">
        <v>48</v>
      </c>
      <c r="F23" s="126"/>
      <c r="G23" s="127"/>
      <c r="H23" s="11" t="s">
        <v>39</v>
      </c>
      <c r="I23" s="17">
        <v>3307.06</v>
      </c>
      <c r="J23" s="18">
        <v>130</v>
      </c>
      <c r="K23" s="19">
        <f t="shared" si="0"/>
        <v>429917.8</v>
      </c>
      <c r="M23" s="24"/>
    </row>
    <row r="24" spans="1:13" ht="24" customHeight="1" x14ac:dyDescent="0.3">
      <c r="A24" s="11">
        <v>134</v>
      </c>
      <c r="B24" s="12"/>
      <c r="C24" s="13" t="s">
        <v>49</v>
      </c>
      <c r="D24" s="11"/>
      <c r="E24" s="122" t="s">
        <v>50</v>
      </c>
      <c r="F24" s="123"/>
      <c r="G24" s="124"/>
      <c r="H24" s="11" t="s">
        <v>51</v>
      </c>
      <c r="I24" s="17">
        <v>296.33</v>
      </c>
      <c r="J24" s="23">
        <v>130</v>
      </c>
      <c r="K24" s="19">
        <f t="shared" si="0"/>
        <v>38522.9</v>
      </c>
    </row>
    <row r="25" spans="1:13" ht="24" customHeight="1" x14ac:dyDescent="0.3">
      <c r="A25" s="11">
        <v>139</v>
      </c>
      <c r="B25" s="12"/>
      <c r="C25" s="13" t="s">
        <v>52</v>
      </c>
      <c r="D25" s="11"/>
      <c r="E25" s="122" t="s">
        <v>53</v>
      </c>
      <c r="F25" s="123"/>
      <c r="G25" s="124"/>
      <c r="H25" s="11" t="s">
        <v>39</v>
      </c>
      <c r="I25" s="17">
        <v>5</v>
      </c>
      <c r="J25" s="23">
        <v>1560</v>
      </c>
      <c r="K25" s="19">
        <f t="shared" si="0"/>
        <v>7800</v>
      </c>
    </row>
    <row r="26" spans="1:13" ht="24.75" customHeight="1" x14ac:dyDescent="0.3">
      <c r="A26" s="11">
        <v>140</v>
      </c>
      <c r="B26" s="12"/>
      <c r="C26" s="13" t="s">
        <v>54</v>
      </c>
      <c r="D26" s="11"/>
      <c r="E26" s="122" t="s">
        <v>55</v>
      </c>
      <c r="F26" s="123"/>
      <c r="G26" s="124"/>
      <c r="H26" s="11" t="s">
        <v>39</v>
      </c>
      <c r="I26" s="17">
        <v>34</v>
      </c>
      <c r="J26" s="23">
        <v>272</v>
      </c>
      <c r="K26" s="19">
        <f t="shared" si="0"/>
        <v>9248</v>
      </c>
    </row>
    <row r="27" spans="1:13" ht="25.5" customHeight="1" x14ac:dyDescent="0.3">
      <c r="A27" s="11">
        <v>141</v>
      </c>
      <c r="B27" s="12"/>
      <c r="C27" s="13" t="s">
        <v>56</v>
      </c>
      <c r="D27" s="11"/>
      <c r="E27" s="125" t="s">
        <v>57</v>
      </c>
      <c r="F27" s="126"/>
      <c r="G27" s="127"/>
      <c r="H27" s="11" t="s">
        <v>58</v>
      </c>
      <c r="I27" s="17">
        <v>100</v>
      </c>
      <c r="J27" s="18">
        <v>112</v>
      </c>
      <c r="K27" s="19">
        <f t="shared" si="0"/>
        <v>11200</v>
      </c>
    </row>
    <row r="28" spans="1:13" ht="27" customHeight="1" x14ac:dyDescent="0.3">
      <c r="A28" s="11"/>
      <c r="B28" s="12"/>
      <c r="C28" s="13"/>
      <c r="D28" s="11"/>
      <c r="E28" s="25"/>
      <c r="F28" s="26"/>
      <c r="G28" s="27"/>
      <c r="H28" s="11"/>
      <c r="I28" s="17"/>
      <c r="J28" s="23"/>
      <c r="K28" s="19"/>
    </row>
    <row r="29" spans="1:13" ht="19.95" customHeight="1" x14ac:dyDescent="0.3">
      <c r="A29" s="128" t="s">
        <v>59</v>
      </c>
      <c r="B29" s="129"/>
      <c r="C29" s="129"/>
      <c r="D29" s="129"/>
      <c r="E29" s="129"/>
      <c r="F29" s="129"/>
      <c r="G29" s="129"/>
      <c r="H29" s="129"/>
      <c r="I29" s="129"/>
      <c r="J29" s="129"/>
      <c r="K29" s="130"/>
      <c r="M29" s="24"/>
    </row>
    <row r="30" spans="1:13" ht="19.95" customHeight="1" x14ac:dyDescent="0.3">
      <c r="A30" s="131"/>
      <c r="B30" s="132"/>
      <c r="C30" s="132"/>
      <c r="D30" s="132"/>
      <c r="E30" s="132"/>
      <c r="F30" s="132"/>
      <c r="G30" s="132"/>
      <c r="H30" s="132"/>
      <c r="I30" s="132"/>
      <c r="J30" s="132"/>
      <c r="K30" s="133"/>
    </row>
    <row r="31" spans="1:13" ht="54" customHeight="1" x14ac:dyDescent="0.3">
      <c r="A31" s="134"/>
      <c r="B31" s="135"/>
      <c r="C31" s="135"/>
      <c r="D31" s="135"/>
      <c r="E31" s="135"/>
      <c r="F31" s="135"/>
      <c r="G31" s="135"/>
      <c r="H31" s="135"/>
      <c r="I31" s="135"/>
      <c r="J31" s="135"/>
      <c r="K31" s="136"/>
    </row>
    <row r="32" spans="1:13" ht="16.95" customHeight="1" x14ac:dyDescent="0.3">
      <c r="A32" s="28"/>
      <c r="C32" s="9"/>
      <c r="D32" s="28"/>
      <c r="E32" s="137" t="s">
        <v>60</v>
      </c>
      <c r="F32" s="137"/>
      <c r="G32" s="29"/>
      <c r="H32" s="28"/>
      <c r="I32" s="7"/>
      <c r="J32" s="30"/>
      <c r="K32" s="31"/>
    </row>
    <row r="33" spans="1:11" s="33" customFormat="1" ht="25.2" customHeight="1" x14ac:dyDescent="0.3">
      <c r="A33" s="32"/>
      <c r="B33" s="32"/>
      <c r="E33"/>
      <c r="F33"/>
      <c r="G33"/>
      <c r="H33"/>
      <c r="I33" t="s">
        <v>61</v>
      </c>
      <c r="K33" s="34">
        <f>SUM('[2]MPPR- ACT-117C (p1)'!K19:K29)+SUM('[2]MPPR- ACT-117C (p2)'!K19:K29)+SUM('[2]MPPR- ACT-117C (p3)'!K19:K28)+SUM('[2]MPPR- ACT-117C (p4)'!K19:K28)+SUM('MPPR- ACT-117C (p5)'!K19:K27)</f>
        <v>1032519.3400000001</v>
      </c>
    </row>
    <row r="34" spans="1:11" s="33" customFormat="1" ht="25.2" customHeight="1" x14ac:dyDescent="0.3">
      <c r="A34" s="33" t="s">
        <v>62</v>
      </c>
      <c r="B34" s="32"/>
      <c r="D34" s="118" t="s">
        <v>63</v>
      </c>
      <c r="E34" s="118"/>
      <c r="F34" s="118"/>
      <c r="G34" s="118"/>
      <c r="I34" s="33" t="s">
        <v>64</v>
      </c>
      <c r="K34" s="35">
        <f>K33*0.05</f>
        <v>51625.967000000004</v>
      </c>
    </row>
    <row r="35" spans="1:11" s="33" customFormat="1" ht="25.2" customHeight="1" x14ac:dyDescent="0.3">
      <c r="A35" s="32"/>
      <c r="B35" s="32"/>
      <c r="D35" s="36" t="s">
        <v>65</v>
      </c>
      <c r="E35" s="36"/>
      <c r="F35" s="36"/>
      <c r="G35" s="36" t="s">
        <v>66</v>
      </c>
      <c r="I35" s="33" t="s">
        <v>67</v>
      </c>
      <c r="K35" s="37">
        <v>0</v>
      </c>
    </row>
    <row r="36" spans="1:11" s="33" customFormat="1" ht="25.2" customHeight="1" x14ac:dyDescent="0.3">
      <c r="A36" s="33" t="s">
        <v>68</v>
      </c>
      <c r="B36" s="32"/>
      <c r="D36" s="118" t="s">
        <v>69</v>
      </c>
      <c r="E36" s="118"/>
      <c r="F36" s="38"/>
      <c r="G36" s="39"/>
      <c r="I36" s="33" t="s">
        <v>70</v>
      </c>
      <c r="K36" s="40">
        <f>K33-K34</f>
        <v>980893.37300000014</v>
      </c>
    </row>
    <row r="37" spans="1:11" s="33" customFormat="1" ht="25.2" customHeight="1" x14ac:dyDescent="0.3">
      <c r="A37" s="32"/>
      <c r="B37" s="32"/>
      <c r="D37" s="41" t="s">
        <v>71</v>
      </c>
      <c r="E37" s="36"/>
      <c r="F37" s="36"/>
      <c r="G37" s="36" t="s">
        <v>66</v>
      </c>
      <c r="I37" s="33" t="s">
        <v>72</v>
      </c>
      <c r="K37" s="37">
        <v>-63897.5</v>
      </c>
    </row>
    <row r="38" spans="1:11" ht="25.2" customHeight="1" x14ac:dyDescent="0.3">
      <c r="A38" s="33" t="s">
        <v>73</v>
      </c>
      <c r="B38" s="32"/>
      <c r="C38" s="33"/>
      <c r="D38" s="119"/>
      <c r="E38" s="119"/>
      <c r="F38" s="42"/>
      <c r="G38" s="42"/>
      <c r="I38" s="33" t="s">
        <v>74</v>
      </c>
      <c r="K38" s="37"/>
    </row>
    <row r="39" spans="1:11" ht="33.75" customHeight="1" x14ac:dyDescent="0.3">
      <c r="A39" s="32"/>
      <c r="B39" s="32"/>
      <c r="C39" s="33"/>
      <c r="D39" s="120" t="s">
        <v>75</v>
      </c>
      <c r="E39" s="120"/>
      <c r="F39" s="121" t="s">
        <v>76</v>
      </c>
      <c r="G39" s="121"/>
      <c r="I39" s="33" t="s">
        <v>77</v>
      </c>
      <c r="K39" s="37">
        <v>0</v>
      </c>
    </row>
    <row r="40" spans="1:11" ht="25.2" customHeight="1" x14ac:dyDescent="0.3">
      <c r="A40" s="33" t="s">
        <v>78</v>
      </c>
      <c r="B40" s="32"/>
      <c r="C40" s="33"/>
      <c r="D40" s="118" t="s">
        <v>79</v>
      </c>
      <c r="E40" s="118"/>
      <c r="F40" s="38"/>
      <c r="G40" s="43"/>
      <c r="I40" s="33" t="s">
        <v>80</v>
      </c>
      <c r="K40" s="37">
        <v>0</v>
      </c>
    </row>
    <row r="41" spans="1:11" ht="25.2" customHeight="1" x14ac:dyDescent="0.3">
      <c r="A41" s="32"/>
      <c r="B41" s="32"/>
      <c r="C41" s="33"/>
      <c r="D41" s="36" t="s">
        <v>81</v>
      </c>
      <c r="E41" s="7"/>
      <c r="F41" s="121" t="s">
        <v>66</v>
      </c>
      <c r="G41" s="121"/>
      <c r="I41" s="33" t="s">
        <v>82</v>
      </c>
      <c r="K41" s="37">
        <v>0</v>
      </c>
    </row>
    <row r="42" spans="1:11" ht="25.2" customHeight="1" x14ac:dyDescent="0.3">
      <c r="A42" s="33" t="s">
        <v>83</v>
      </c>
      <c r="B42" s="32"/>
      <c r="C42" s="33"/>
      <c r="D42" s="118" t="s">
        <v>84</v>
      </c>
      <c r="E42" s="118"/>
      <c r="F42" s="38"/>
      <c r="G42" s="43"/>
      <c r="I42" s="33" t="s">
        <v>85</v>
      </c>
      <c r="K42" s="37">
        <v>0</v>
      </c>
    </row>
    <row r="43" spans="1:11" ht="25.2" customHeight="1" x14ac:dyDescent="0.3">
      <c r="A43" s="32"/>
      <c r="B43" s="32"/>
      <c r="C43" s="33"/>
      <c r="D43" s="36" t="s">
        <v>86</v>
      </c>
      <c r="E43" s="36"/>
      <c r="F43" s="36"/>
      <c r="G43" s="36" t="s">
        <v>66</v>
      </c>
      <c r="I43" s="33" t="s">
        <v>87</v>
      </c>
      <c r="K43" s="37">
        <v>0</v>
      </c>
    </row>
    <row r="44" spans="1:11" ht="25.2" customHeight="1" x14ac:dyDescent="0.3"/>
    <row r="45" spans="1:11" ht="25.2" customHeight="1" x14ac:dyDescent="0.3">
      <c r="A45" s="33" t="s">
        <v>88</v>
      </c>
      <c r="B45" s="32"/>
      <c r="C45" s="33"/>
      <c r="D45" s="118" t="s">
        <v>89</v>
      </c>
      <c r="E45" s="118"/>
      <c r="F45" s="38"/>
      <c r="G45" s="43"/>
      <c r="I45" s="33" t="s">
        <v>90</v>
      </c>
      <c r="K45" s="44">
        <f>SUM(K36:K43)</f>
        <v>916995.87300000014</v>
      </c>
    </row>
    <row r="46" spans="1:11" ht="25.2" customHeight="1" x14ac:dyDescent="0.3">
      <c r="A46" s="32"/>
      <c r="B46" s="32"/>
      <c r="C46" s="33"/>
      <c r="D46" s="36" t="s">
        <v>91</v>
      </c>
      <c r="E46" s="36"/>
      <c r="F46" s="36"/>
      <c r="G46" s="36" t="s">
        <v>66</v>
      </c>
      <c r="I46" s="33" t="s">
        <v>92</v>
      </c>
      <c r="K46" s="45"/>
    </row>
    <row r="47" spans="1:11" ht="25.2" customHeight="1" x14ac:dyDescent="0.3"/>
    <row r="48" spans="1:11" ht="25.2" customHeight="1" x14ac:dyDescent="0.3">
      <c r="A48" t="s">
        <v>93</v>
      </c>
      <c r="E48" s="46"/>
    </row>
    <row r="49" spans="1:5" ht="25.2" customHeight="1" x14ac:dyDescent="0.3"/>
    <row r="50" spans="1:5" ht="25.2" customHeight="1" x14ac:dyDescent="0.3">
      <c r="A50" t="s">
        <v>94</v>
      </c>
      <c r="E50" s="46"/>
    </row>
  </sheetData>
  <mergeCells count="40">
    <mergeCell ref="C7:F7"/>
    <mergeCell ref="J7:K7"/>
    <mergeCell ref="A2:K2"/>
    <mergeCell ref="L2:Q3"/>
    <mergeCell ref="A3:K3"/>
    <mergeCell ref="A4:K4"/>
    <mergeCell ref="A6:K6"/>
    <mergeCell ref="J8:K8"/>
    <mergeCell ref="C9:F9"/>
    <mergeCell ref="J9:K9"/>
    <mergeCell ref="P9:Q9"/>
    <mergeCell ref="C10:D10"/>
    <mergeCell ref="J10:K10"/>
    <mergeCell ref="C11:D11"/>
    <mergeCell ref="J11:K11"/>
    <mergeCell ref="C12:D12"/>
    <mergeCell ref="J12:K12"/>
    <mergeCell ref="C13:D13"/>
    <mergeCell ref="J13:K13"/>
    <mergeCell ref="E32:F32"/>
    <mergeCell ref="C14:D14"/>
    <mergeCell ref="J14:K14"/>
    <mergeCell ref="E18:G18"/>
    <mergeCell ref="E21:G21"/>
    <mergeCell ref="E22:G22"/>
    <mergeCell ref="E23:G23"/>
    <mergeCell ref="E24:G24"/>
    <mergeCell ref="E25:G25"/>
    <mergeCell ref="E26:G26"/>
    <mergeCell ref="E27:G27"/>
    <mergeCell ref="A29:K31"/>
    <mergeCell ref="D42:E42"/>
    <mergeCell ref="D45:E45"/>
    <mergeCell ref="D38:E38"/>
    <mergeCell ref="D34:G34"/>
    <mergeCell ref="D36:E36"/>
    <mergeCell ref="D39:E39"/>
    <mergeCell ref="F39:G39"/>
    <mergeCell ref="D40:E40"/>
    <mergeCell ref="F41:G41"/>
  </mergeCells>
  <printOptions horizontalCentered="1"/>
  <pageMargins left="0.7" right="0.7" top="0.25" bottom="0.25" header="0.05" footer="0.3"/>
  <pageSetup scale="60" fitToHeight="0" orientation="portrait" r:id="rId1"/>
  <headerFooter differentFirst="1">
    <oddFooter>&amp;RPage &amp;P of &amp;N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41E21D-C871-4EFC-BA29-C42653AEB147}">
  <sheetPr>
    <pageSetUpPr fitToPage="1"/>
  </sheetPr>
  <dimension ref="A1:S52"/>
  <sheetViews>
    <sheetView showGridLines="0" view="pageBreakPreview" zoomScaleSheetLayoutView="100" workbookViewId="0">
      <selection activeCell="B47" sqref="B47:R47"/>
    </sheetView>
  </sheetViews>
  <sheetFormatPr defaultColWidth="8.77734375" defaultRowHeight="14.4" x14ac:dyDescent="0.3"/>
  <cols>
    <col min="1" max="1" width="2.33203125" customWidth="1"/>
    <col min="3" max="3" width="4.33203125" customWidth="1"/>
    <col min="4" max="4" width="5.44140625" customWidth="1"/>
    <col min="6" max="6" width="9.109375" customWidth="1"/>
    <col min="7" max="9" width="6.6640625" customWidth="1"/>
    <col min="10" max="10" width="4.109375" customWidth="1"/>
    <col min="11" max="12" width="6.6640625" customWidth="1"/>
    <col min="13" max="13" width="1.6640625" customWidth="1"/>
    <col min="14" max="16" width="6.109375" customWidth="1"/>
    <col min="17" max="18" width="6" customWidth="1"/>
  </cols>
  <sheetData>
    <row r="1" spans="1:19" x14ac:dyDescent="0.3">
      <c r="A1" s="47"/>
      <c r="B1" s="47"/>
      <c r="C1" s="47"/>
      <c r="D1" s="47"/>
      <c r="E1" s="47"/>
      <c r="F1" s="47"/>
      <c r="G1" s="47"/>
      <c r="H1" s="47"/>
      <c r="I1" s="47"/>
      <c r="J1" s="47"/>
      <c r="K1" s="47"/>
      <c r="L1" s="47"/>
      <c r="M1" s="47"/>
      <c r="N1" s="47"/>
      <c r="O1" s="47"/>
      <c r="P1" s="47"/>
      <c r="Q1" s="47"/>
      <c r="R1" s="47"/>
      <c r="S1" s="47"/>
    </row>
    <row r="2" spans="1:19" x14ac:dyDescent="0.3">
      <c r="A2" s="47"/>
      <c r="B2" s="47"/>
      <c r="C2" s="47"/>
      <c r="D2" s="47"/>
      <c r="E2" s="47"/>
      <c r="F2" s="47"/>
      <c r="G2" s="47"/>
      <c r="H2" s="47"/>
      <c r="I2" s="47"/>
      <c r="J2" s="47"/>
      <c r="K2" s="47"/>
      <c r="L2" s="47"/>
      <c r="M2" s="47"/>
      <c r="N2" s="47"/>
      <c r="O2" s="47"/>
      <c r="P2" s="47"/>
      <c r="Q2" s="47"/>
      <c r="R2" s="47"/>
      <c r="S2" s="47"/>
    </row>
    <row r="3" spans="1:19" x14ac:dyDescent="0.3">
      <c r="A3" s="47"/>
      <c r="B3" s="47"/>
      <c r="C3" s="47"/>
      <c r="D3" s="47"/>
      <c r="E3" s="47"/>
      <c r="F3" s="47"/>
      <c r="G3" s="47"/>
      <c r="H3" s="47"/>
      <c r="I3" s="47"/>
      <c r="J3" s="47"/>
      <c r="K3" s="47"/>
      <c r="L3" s="47"/>
      <c r="M3" s="47"/>
      <c r="N3" s="47"/>
      <c r="O3" s="47"/>
      <c r="P3" s="47"/>
      <c r="Q3" s="47"/>
      <c r="R3" s="47"/>
      <c r="S3" s="47"/>
    </row>
    <row r="4" spans="1:19" x14ac:dyDescent="0.3">
      <c r="A4" s="47"/>
      <c r="B4" s="108" t="s">
        <v>95</v>
      </c>
      <c r="C4" s="109"/>
      <c r="D4" s="109"/>
      <c r="E4" s="109"/>
      <c r="F4" s="109"/>
      <c r="G4" s="109"/>
      <c r="H4" s="109"/>
      <c r="I4" s="109"/>
      <c r="J4" s="109"/>
      <c r="K4" s="109"/>
      <c r="L4" s="109"/>
      <c r="M4" s="109"/>
      <c r="N4" s="109"/>
      <c r="O4" s="109"/>
      <c r="P4" s="109"/>
      <c r="Q4" s="109"/>
      <c r="R4" s="110"/>
      <c r="S4" s="47"/>
    </row>
    <row r="5" spans="1:19" x14ac:dyDescent="0.3">
      <c r="A5" s="47"/>
      <c r="B5" s="48"/>
      <c r="C5" s="47"/>
      <c r="D5" s="47"/>
      <c r="E5" s="47"/>
      <c r="F5" s="47"/>
      <c r="G5" s="47"/>
      <c r="H5" s="47"/>
      <c r="I5" s="47"/>
      <c r="J5" s="47"/>
      <c r="K5" s="47"/>
      <c r="L5" s="47"/>
      <c r="M5" s="47"/>
      <c r="N5" s="47"/>
      <c r="O5" s="47"/>
      <c r="P5" s="47"/>
      <c r="Q5" s="47"/>
      <c r="R5" s="49"/>
      <c r="S5" s="47"/>
    </row>
    <row r="6" spans="1:19" x14ac:dyDescent="0.3">
      <c r="A6" s="47"/>
      <c r="B6" s="48" t="s">
        <v>96</v>
      </c>
      <c r="C6" s="47"/>
      <c r="D6" s="47"/>
      <c r="E6" s="47"/>
      <c r="F6" s="47"/>
      <c r="G6" s="47"/>
      <c r="H6" s="115">
        <v>44813</v>
      </c>
      <c r="I6" s="115"/>
      <c r="J6" s="50" t="s">
        <v>97</v>
      </c>
      <c r="K6" s="115">
        <v>44977</v>
      </c>
      <c r="L6" s="115"/>
      <c r="M6" s="51"/>
      <c r="N6" s="47" t="s">
        <v>98</v>
      </c>
      <c r="O6" s="47"/>
      <c r="P6" s="47"/>
      <c r="Q6" s="47"/>
      <c r="R6" s="49"/>
      <c r="S6" s="47">
        <f>K6-H6</f>
        <v>164</v>
      </c>
    </row>
    <row r="7" spans="1:19" x14ac:dyDescent="0.3">
      <c r="A7" s="47"/>
      <c r="B7" s="48"/>
      <c r="C7" s="47"/>
      <c r="D7" s="47"/>
      <c r="E7" s="47"/>
      <c r="F7" s="47"/>
      <c r="G7" s="47"/>
      <c r="H7" s="103">
        <v>47</v>
      </c>
      <c r="I7" s="103"/>
      <c r="J7" s="50"/>
      <c r="K7" s="103">
        <v>48</v>
      </c>
      <c r="L7" s="103"/>
      <c r="M7" s="52"/>
      <c r="N7" s="47"/>
      <c r="O7" s="47"/>
      <c r="P7" s="47"/>
      <c r="Q7" s="47"/>
      <c r="R7" s="49"/>
      <c r="S7" s="47"/>
    </row>
    <row r="8" spans="1:19" x14ac:dyDescent="0.3">
      <c r="A8" s="47"/>
      <c r="B8" s="48" t="s">
        <v>99</v>
      </c>
      <c r="C8" s="116">
        <v>164</v>
      </c>
      <c r="D8" s="116"/>
      <c r="E8" s="50" t="s">
        <v>100</v>
      </c>
      <c r="F8" s="53">
        <v>2000</v>
      </c>
      <c r="G8" s="105" t="s">
        <v>101</v>
      </c>
      <c r="H8" s="105"/>
      <c r="I8" s="54"/>
      <c r="J8" s="47">
        <v>3</v>
      </c>
      <c r="K8" s="114" t="s">
        <v>102</v>
      </c>
      <c r="L8" s="114"/>
      <c r="M8" s="55"/>
      <c r="N8" s="117">
        <f>C8*F8</f>
        <v>328000</v>
      </c>
      <c r="O8" s="117"/>
      <c r="P8" s="117"/>
      <c r="Q8" s="47"/>
      <c r="R8" s="49"/>
      <c r="S8" s="47"/>
    </row>
    <row r="9" spans="1:19" x14ac:dyDescent="0.3">
      <c r="A9" s="47"/>
      <c r="B9" s="48"/>
      <c r="C9" s="103">
        <v>49</v>
      </c>
      <c r="D9" s="103"/>
      <c r="E9" s="47"/>
      <c r="F9" s="56">
        <v>50</v>
      </c>
      <c r="G9" s="47"/>
      <c r="H9" s="47"/>
      <c r="I9" s="47"/>
      <c r="J9" s="57"/>
      <c r="K9" s="47"/>
      <c r="L9" s="47"/>
      <c r="M9" s="47"/>
      <c r="N9" s="103">
        <v>51</v>
      </c>
      <c r="O9" s="103"/>
      <c r="P9" s="103"/>
      <c r="Q9" s="47"/>
      <c r="R9" s="49"/>
      <c r="S9" s="47"/>
    </row>
    <row r="10" spans="1:19" x14ac:dyDescent="0.3">
      <c r="A10" s="47"/>
      <c r="B10" s="104" t="s">
        <v>103</v>
      </c>
      <c r="C10" s="105"/>
      <c r="D10" s="106">
        <v>0</v>
      </c>
      <c r="E10" s="106"/>
      <c r="F10" s="112"/>
      <c r="G10" s="112"/>
      <c r="H10" s="112"/>
      <c r="I10" s="112"/>
      <c r="J10" s="114" t="s">
        <v>104</v>
      </c>
      <c r="K10" s="114"/>
      <c r="L10" s="114"/>
      <c r="M10" s="55"/>
      <c r="N10" s="91">
        <v>370000</v>
      </c>
      <c r="O10" s="91"/>
      <c r="P10" s="91"/>
      <c r="Q10" s="47"/>
      <c r="R10" s="49"/>
      <c r="S10" s="47"/>
    </row>
    <row r="11" spans="1:19" x14ac:dyDescent="0.3">
      <c r="A11" s="47"/>
      <c r="B11" s="48"/>
      <c r="C11" s="47"/>
      <c r="D11" s="107">
        <v>52</v>
      </c>
      <c r="E11" s="107"/>
      <c r="F11" s="47"/>
      <c r="G11" s="47"/>
      <c r="H11" s="47"/>
      <c r="I11" s="47"/>
      <c r="J11" s="47"/>
      <c r="K11" s="47"/>
      <c r="L11" s="47"/>
      <c r="M11" s="47"/>
      <c r="N11" s="107">
        <v>53</v>
      </c>
      <c r="O11" s="107"/>
      <c r="P11" s="107"/>
      <c r="Q11" s="47"/>
      <c r="R11" s="49"/>
      <c r="S11" s="47"/>
    </row>
    <row r="12" spans="1:19" x14ac:dyDescent="0.3">
      <c r="A12" s="47"/>
      <c r="B12" s="108" t="s">
        <v>105</v>
      </c>
      <c r="C12" s="109"/>
      <c r="D12" s="109"/>
      <c r="E12" s="109"/>
      <c r="F12" s="109"/>
      <c r="G12" s="109"/>
      <c r="H12" s="109"/>
      <c r="I12" s="109"/>
      <c r="J12" s="109"/>
      <c r="K12" s="109"/>
      <c r="L12" s="109"/>
      <c r="M12" s="109"/>
      <c r="N12" s="109"/>
      <c r="O12" s="109"/>
      <c r="P12" s="109"/>
      <c r="Q12" s="109"/>
      <c r="R12" s="110"/>
      <c r="S12" s="47"/>
    </row>
    <row r="13" spans="1:19" x14ac:dyDescent="0.3">
      <c r="A13" s="47"/>
      <c r="B13" s="48"/>
      <c r="C13" s="47"/>
      <c r="D13" s="47"/>
      <c r="E13" s="47"/>
      <c r="F13" s="47"/>
      <c r="G13" s="47"/>
      <c r="H13" s="47"/>
      <c r="I13" s="47"/>
      <c r="J13" s="47"/>
      <c r="K13" s="47"/>
      <c r="L13" s="47"/>
      <c r="M13" s="47"/>
      <c r="N13" s="47"/>
      <c r="O13" s="47"/>
      <c r="P13" s="47"/>
      <c r="Q13" s="47"/>
      <c r="R13" s="58"/>
      <c r="S13" s="47"/>
    </row>
    <row r="14" spans="1:19" x14ac:dyDescent="0.3">
      <c r="A14" s="47"/>
      <c r="B14" s="48" t="s">
        <v>106</v>
      </c>
      <c r="C14" s="47"/>
      <c r="D14" s="47"/>
      <c r="E14" s="47"/>
      <c r="F14" s="47"/>
      <c r="G14" s="111"/>
      <c r="H14" s="111"/>
      <c r="I14" s="112" t="s">
        <v>100</v>
      </c>
      <c r="J14" s="112"/>
      <c r="K14" s="113"/>
      <c r="L14" s="113"/>
      <c r="M14" s="59"/>
      <c r="N14" s="60" t="s">
        <v>107</v>
      </c>
      <c r="O14" s="47"/>
      <c r="P14" s="47"/>
      <c r="Q14" s="47"/>
      <c r="R14" s="49"/>
      <c r="S14" s="47"/>
    </row>
    <row r="15" spans="1:19" x14ac:dyDescent="0.3">
      <c r="A15" s="47"/>
      <c r="B15" s="48"/>
      <c r="C15" s="47"/>
      <c r="D15" s="47"/>
      <c r="E15" s="47"/>
      <c r="F15" s="47"/>
      <c r="G15" s="103">
        <v>54</v>
      </c>
      <c r="H15" s="103"/>
      <c r="I15" s="47"/>
      <c r="J15" s="47"/>
      <c r="K15" s="103">
        <v>55</v>
      </c>
      <c r="L15" s="103"/>
      <c r="M15" s="47"/>
      <c r="N15" s="47"/>
      <c r="O15" s="47"/>
      <c r="P15" s="47"/>
      <c r="Q15" s="47"/>
      <c r="R15" s="49"/>
      <c r="S15" s="47"/>
    </row>
    <row r="16" spans="1:19" x14ac:dyDescent="0.3">
      <c r="A16" s="47"/>
      <c r="B16" s="104" t="s">
        <v>104</v>
      </c>
      <c r="C16" s="105"/>
      <c r="D16" s="91"/>
      <c r="E16" s="91"/>
      <c r="F16" s="47"/>
      <c r="G16" s="47"/>
      <c r="H16" s="47"/>
      <c r="I16" s="47"/>
      <c r="J16" s="47"/>
      <c r="K16" s="47"/>
      <c r="L16" s="47"/>
      <c r="M16" s="47"/>
      <c r="N16" s="47"/>
      <c r="O16" s="47"/>
      <c r="P16" s="47"/>
      <c r="Q16" s="47"/>
      <c r="R16" s="49"/>
      <c r="S16" s="47"/>
    </row>
    <row r="17" spans="1:19" x14ac:dyDescent="0.3">
      <c r="A17" s="47"/>
      <c r="B17" s="48"/>
      <c r="C17" s="61"/>
      <c r="D17" s="103">
        <v>56</v>
      </c>
      <c r="E17" s="103"/>
      <c r="F17" s="47"/>
      <c r="G17" s="47"/>
      <c r="H17" s="47"/>
      <c r="I17" s="47"/>
      <c r="J17" s="47"/>
      <c r="K17" s="47"/>
      <c r="L17" s="47"/>
      <c r="M17" s="47"/>
      <c r="N17" s="47"/>
      <c r="O17" s="47"/>
      <c r="P17" s="47"/>
      <c r="Q17" s="47"/>
      <c r="R17" s="49"/>
      <c r="S17" s="47"/>
    </row>
    <row r="18" spans="1:19" x14ac:dyDescent="0.3">
      <c r="A18" s="47"/>
      <c r="B18" s="104" t="s">
        <v>103</v>
      </c>
      <c r="C18" s="105"/>
      <c r="D18" s="106"/>
      <c r="E18" s="106"/>
      <c r="F18" s="47"/>
      <c r="G18" s="47"/>
      <c r="H18" s="47"/>
      <c r="I18" s="47"/>
      <c r="J18" s="47"/>
      <c r="K18" s="105" t="s">
        <v>102</v>
      </c>
      <c r="L18" s="105"/>
      <c r="M18" s="105"/>
      <c r="N18" s="91"/>
      <c r="O18" s="91"/>
      <c r="P18" s="91"/>
      <c r="Q18" s="47"/>
      <c r="R18" s="49"/>
      <c r="S18" s="47"/>
    </row>
    <row r="19" spans="1:19" x14ac:dyDescent="0.3">
      <c r="A19" s="47">
        <v>1</v>
      </c>
      <c r="B19" s="47"/>
      <c r="C19" s="47"/>
      <c r="D19" s="47"/>
      <c r="E19" s="47"/>
      <c r="F19" s="47"/>
      <c r="G19" s="47"/>
      <c r="H19" s="47" t="s">
        <v>58</v>
      </c>
      <c r="I19" s="47"/>
      <c r="J19" s="47"/>
      <c r="K19" s="47"/>
      <c r="L19" s="47"/>
      <c r="M19" s="47"/>
      <c r="N19" s="47"/>
      <c r="O19" s="47"/>
      <c r="P19" s="47"/>
      <c r="Q19" s="47"/>
      <c r="R19" s="47"/>
      <c r="S19" s="47"/>
    </row>
    <row r="20" spans="1:19" x14ac:dyDescent="0.3">
      <c r="A20" s="47">
        <v>36</v>
      </c>
      <c r="B20" s="92" t="s">
        <v>108</v>
      </c>
      <c r="C20" s="93"/>
      <c r="D20" s="94"/>
      <c r="E20" s="95"/>
      <c r="F20" s="95"/>
      <c r="G20" s="95"/>
      <c r="H20" s="95"/>
      <c r="I20" s="95"/>
      <c r="J20" s="95"/>
      <c r="K20" s="95"/>
      <c r="L20" s="95"/>
      <c r="M20" s="95"/>
      <c r="N20" s="95"/>
      <c r="O20" s="95"/>
      <c r="P20" s="95"/>
      <c r="Q20" s="95"/>
      <c r="R20" s="96"/>
      <c r="S20" s="47"/>
    </row>
    <row r="21" spans="1:19" ht="15" customHeight="1" x14ac:dyDescent="0.3">
      <c r="A21" s="47">
        <v>90</v>
      </c>
      <c r="B21" s="80"/>
      <c r="C21" s="81"/>
      <c r="D21" s="81"/>
      <c r="E21" s="81"/>
      <c r="F21" s="81"/>
      <c r="G21" s="81"/>
      <c r="H21" s="81"/>
      <c r="I21" s="81"/>
      <c r="J21" s="81"/>
      <c r="K21" s="81"/>
      <c r="L21" s="81"/>
      <c r="M21" s="81"/>
      <c r="N21" s="81"/>
      <c r="O21" s="81"/>
      <c r="P21" s="81"/>
      <c r="Q21" s="81"/>
      <c r="R21" s="82"/>
      <c r="S21" s="47"/>
    </row>
    <row r="22" spans="1:19" ht="15" x14ac:dyDescent="0.3">
      <c r="A22" s="47">
        <v>101</v>
      </c>
      <c r="B22" s="97"/>
      <c r="C22" s="98"/>
      <c r="D22" s="98"/>
      <c r="E22" s="98"/>
      <c r="F22" s="98"/>
      <c r="G22" s="98"/>
      <c r="H22" s="98"/>
      <c r="I22" s="98"/>
      <c r="J22" s="98"/>
      <c r="K22" s="98"/>
      <c r="L22" s="98"/>
      <c r="M22" s="98"/>
      <c r="N22" s="98"/>
      <c r="O22" s="98"/>
      <c r="P22" s="98"/>
      <c r="Q22" s="98"/>
      <c r="R22" s="99"/>
      <c r="S22" s="47"/>
    </row>
    <row r="23" spans="1:19" ht="15" customHeight="1" x14ac:dyDescent="0.3">
      <c r="A23" s="47"/>
      <c r="B23" s="62"/>
      <c r="C23" s="65"/>
      <c r="D23" s="63"/>
      <c r="E23" s="63"/>
      <c r="F23" s="63"/>
      <c r="G23" s="63"/>
      <c r="H23" s="63"/>
      <c r="I23" s="63"/>
      <c r="J23" s="63"/>
      <c r="K23" s="63"/>
      <c r="L23" s="63"/>
      <c r="M23" s="63"/>
      <c r="N23" s="63"/>
      <c r="O23" s="63"/>
      <c r="P23" s="63"/>
      <c r="Q23" s="63"/>
      <c r="R23" s="64"/>
      <c r="S23" s="47"/>
    </row>
    <row r="24" spans="1:19" ht="15" customHeight="1" x14ac:dyDescent="0.3">
      <c r="A24" s="47"/>
      <c r="B24" s="62"/>
      <c r="C24" s="65"/>
      <c r="D24" s="63"/>
      <c r="E24" s="63"/>
      <c r="F24" s="63"/>
      <c r="G24" s="63"/>
      <c r="H24" s="63"/>
      <c r="I24" s="63"/>
      <c r="J24" s="63"/>
      <c r="K24" s="63"/>
      <c r="L24" s="63"/>
      <c r="M24" s="63"/>
      <c r="N24" s="63"/>
      <c r="O24" s="63"/>
      <c r="P24" s="63"/>
      <c r="Q24" s="63"/>
      <c r="R24" s="64"/>
      <c r="S24" s="47"/>
    </row>
    <row r="25" spans="1:19" x14ac:dyDescent="0.3">
      <c r="A25" s="47"/>
      <c r="B25" s="100"/>
      <c r="C25" s="101"/>
      <c r="D25" s="101"/>
      <c r="E25" s="101"/>
      <c r="F25" s="101"/>
      <c r="G25" s="101"/>
      <c r="H25" s="101"/>
      <c r="I25" s="101"/>
      <c r="J25" s="101"/>
      <c r="K25" s="101"/>
      <c r="L25" s="101"/>
      <c r="M25" s="101"/>
      <c r="N25" s="101"/>
      <c r="O25" s="101"/>
      <c r="P25" s="101"/>
      <c r="Q25" s="101"/>
      <c r="R25" s="102"/>
      <c r="S25" s="47"/>
    </row>
    <row r="26" spans="1:19" x14ac:dyDescent="0.3">
      <c r="A26" s="47"/>
      <c r="B26" s="80"/>
      <c r="C26" s="81"/>
      <c r="D26" s="81"/>
      <c r="E26" s="81"/>
      <c r="F26" s="81"/>
      <c r="G26" s="81"/>
      <c r="H26" s="81"/>
      <c r="I26" s="81"/>
      <c r="J26" s="81"/>
      <c r="K26" s="81"/>
      <c r="L26" s="81"/>
      <c r="M26" s="81"/>
      <c r="N26" s="81"/>
      <c r="O26" s="81"/>
      <c r="P26" s="81"/>
      <c r="Q26" s="81"/>
      <c r="R26" s="82"/>
      <c r="S26" s="47"/>
    </row>
    <row r="27" spans="1:19" x14ac:dyDescent="0.3">
      <c r="A27" s="47"/>
      <c r="B27" s="80"/>
      <c r="C27" s="81"/>
      <c r="D27" s="81"/>
      <c r="E27" s="81"/>
      <c r="F27" s="81"/>
      <c r="G27" s="81"/>
      <c r="H27" s="81"/>
      <c r="I27" s="81"/>
      <c r="J27" s="81"/>
      <c r="K27" s="81"/>
      <c r="L27" s="81"/>
      <c r="M27" s="81"/>
      <c r="N27" s="81"/>
      <c r="O27" s="81"/>
      <c r="P27" s="81"/>
      <c r="Q27" s="81"/>
      <c r="R27" s="82"/>
      <c r="S27" s="47"/>
    </row>
    <row r="28" spans="1:19" x14ac:dyDescent="0.3">
      <c r="A28" s="47"/>
      <c r="B28" s="80"/>
      <c r="C28" s="81"/>
      <c r="D28" s="81"/>
      <c r="E28" s="81"/>
      <c r="F28" s="81"/>
      <c r="G28" s="81"/>
      <c r="H28" s="81"/>
      <c r="I28" s="81"/>
      <c r="J28" s="81"/>
      <c r="K28" s="81"/>
      <c r="L28" s="81"/>
      <c r="M28" s="81"/>
      <c r="N28" s="81"/>
      <c r="O28" s="81"/>
      <c r="P28" s="81"/>
      <c r="Q28" s="81"/>
      <c r="R28" s="82"/>
      <c r="S28" s="47"/>
    </row>
    <row r="29" spans="1:19" x14ac:dyDescent="0.3">
      <c r="A29" s="47"/>
      <c r="B29" s="80"/>
      <c r="C29" s="81"/>
      <c r="D29" s="81"/>
      <c r="E29" s="81"/>
      <c r="F29" s="81"/>
      <c r="G29" s="81"/>
      <c r="H29" s="81"/>
      <c r="I29" s="81"/>
      <c r="J29" s="81"/>
      <c r="K29" s="81"/>
      <c r="L29" s="81"/>
      <c r="M29" s="81"/>
      <c r="N29" s="81"/>
      <c r="O29" s="81"/>
      <c r="P29" s="81"/>
      <c r="Q29" s="81"/>
      <c r="R29" s="82"/>
      <c r="S29" s="47"/>
    </row>
    <row r="30" spans="1:19" x14ac:dyDescent="0.3">
      <c r="A30" s="47"/>
      <c r="B30" s="88"/>
      <c r="C30" s="89"/>
      <c r="D30" s="89"/>
      <c r="E30" s="89"/>
      <c r="F30" s="89"/>
      <c r="G30" s="89"/>
      <c r="H30" s="89"/>
      <c r="I30" s="89"/>
      <c r="J30" s="89"/>
      <c r="K30" s="89"/>
      <c r="L30" s="89"/>
      <c r="M30" s="89"/>
      <c r="N30" s="89"/>
      <c r="O30" s="89"/>
      <c r="P30" s="89"/>
      <c r="Q30" s="89"/>
      <c r="R30" s="90"/>
      <c r="S30" s="47"/>
    </row>
    <row r="31" spans="1:19" x14ac:dyDescent="0.3">
      <c r="A31" s="47"/>
      <c r="B31" s="80"/>
      <c r="C31" s="81"/>
      <c r="D31" s="81"/>
      <c r="E31" s="81"/>
      <c r="F31" s="81"/>
      <c r="G31" s="81"/>
      <c r="H31" s="81"/>
      <c r="I31" s="81"/>
      <c r="J31" s="81"/>
      <c r="K31" s="81"/>
      <c r="L31" s="81"/>
      <c r="M31" s="81"/>
      <c r="N31" s="81"/>
      <c r="O31" s="81"/>
      <c r="P31" s="81"/>
      <c r="Q31" s="81"/>
      <c r="R31" s="82"/>
      <c r="S31" s="47"/>
    </row>
    <row r="32" spans="1:19" x14ac:dyDescent="0.3">
      <c r="A32" s="47"/>
      <c r="B32" s="80"/>
      <c r="C32" s="81"/>
      <c r="D32" s="81"/>
      <c r="E32" s="81"/>
      <c r="F32" s="81"/>
      <c r="G32" s="81"/>
      <c r="H32" s="81"/>
      <c r="I32" s="81"/>
      <c r="J32" s="81"/>
      <c r="K32" s="81"/>
      <c r="L32" s="81"/>
      <c r="M32" s="81"/>
      <c r="N32" s="81"/>
      <c r="O32" s="81"/>
      <c r="P32" s="81"/>
      <c r="Q32" s="81"/>
      <c r="R32" s="82"/>
      <c r="S32" s="47"/>
    </row>
    <row r="33" spans="1:19" x14ac:dyDescent="0.3">
      <c r="A33" s="47"/>
      <c r="B33" s="80"/>
      <c r="C33" s="81"/>
      <c r="D33" s="81"/>
      <c r="E33" s="81"/>
      <c r="F33" s="81"/>
      <c r="G33" s="81"/>
      <c r="H33" s="81"/>
      <c r="I33" s="81"/>
      <c r="J33" s="81"/>
      <c r="K33" s="81"/>
      <c r="L33" s="81"/>
      <c r="M33" s="81"/>
      <c r="N33" s="81"/>
      <c r="O33" s="81"/>
      <c r="P33" s="81"/>
      <c r="Q33" s="81"/>
      <c r="R33" s="82"/>
      <c r="S33" s="47"/>
    </row>
    <row r="34" spans="1:19" x14ac:dyDescent="0.3">
      <c r="A34" s="47"/>
      <c r="B34" s="85"/>
      <c r="C34" s="86"/>
      <c r="D34" s="86"/>
      <c r="E34" s="86"/>
      <c r="F34" s="86"/>
      <c r="G34" s="86"/>
      <c r="H34" s="86"/>
      <c r="I34" s="86"/>
      <c r="J34" s="86"/>
      <c r="K34" s="86"/>
      <c r="L34" s="86"/>
      <c r="M34" s="86"/>
      <c r="N34" s="86"/>
      <c r="O34" s="86"/>
      <c r="P34" s="86"/>
      <c r="Q34" s="86"/>
      <c r="R34" s="87"/>
      <c r="S34" s="47"/>
    </row>
    <row r="35" spans="1:19" x14ac:dyDescent="0.3">
      <c r="A35" s="47"/>
      <c r="B35" s="88"/>
      <c r="C35" s="89"/>
      <c r="D35" s="89"/>
      <c r="E35" s="89"/>
      <c r="F35" s="89"/>
      <c r="G35" s="89"/>
      <c r="H35" s="89"/>
      <c r="I35" s="89"/>
      <c r="J35" s="89"/>
      <c r="K35" s="89"/>
      <c r="L35" s="89"/>
      <c r="M35" s="89"/>
      <c r="N35" s="89"/>
      <c r="O35" s="89"/>
      <c r="P35" s="89"/>
      <c r="Q35" s="89"/>
      <c r="R35" s="90"/>
      <c r="S35" s="47"/>
    </row>
    <row r="36" spans="1:19" x14ac:dyDescent="0.3">
      <c r="A36" s="47"/>
      <c r="B36" s="80"/>
      <c r="C36" s="81"/>
      <c r="D36" s="81"/>
      <c r="E36" s="81"/>
      <c r="F36" s="81"/>
      <c r="G36" s="81"/>
      <c r="H36" s="81"/>
      <c r="I36" s="81"/>
      <c r="J36" s="81"/>
      <c r="K36" s="81"/>
      <c r="L36" s="81"/>
      <c r="M36" s="81"/>
      <c r="N36" s="81"/>
      <c r="O36" s="81"/>
      <c r="P36" s="81"/>
      <c r="Q36" s="81"/>
      <c r="R36" s="82"/>
      <c r="S36" s="47"/>
    </row>
    <row r="37" spans="1:19" x14ac:dyDescent="0.3">
      <c r="A37" s="47"/>
      <c r="B37" s="80"/>
      <c r="C37" s="81"/>
      <c r="D37" s="81"/>
      <c r="E37" s="81"/>
      <c r="F37" s="81"/>
      <c r="G37" s="81"/>
      <c r="H37" s="81"/>
      <c r="I37" s="81"/>
      <c r="J37" s="81"/>
      <c r="K37" s="81"/>
      <c r="L37" s="81"/>
      <c r="M37" s="81"/>
      <c r="N37" s="81"/>
      <c r="O37" s="81"/>
      <c r="P37" s="81"/>
      <c r="Q37" s="81"/>
      <c r="R37" s="82"/>
      <c r="S37" s="47"/>
    </row>
    <row r="38" spans="1:19" x14ac:dyDescent="0.3">
      <c r="A38" s="47"/>
      <c r="B38" s="80"/>
      <c r="C38" s="81"/>
      <c r="D38" s="81"/>
      <c r="E38" s="81"/>
      <c r="F38" s="81"/>
      <c r="G38" s="81"/>
      <c r="H38" s="81"/>
      <c r="I38" s="81"/>
      <c r="J38" s="81"/>
      <c r="K38" s="81"/>
      <c r="L38" s="81"/>
      <c r="M38" s="81"/>
      <c r="N38" s="81"/>
      <c r="O38" s="81"/>
      <c r="P38" s="81"/>
      <c r="Q38" s="81"/>
      <c r="R38" s="82"/>
      <c r="S38" s="47"/>
    </row>
    <row r="39" spans="1:19" x14ac:dyDescent="0.3">
      <c r="A39" s="47"/>
      <c r="B39" s="80"/>
      <c r="C39" s="81"/>
      <c r="D39" s="81"/>
      <c r="E39" s="81"/>
      <c r="F39" s="81"/>
      <c r="G39" s="81"/>
      <c r="H39" s="81"/>
      <c r="I39" s="81"/>
      <c r="J39" s="81"/>
      <c r="K39" s="81"/>
      <c r="L39" s="81"/>
      <c r="M39" s="81"/>
      <c r="N39" s="81"/>
      <c r="O39" s="81"/>
      <c r="P39" s="81"/>
      <c r="Q39" s="81"/>
      <c r="R39" s="82"/>
      <c r="S39" s="47"/>
    </row>
    <row r="40" spans="1:19" x14ac:dyDescent="0.3">
      <c r="A40" s="47"/>
      <c r="B40" s="80"/>
      <c r="C40" s="81"/>
      <c r="D40" s="81"/>
      <c r="E40" s="81"/>
      <c r="F40" s="81"/>
      <c r="G40" s="81"/>
      <c r="H40" s="81"/>
      <c r="I40" s="81"/>
      <c r="J40" s="81"/>
      <c r="K40" s="81"/>
      <c r="L40" s="81"/>
      <c r="M40" s="81"/>
      <c r="N40" s="81"/>
      <c r="O40" s="81"/>
      <c r="P40" s="81"/>
      <c r="Q40" s="81"/>
      <c r="R40" s="82"/>
      <c r="S40" s="47"/>
    </row>
    <row r="41" spans="1:19" x14ac:dyDescent="0.3">
      <c r="A41" s="47"/>
      <c r="B41" s="80"/>
      <c r="C41" s="81"/>
      <c r="D41" s="81"/>
      <c r="E41" s="81"/>
      <c r="F41" s="81"/>
      <c r="G41" s="81"/>
      <c r="H41" s="81"/>
      <c r="I41" s="81"/>
      <c r="J41" s="81"/>
      <c r="K41" s="81"/>
      <c r="L41" s="81"/>
      <c r="M41" s="81"/>
      <c r="N41" s="81"/>
      <c r="O41" s="81"/>
      <c r="P41" s="81"/>
      <c r="Q41" s="81"/>
      <c r="R41" s="82"/>
      <c r="S41" s="47"/>
    </row>
    <row r="42" spans="1:19" x14ac:dyDescent="0.3">
      <c r="A42" s="47"/>
      <c r="B42" s="80"/>
      <c r="C42" s="81"/>
      <c r="D42" s="81"/>
      <c r="E42" s="81"/>
      <c r="F42" s="81"/>
      <c r="G42" s="81"/>
      <c r="H42" s="81"/>
      <c r="I42" s="81"/>
      <c r="J42" s="81"/>
      <c r="K42" s="81"/>
      <c r="L42" s="81"/>
      <c r="M42" s="81"/>
      <c r="N42" s="81"/>
      <c r="O42" s="81"/>
      <c r="P42" s="81"/>
      <c r="Q42" s="81"/>
      <c r="R42" s="82"/>
      <c r="S42" s="47"/>
    </row>
    <row r="43" spans="1:19" x14ac:dyDescent="0.3">
      <c r="A43" s="47"/>
      <c r="B43" s="80"/>
      <c r="C43" s="81"/>
      <c r="D43" s="81"/>
      <c r="E43" s="81"/>
      <c r="F43" s="81"/>
      <c r="G43" s="81"/>
      <c r="H43" s="81"/>
      <c r="I43" s="81"/>
      <c r="J43" s="81"/>
      <c r="K43" s="81"/>
      <c r="L43" s="81"/>
      <c r="M43" s="81"/>
      <c r="N43" s="81"/>
      <c r="O43" s="81"/>
      <c r="P43" s="81"/>
      <c r="Q43" s="81"/>
      <c r="R43" s="82"/>
      <c r="S43" s="47"/>
    </row>
    <row r="44" spans="1:19" x14ac:dyDescent="0.3">
      <c r="A44" s="47"/>
      <c r="B44" s="80"/>
      <c r="C44" s="81"/>
      <c r="D44" s="81"/>
      <c r="E44" s="81"/>
      <c r="F44" s="81"/>
      <c r="G44" s="81"/>
      <c r="H44" s="81"/>
      <c r="I44" s="81"/>
      <c r="J44" s="81"/>
      <c r="K44" s="81"/>
      <c r="L44" s="81"/>
      <c r="M44" s="81"/>
      <c r="N44" s="81"/>
      <c r="O44" s="81"/>
      <c r="P44" s="81"/>
      <c r="Q44" s="81"/>
      <c r="R44" s="82"/>
      <c r="S44" s="47"/>
    </row>
    <row r="45" spans="1:19" x14ac:dyDescent="0.3">
      <c r="A45" s="47"/>
      <c r="B45" s="80"/>
      <c r="C45" s="81"/>
      <c r="D45" s="81"/>
      <c r="E45" s="81"/>
      <c r="F45" s="81"/>
      <c r="G45" s="81"/>
      <c r="H45" s="81"/>
      <c r="I45" s="81"/>
      <c r="J45" s="81"/>
      <c r="K45" s="81"/>
      <c r="L45" s="81"/>
      <c r="M45" s="81"/>
      <c r="N45" s="81"/>
      <c r="O45" s="81"/>
      <c r="P45" s="81"/>
      <c r="Q45" s="81"/>
      <c r="R45" s="82"/>
      <c r="S45" s="47"/>
    </row>
    <row r="46" spans="1:19" x14ac:dyDescent="0.3">
      <c r="A46" s="47"/>
      <c r="B46" s="80"/>
      <c r="C46" s="81"/>
      <c r="D46" s="81"/>
      <c r="E46" s="81"/>
      <c r="F46" s="81"/>
      <c r="G46" s="81"/>
      <c r="H46" s="81"/>
      <c r="I46" s="81"/>
      <c r="J46" s="81"/>
      <c r="K46" s="81"/>
      <c r="L46" s="81"/>
      <c r="M46" s="81"/>
      <c r="N46" s="81"/>
      <c r="O46" s="81"/>
      <c r="P46" s="81"/>
      <c r="Q46" s="81"/>
      <c r="R46" s="82"/>
      <c r="S46" s="47"/>
    </row>
    <row r="47" spans="1:19" x14ac:dyDescent="0.3">
      <c r="A47" s="47"/>
      <c r="B47" s="80"/>
      <c r="C47" s="81"/>
      <c r="D47" s="81"/>
      <c r="E47" s="81"/>
      <c r="F47" s="81"/>
      <c r="G47" s="81"/>
      <c r="H47" s="81"/>
      <c r="I47" s="81"/>
      <c r="J47" s="81"/>
      <c r="K47" s="81"/>
      <c r="L47" s="81"/>
      <c r="M47" s="81"/>
      <c r="N47" s="81"/>
      <c r="O47" s="81"/>
      <c r="P47" s="81"/>
      <c r="Q47" s="81"/>
      <c r="R47" s="82"/>
      <c r="S47" s="47"/>
    </row>
    <row r="48" spans="1:19" x14ac:dyDescent="0.3">
      <c r="A48" s="47"/>
      <c r="B48" s="83" t="s">
        <v>109</v>
      </c>
      <c r="C48" s="84"/>
      <c r="D48" s="66"/>
      <c r="E48" s="66"/>
      <c r="F48" s="66"/>
      <c r="G48" s="67"/>
      <c r="H48" s="67"/>
      <c r="I48" s="67"/>
      <c r="J48" s="66"/>
      <c r="K48" s="67"/>
      <c r="L48" s="66"/>
      <c r="M48" s="68"/>
      <c r="N48" s="68"/>
      <c r="O48" s="68"/>
      <c r="P48" s="68"/>
      <c r="Q48" s="68"/>
      <c r="R48" s="69"/>
      <c r="S48" s="47"/>
    </row>
    <row r="49" spans="1:19" x14ac:dyDescent="0.3">
      <c r="A49" s="47"/>
      <c r="B49" s="70"/>
      <c r="C49" s="47"/>
      <c r="D49" s="47"/>
      <c r="E49" s="71" t="s">
        <v>110</v>
      </c>
      <c r="F49" s="71" t="s">
        <v>111</v>
      </c>
      <c r="G49" s="47"/>
      <c r="H49" s="47"/>
      <c r="I49" s="71" t="s">
        <v>112</v>
      </c>
      <c r="J49" s="47"/>
      <c r="K49" s="71" t="s">
        <v>113</v>
      </c>
      <c r="L49" s="71"/>
      <c r="M49" s="72"/>
      <c r="N49" s="72"/>
      <c r="O49" s="72"/>
      <c r="P49" s="72"/>
      <c r="Q49" s="72"/>
      <c r="R49" s="73"/>
      <c r="S49" s="47"/>
    </row>
    <row r="50" spans="1:19" x14ac:dyDescent="0.3">
      <c r="A50" s="47"/>
      <c r="B50" s="74"/>
      <c r="C50" s="47"/>
      <c r="D50" s="47"/>
      <c r="E50" s="71" t="s">
        <v>114</v>
      </c>
      <c r="F50" s="71" t="s">
        <v>115</v>
      </c>
      <c r="G50" s="47"/>
      <c r="H50" s="47"/>
      <c r="I50" s="71" t="s">
        <v>116</v>
      </c>
      <c r="J50" s="47"/>
      <c r="K50" s="71" t="s">
        <v>117</v>
      </c>
      <c r="L50" s="71"/>
      <c r="M50" s="72"/>
      <c r="N50" s="72"/>
      <c r="O50" s="72"/>
      <c r="P50" s="72"/>
      <c r="Q50" s="72"/>
      <c r="R50" s="73"/>
      <c r="S50" s="47"/>
    </row>
    <row r="51" spans="1:19" x14ac:dyDescent="0.3">
      <c r="A51" s="47"/>
      <c r="B51" s="75"/>
      <c r="C51" s="76"/>
      <c r="D51" s="76"/>
      <c r="E51" s="77" t="s">
        <v>118</v>
      </c>
      <c r="F51" s="77" t="s">
        <v>65</v>
      </c>
      <c r="G51" s="76"/>
      <c r="H51" s="77"/>
      <c r="I51" s="77"/>
      <c r="J51" s="77"/>
      <c r="K51" s="77"/>
      <c r="L51" s="78"/>
      <c r="M51" s="78"/>
      <c r="N51" s="78"/>
      <c r="O51" s="78"/>
      <c r="P51" s="78"/>
      <c r="Q51" s="78"/>
      <c r="R51" s="79"/>
      <c r="S51" s="47"/>
    </row>
    <row r="52" spans="1:19" x14ac:dyDescent="0.3">
      <c r="A52" s="47"/>
      <c r="B52" s="47"/>
      <c r="C52" s="47"/>
      <c r="D52" s="47"/>
      <c r="E52" s="47"/>
      <c r="F52" s="47"/>
      <c r="G52" s="47"/>
      <c r="H52" s="47"/>
      <c r="I52" s="47"/>
      <c r="J52" s="47"/>
      <c r="K52" s="47"/>
      <c r="L52" s="47"/>
      <c r="M52" s="47"/>
      <c r="N52" s="47"/>
      <c r="O52" s="47"/>
      <c r="P52" s="47"/>
      <c r="Q52" s="47"/>
      <c r="R52" s="47"/>
      <c r="S52" s="47"/>
    </row>
  </sheetData>
  <mergeCells count="60">
    <mergeCell ref="C8:D8"/>
    <mergeCell ref="G8:H8"/>
    <mergeCell ref="K8:L8"/>
    <mergeCell ref="N8:P8"/>
    <mergeCell ref="B4:R4"/>
    <mergeCell ref="H6:I6"/>
    <mergeCell ref="K6:L6"/>
    <mergeCell ref="H7:I7"/>
    <mergeCell ref="K7:L7"/>
    <mergeCell ref="C9:D9"/>
    <mergeCell ref="N9:P9"/>
    <mergeCell ref="B10:C10"/>
    <mergeCell ref="D10:E10"/>
    <mergeCell ref="F10:G10"/>
    <mergeCell ref="H10:I10"/>
    <mergeCell ref="J10:L10"/>
    <mergeCell ref="N10:P10"/>
    <mergeCell ref="D11:E11"/>
    <mergeCell ref="N11:P11"/>
    <mergeCell ref="B12:R12"/>
    <mergeCell ref="G14:H14"/>
    <mergeCell ref="I14:J14"/>
    <mergeCell ref="K14:L14"/>
    <mergeCell ref="G15:H15"/>
    <mergeCell ref="K15:L15"/>
    <mergeCell ref="B16:C16"/>
    <mergeCell ref="D16:E16"/>
    <mergeCell ref="D17:E17"/>
    <mergeCell ref="B31:R31"/>
    <mergeCell ref="N18:P18"/>
    <mergeCell ref="B20:C20"/>
    <mergeCell ref="D20:R20"/>
    <mergeCell ref="B21:R21"/>
    <mergeCell ref="B22:R22"/>
    <mergeCell ref="B25:R25"/>
    <mergeCell ref="B18:C18"/>
    <mergeCell ref="D18:E18"/>
    <mergeCell ref="K18:M18"/>
    <mergeCell ref="B26:R26"/>
    <mergeCell ref="B27:R27"/>
    <mergeCell ref="B28:R28"/>
    <mergeCell ref="B29:R29"/>
    <mergeCell ref="B30:R30"/>
    <mergeCell ref="B43:R43"/>
    <mergeCell ref="B32:R32"/>
    <mergeCell ref="B33:R33"/>
    <mergeCell ref="B34:R34"/>
    <mergeCell ref="B35:R35"/>
    <mergeCell ref="B36:R36"/>
    <mergeCell ref="B37:R37"/>
    <mergeCell ref="B38:R38"/>
    <mergeCell ref="B39:R39"/>
    <mergeCell ref="B40:R40"/>
    <mergeCell ref="B41:R41"/>
    <mergeCell ref="B42:R42"/>
    <mergeCell ref="B44:R44"/>
    <mergeCell ref="B45:R45"/>
    <mergeCell ref="B46:R46"/>
    <mergeCell ref="B47:R47"/>
    <mergeCell ref="B48:C48"/>
  </mergeCells>
  <printOptions horizontalCentered="1"/>
  <pageMargins left="0.2" right="0.2" top="0.25" bottom="0" header="0.3" footer="0.3"/>
  <pageSetup scale="97"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MPPR- ACT-117C (p5)</vt:lpstr>
      <vt:lpstr>ACT-117C PAG atrás</vt:lpstr>
      <vt:lpstr>'ACT-117C PAG atrás'!Print_Area</vt:lpstr>
      <vt:lpstr>'MPPR- ACT-117C (p5)'!Print_Area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Saavedra</dc:creator>
  <cp:lastModifiedBy>Enrique Saavedra</cp:lastModifiedBy>
  <dcterms:created xsi:type="dcterms:W3CDTF">2026-05-02T00:31:28Z</dcterms:created>
  <dcterms:modified xsi:type="dcterms:W3CDTF">2026-05-03T00:34:13Z</dcterms:modified>
</cp:coreProperties>
</file>