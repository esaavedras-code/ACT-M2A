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PPR- ACT-117C (p5)" sheetId="1" state="visible" r:id="rId1"/>
    <sheet xmlns:r="http://schemas.openxmlformats.org/officeDocument/2006/relationships" name="ACT-117C PAG atrás" sheetId="2" state="visible" r:id="rId2"/>
  </sheets>
  <externalReferences>
    <externalReference xmlns:r="http://schemas.openxmlformats.org/officeDocument/2006/relationships" r:id="rId3"/>
    <externalReference xmlns:r="http://schemas.openxmlformats.org/officeDocument/2006/relationships" r:id="rId4"/>
  </externalReferences>
  <definedNames>
    <definedName name="Contract_Beginning_Date">#REF!</definedName>
    <definedName name="Contract_Completion_Date">#REF!</definedName>
    <definedName name="Contract_Number">#REF!</definedName>
    <definedName name="Contract_Original_Amount">#REF!</definedName>
    <definedName name="Contract_Revised_Amount">#REF!</definedName>
    <definedName name="Contractor">#REF!</definedName>
    <definedName name="Contractor_Name">#REF!</definedName>
    <definedName name="ContractorName">#REF!</definedName>
    <definedName name="Contractors_Name">#REF!</definedName>
    <definedName name="Federal_Number">#REF!</definedName>
    <definedName name="Oracle_Number">#REF!</definedName>
    <definedName name="Project_Number">#REF!</definedName>
    <definedName name="Revised_Completion_Date">#REF!</definedName>
    <definedName name="SpecNoColumn">[1]ValidationLists!$B$5:$B$120</definedName>
    <definedName name="SpecNoStart">[1]ValidationLists!$B$5</definedName>
    <definedName name="Contract_Beginning_Date" localSheetId="0">#REF!</definedName>
    <definedName name="Contract_Completion_Date" localSheetId="0">#REF!</definedName>
    <definedName name="Contract_Number" localSheetId="0">#REF!</definedName>
    <definedName name="Contract_Original_Amount" localSheetId="0">#REF!</definedName>
    <definedName name="Contract_Revised_Amount" localSheetId="0">#REF!</definedName>
    <definedName name="Contractor" localSheetId="0">#REF!</definedName>
    <definedName name="Contractor_Name" localSheetId="0">#REF!</definedName>
    <definedName name="ContractorName" localSheetId="0">#REF!</definedName>
    <definedName name="Contractors_Name" localSheetId="0">#REF!</definedName>
    <definedName name="Federal_Number" localSheetId="0">#REF!</definedName>
    <definedName name="Oracle_Number" localSheetId="0">#REF!</definedName>
    <definedName name="Project_Number" localSheetId="0">#REF!</definedName>
    <definedName name="Revised_Completion_Date" localSheetId="0">#REF!</definedName>
    <definedName name="_xlnm.Print_Area" localSheetId="0">'MPPR- ACT-117C (p5)'!$A$1:$K$51</definedName>
    <definedName name="_xlnm.Print_Area" localSheetId="1">'ACT-117C PAG atrás'!$B$1:$R$51</definedName>
  </definedNames>
  <calcPr calcId="191029" fullCalcOnLoad="1"/>
</workbook>
</file>

<file path=xl/styles.xml><?xml version="1.0" encoding="utf-8"?>
<styleSheet xmlns="http://schemas.openxmlformats.org/spreadsheetml/2006/main">
  <numFmts count="6">
    <numFmt numFmtId="164" formatCode="[$-F800]dddd\,\ mmmm\ dd\,\ yyyy"/>
    <numFmt numFmtId="165" formatCode="_(&quot;$&quot;* #,##0.00_);_(&quot;$&quot;* \(#,##0.00\);_(&quot;$&quot;* &quot;-&quot;??_);_(@_)"/>
    <numFmt numFmtId="166" formatCode="&quot;$&quot;#,##0.00_);[Red]\(&quot;$&quot;#,##0.00\)"/>
    <numFmt numFmtId="167" formatCode="[$-409]mmmm\ d\,\ yyyy;@"/>
    <numFmt numFmtId="168" formatCode="[$-409]d\-mmm\-yy;@"/>
    <numFmt numFmtId="169" formatCode="&quot;$&quot;#,##0.00"/>
  </numFmts>
  <fonts count="23">
    <font>
      <name val="Calibri"/>
      <family val="2"/>
      <color theme="1"/>
      <sz val="11"/>
      <scheme val="minor"/>
    </font>
    <font>
      <name val="Calibri"/>
      <family val="2"/>
      <color theme="1"/>
      <sz val="11"/>
      <scheme val="minor"/>
    </font>
    <font>
      <name val="Calibri"/>
      <family val="2"/>
      <color rgb="FFFF0000"/>
      <sz val="11"/>
      <scheme val="minor"/>
    </font>
    <font>
      <name val="Calibri"/>
      <family val="2"/>
      <b val="1"/>
      <color theme="1"/>
      <sz val="11"/>
      <scheme val="minor"/>
    </font>
    <font>
      <name val="Calibri"/>
      <family val="2"/>
      <color theme="1"/>
      <sz val="12"/>
      <scheme val="minor"/>
    </font>
    <font>
      <name val="Calibri"/>
      <family val="2"/>
      <b val="1"/>
      <color theme="1"/>
      <sz val="14"/>
      <scheme val="minor"/>
    </font>
    <font>
      <name val="Calibri"/>
      <family val="2"/>
      <color theme="1"/>
      <sz val="8"/>
      <scheme val="minor"/>
    </font>
    <font>
      <name val="Calibri"/>
      <family val="2"/>
      <b val="1"/>
      <sz val="11"/>
      <scheme val="minor"/>
    </font>
    <font>
      <name val="Arial"/>
      <family val="2"/>
      <sz val="11"/>
    </font>
    <font>
      <name val="Arial"/>
      <family val="2"/>
      <b val="1"/>
      <sz val="11"/>
    </font>
    <font>
      <name val="Calibri"/>
      <family val="2"/>
      <color theme="1"/>
      <sz val="11"/>
      <u val="single"/>
      <scheme val="minor"/>
    </font>
    <font>
      <name val="Calibri"/>
      <family val="2"/>
      <color theme="1"/>
      <sz val="10"/>
      <scheme val="minor"/>
    </font>
    <font>
      <name val="Calibri"/>
      <family val="2"/>
      <color theme="1"/>
      <sz val="9"/>
      <scheme val="minor"/>
    </font>
    <font>
      <name val="Arial"/>
      <family val="2"/>
      <sz val="10"/>
    </font>
    <font>
      <name val="Arial"/>
      <family val="2"/>
      <b val="1"/>
      <sz val="10"/>
    </font>
    <font>
      <name val="Arial"/>
      <family val="2"/>
      <b val="1"/>
      <sz val="9"/>
    </font>
    <font>
      <name val="Arial"/>
      <family val="2"/>
      <sz val="7"/>
    </font>
    <font>
      <name val="Arial"/>
      <family val="2"/>
      <sz val="9"/>
    </font>
    <font>
      <name val="Arial"/>
      <family val="2"/>
      <sz val="12"/>
    </font>
    <font>
      <name val="Arial"/>
      <family val="2"/>
      <sz val="6"/>
    </font>
    <font>
      <name val="Arial Narrow"/>
      <family val="2"/>
      <sz val="6"/>
    </font>
    <font>
      <name val="Bell MT"/>
      <family val="1"/>
      <sz val="6"/>
    </font>
    <font>
      <name val="Calibri"/>
      <color rgb="00000000"/>
      <sz val="11"/>
    </font>
  </fonts>
  <fills count="4">
    <fill>
      <patternFill/>
    </fill>
    <fill>
      <patternFill patternType="gray125"/>
    </fill>
    <fill>
      <patternFill patternType="solid">
        <fgColor theme="0"/>
        <bgColor indexed="64"/>
      </patternFill>
    </fill>
    <fill>
      <patternFill patternType="solid">
        <fgColor indexed="9"/>
        <bgColor indexed="64"/>
      </patternFill>
    </fill>
  </fills>
  <borders count="18">
    <border>
      <left/>
      <right/>
      <top/>
      <bottom/>
      <diagonal/>
    </border>
    <border>
      <left/>
      <right/>
      <top/>
      <bottom style="double">
        <color indexed="64"/>
      </bottom>
      <diagonal/>
    </border>
    <border>
      <left/>
      <right/>
      <top style="double">
        <color auto="1"/>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double">
        <color auto="1"/>
      </top>
      <bottom/>
      <diagonal/>
    </border>
    <border>
      <left style="thin">
        <color indexed="64"/>
      </left>
      <right style="thin">
        <color indexed="64"/>
      </right>
      <top/>
      <bottom/>
      <diagonal/>
    </border>
  </borders>
  <cellStyleXfs count="4">
    <xf numFmtId="0" fontId="1" fillId="0" borderId="0"/>
    <xf numFmtId="44" fontId="1" fillId="0" borderId="0"/>
    <xf numFmtId="9" fontId="1" fillId="0" borderId="0"/>
    <xf numFmtId="0" fontId="13" fillId="0" borderId="0"/>
  </cellStyleXfs>
  <cellXfs count="202">
    <xf numFmtId="0" fontId="0" fillId="0" borderId="0" pivotButton="0" quotePrefix="0" xfId="0"/>
    <xf numFmtId="0" fontId="5" fillId="0" borderId="0" applyAlignment="1" pivotButton="0" quotePrefix="0" xfId="0">
      <alignment horizontal="center"/>
    </xf>
    <xf numFmtId="0" fontId="6" fillId="0" borderId="4" pivotButton="0" quotePrefix="0" xfId="0"/>
    <xf numFmtId="0" fontId="0" fillId="0" borderId="4" pivotButton="0" quotePrefix="0" xfId="0"/>
    <xf numFmtId="164" fontId="0" fillId="0" borderId="0" pivotButton="0" quotePrefix="0" xfId="0"/>
    <xf numFmtId="0" fontId="0" fillId="0" borderId="5" pivotButton="0" quotePrefix="0" xfId="0"/>
    <xf numFmtId="0" fontId="0" fillId="0" borderId="0" applyAlignment="1" pivotButton="0" quotePrefix="0" xfId="0">
      <alignment horizontal="left"/>
    </xf>
    <xf numFmtId="0" fontId="0" fillId="0" borderId="0" applyAlignment="1" pivotButton="0" quotePrefix="0" xfId="0">
      <alignment horizontal="right"/>
    </xf>
    <xf numFmtId="0" fontId="3" fillId="0" borderId="0" pivotButton="0" quotePrefix="0" xfId="0"/>
    <xf numFmtId="0" fontId="0" fillId="0" borderId="0" applyAlignment="1" pivotButton="0" quotePrefix="0" xfId="0">
      <alignment horizontal="center"/>
    </xf>
    <xf numFmtId="0" fontId="7" fillId="2" borderId="6" applyAlignment="1" pivotButton="0" quotePrefix="0" xfId="0">
      <alignment horizontal="center" vertical="center" wrapText="1"/>
    </xf>
    <xf numFmtId="0" fontId="0" fillId="0" borderId="6" applyAlignment="1" pivotButton="0" quotePrefix="0" xfId="0">
      <alignment horizontal="center" vertical="center"/>
    </xf>
    <xf numFmtId="0" fontId="0" fillId="0" borderId="6" pivotButton="0" quotePrefix="0" xfId="0"/>
    <xf numFmtId="0" fontId="0" fillId="0" borderId="6" applyAlignment="1" pivotButton="0" quotePrefix="0" xfId="0">
      <alignment horizontal="center"/>
    </xf>
    <xf numFmtId="0" fontId="0" fillId="0" borderId="7" applyAlignment="1" pivotButton="0" quotePrefix="0" xfId="0">
      <alignment vertical="center"/>
    </xf>
    <xf numFmtId="0" fontId="0" fillId="0" borderId="4" applyAlignment="1" pivotButton="0" quotePrefix="0" xfId="0">
      <alignment vertical="center"/>
    </xf>
    <xf numFmtId="0" fontId="0" fillId="0" borderId="8" applyAlignment="1" pivotButton="0" quotePrefix="0" xfId="0">
      <alignment vertical="center"/>
    </xf>
    <xf numFmtId="0" fontId="0" fillId="0" borderId="6" applyAlignment="1" pivotButton="0" quotePrefix="0" xfId="0">
      <alignment horizontal="right" vertical="center"/>
    </xf>
    <xf numFmtId="165" fontId="0" fillId="0" borderId="6" pivotButton="0" quotePrefix="0" xfId="1"/>
    <xf numFmtId="165" fontId="0" fillId="0" borderId="6" applyAlignment="1" pivotButton="0" quotePrefix="0" xfId="0">
      <alignment horizontal="center"/>
    </xf>
    <xf numFmtId="0" fontId="0" fillId="0" borderId="7" applyAlignment="1" pivotButton="0" quotePrefix="0" xfId="0">
      <alignment vertical="center" wrapText="1"/>
    </xf>
    <xf numFmtId="0" fontId="0" fillId="0" borderId="4" applyAlignment="1" pivotButton="0" quotePrefix="0" xfId="0">
      <alignment vertical="center" wrapText="1"/>
    </xf>
    <xf numFmtId="0" fontId="0" fillId="0" borderId="8" applyAlignment="1" pivotButton="0" quotePrefix="0" xfId="0">
      <alignment vertical="center" wrapText="1"/>
    </xf>
    <xf numFmtId="165" fontId="0" fillId="0" borderId="9" pivotButton="0" quotePrefix="0" xfId="1"/>
    <xf numFmtId="0" fontId="0" fillId="0" borderId="0" applyAlignment="1" pivotButton="0" quotePrefix="0" xfId="0">
      <alignment wrapText="1"/>
    </xf>
    <xf numFmtId="0" fontId="0" fillId="0" borderId="7" applyAlignment="1" pivotButton="0" quotePrefix="0" xfId="0">
      <alignment horizontal="left" vertical="center"/>
    </xf>
    <xf numFmtId="0" fontId="0" fillId="0" borderId="4" applyAlignment="1" pivotButton="0" quotePrefix="0" xfId="0">
      <alignment horizontal="left" vertical="center"/>
    </xf>
    <xf numFmtId="0" fontId="0" fillId="0" borderId="8" applyAlignment="1" pivotButton="0" quotePrefix="0" xfId="0">
      <alignment horizontal="left" vertical="center"/>
    </xf>
    <xf numFmtId="0" fontId="0" fillId="0" borderId="0" applyAlignment="1" pivotButton="0" quotePrefix="0" xfId="0">
      <alignment horizontal="center" vertical="center"/>
    </xf>
    <xf numFmtId="0" fontId="3" fillId="0" borderId="0" applyAlignment="1" pivotButton="0" quotePrefix="0" xfId="0">
      <alignment horizontal="center" vertical="center"/>
    </xf>
    <xf numFmtId="165" fontId="0" fillId="0" borderId="0" pivotButton="0" quotePrefix="0" xfId="0"/>
    <xf numFmtId="165" fontId="0" fillId="0" borderId="0" applyAlignment="1" pivotButton="0" quotePrefix="0" xfId="0">
      <alignment horizontal="center"/>
    </xf>
    <xf numFmtId="0" fontId="3" fillId="2" borderId="0" pivotButton="0" quotePrefix="0" xfId="0"/>
    <xf numFmtId="0" fontId="0" fillId="2" borderId="0" pivotButton="0" quotePrefix="0" xfId="0"/>
    <xf numFmtId="165" fontId="10" fillId="2" borderId="0" pivotButton="0" quotePrefix="0" xfId="0"/>
    <xf numFmtId="165" fontId="0" fillId="2" borderId="3" pivotButton="0" quotePrefix="0" xfId="0"/>
    <xf numFmtId="0" fontId="0" fillId="2" borderId="0" applyAlignment="1" pivotButton="0" quotePrefix="0" xfId="0">
      <alignment vertical="top"/>
    </xf>
    <xf numFmtId="165" fontId="0" fillId="2" borderId="4" pivotButton="0" quotePrefix="0" xfId="1"/>
    <xf numFmtId="0" fontId="0" fillId="2" borderId="3" applyAlignment="1" pivotButton="0" quotePrefix="0" xfId="0">
      <alignment horizontal="center"/>
    </xf>
    <xf numFmtId="14" fontId="0" fillId="2" borderId="3" pivotButton="0" quotePrefix="0" xfId="0"/>
    <xf numFmtId="165" fontId="0" fillId="2" borderId="4" pivotButton="0" quotePrefix="0" xfId="0"/>
    <xf numFmtId="0" fontId="11" fillId="2" borderId="0" applyAlignment="1" pivotButton="0" quotePrefix="0" xfId="0">
      <alignment vertical="top"/>
    </xf>
    <xf numFmtId="0" fontId="0" fillId="2" borderId="3" applyAlignment="1" pivotButton="0" quotePrefix="0" xfId="0">
      <alignment vertical="center"/>
    </xf>
    <xf numFmtId="0" fontId="0" fillId="2" borderId="3" pivotButton="0" quotePrefix="0" xfId="0"/>
    <xf numFmtId="165" fontId="0" fillId="0" borderId="3" pivotButton="0" quotePrefix="0" xfId="0"/>
    <xf numFmtId="165" fontId="0" fillId="0" borderId="4" pivotButton="0" quotePrefix="0" xfId="0"/>
    <xf numFmtId="10" fontId="0" fillId="0" borderId="3" pivotButton="0" quotePrefix="0" xfId="2"/>
    <xf numFmtId="0" fontId="13" fillId="0" borderId="0" pivotButton="0" quotePrefix="0" xfId="3"/>
    <xf numFmtId="0" fontId="13" fillId="0" borderId="12" pivotButton="0" quotePrefix="0" xfId="3"/>
    <xf numFmtId="0" fontId="13" fillId="0" borderId="13" pivotButton="0" quotePrefix="0" xfId="3"/>
    <xf numFmtId="0" fontId="13" fillId="0" borderId="0" applyAlignment="1" pivotButton="0" quotePrefix="0" xfId="3">
      <alignment horizontal="center"/>
    </xf>
    <xf numFmtId="15" fontId="14" fillId="0" borderId="0" applyAlignment="1" pivotButton="0" quotePrefix="0" xfId="3">
      <alignment horizontal="center"/>
    </xf>
    <xf numFmtId="15" fontId="13" fillId="0" borderId="0" applyAlignment="1" pivotButton="0" quotePrefix="0" xfId="3">
      <alignment horizontal="center"/>
    </xf>
    <xf numFmtId="166" fontId="15" fillId="0" borderId="3" applyAlignment="1" applyProtection="1" pivotButton="0" quotePrefix="0" xfId="3">
      <alignment horizontal="center"/>
      <protection locked="0" hidden="0"/>
    </xf>
    <xf numFmtId="0" fontId="13" fillId="0" borderId="0" applyAlignment="1" pivotButton="0" quotePrefix="0" xfId="3">
      <alignment horizontal="left"/>
    </xf>
    <xf numFmtId="0" fontId="13" fillId="0" borderId="0" applyAlignment="1" pivotButton="0" quotePrefix="0" xfId="3">
      <alignment horizontal="right"/>
    </xf>
    <xf numFmtId="0" fontId="16" fillId="0" borderId="0" applyAlignment="1" pivotButton="0" quotePrefix="0" xfId="3">
      <alignment horizontal="center" vertical="top"/>
    </xf>
    <xf numFmtId="14" fontId="13" fillId="0" borderId="0" pivotButton="0" quotePrefix="0" xfId="3"/>
    <xf numFmtId="0" fontId="13" fillId="0" borderId="11" pivotButton="0" quotePrefix="0" xfId="3"/>
    <xf numFmtId="166" fontId="14" fillId="0" borderId="0" applyAlignment="1" pivotButton="0" quotePrefix="0" xfId="3">
      <alignment horizontal="center"/>
    </xf>
    <xf numFmtId="166" fontId="13" fillId="0" borderId="0" applyAlignment="1" pivotButton="0" quotePrefix="0" xfId="3">
      <alignment horizontal="left"/>
    </xf>
    <xf numFmtId="0" fontId="16" fillId="0" borderId="0" applyAlignment="1" pivotButton="0" quotePrefix="0" xfId="3">
      <alignment vertical="top"/>
    </xf>
    <xf numFmtId="49" fontId="17" fillId="0" borderId="12" applyAlignment="1" applyProtection="1" pivotButton="0" quotePrefix="0" xfId="3">
      <alignment horizontal="left" vertical="center" wrapText="1"/>
      <protection locked="0" hidden="0"/>
    </xf>
    <xf numFmtId="49" fontId="17" fillId="0" borderId="0" applyAlignment="1" applyProtection="1" pivotButton="0" quotePrefix="0" xfId="3">
      <alignment horizontal="left" vertical="center" wrapText="1"/>
      <protection locked="0" hidden="0"/>
    </xf>
    <xf numFmtId="49" fontId="17" fillId="0" borderId="13" applyAlignment="1" applyProtection="1" pivotButton="0" quotePrefix="0" xfId="3">
      <alignment horizontal="left" vertical="center" wrapText="1"/>
      <protection locked="0" hidden="0"/>
    </xf>
    <xf numFmtId="49" fontId="17" fillId="0" borderId="0" applyAlignment="1" applyProtection="1" pivotButton="0" quotePrefix="0" xfId="3">
      <alignment horizontal="center"/>
      <protection locked="0" hidden="0"/>
    </xf>
    <xf numFmtId="0" fontId="19" fillId="0" borderId="5" pivotButton="0" quotePrefix="0" xfId="3"/>
    <xf numFmtId="0" fontId="13" fillId="0" borderId="5" pivotButton="0" quotePrefix="0" xfId="3"/>
    <xf numFmtId="0" fontId="16" fillId="0" borderId="5" applyAlignment="1" pivotButton="0" quotePrefix="0" xfId="3">
      <alignment horizontal="justify" vertical="top" wrapText="1"/>
    </xf>
    <xf numFmtId="0" fontId="16" fillId="0" borderId="11" applyAlignment="1" pivotButton="0" quotePrefix="0" xfId="3">
      <alignment horizontal="justify" vertical="top" wrapText="1"/>
    </xf>
    <xf numFmtId="0" fontId="19" fillId="0" borderId="12" pivotButton="0" quotePrefix="0" xfId="3"/>
    <xf numFmtId="0" fontId="20" fillId="0" borderId="0" pivotButton="0" quotePrefix="0" xfId="3"/>
    <xf numFmtId="0" fontId="16" fillId="0" borderId="0" applyAlignment="1" pivotButton="0" quotePrefix="0" xfId="3">
      <alignment horizontal="justify" vertical="top" wrapText="1"/>
    </xf>
    <xf numFmtId="0" fontId="16" fillId="0" borderId="13" applyAlignment="1" pivotButton="0" quotePrefix="0" xfId="3">
      <alignment horizontal="justify" vertical="top" wrapText="1"/>
    </xf>
    <xf numFmtId="0" fontId="21" fillId="0" borderId="12" pivotButton="0" quotePrefix="0" xfId="3"/>
    <xf numFmtId="0" fontId="21" fillId="0" borderId="14" pivotButton="0" quotePrefix="0" xfId="3"/>
    <xf numFmtId="0" fontId="13" fillId="0" borderId="3" pivotButton="0" quotePrefix="0" xfId="3"/>
    <xf numFmtId="0" fontId="20" fillId="0" borderId="3" pivotButton="0" quotePrefix="0" xfId="3"/>
    <xf numFmtId="0" fontId="16" fillId="0" borderId="3" applyAlignment="1" pivotButton="0" quotePrefix="0" xfId="3">
      <alignment horizontal="justify" vertical="top" wrapText="1"/>
    </xf>
    <xf numFmtId="0" fontId="16" fillId="0" borderId="15" applyAlignment="1" pivotButton="0" quotePrefix="0" xfId="3">
      <alignment horizontal="justify" vertical="top" wrapText="1"/>
    </xf>
    <xf numFmtId="0" fontId="0" fillId="0" borderId="2" applyAlignment="1" pivotButton="0" quotePrefix="0" xfId="0">
      <alignment horizontal="left"/>
    </xf>
    <xf numFmtId="167" fontId="0" fillId="0" borderId="3" applyAlignment="1" pivotButton="0" quotePrefix="0" xfId="0">
      <alignment horizontal="center"/>
    </xf>
    <xf numFmtId="0" fontId="4" fillId="0" borderId="0" applyAlignment="1" pivotButton="0" quotePrefix="0" xfId="0">
      <alignment horizontal="center" vertical="center"/>
    </xf>
    <xf numFmtId="0" fontId="2" fillId="0" borderId="0" applyAlignment="1" pivotButton="0" quotePrefix="0" xfId="0">
      <alignment horizontal="center" wrapText="1"/>
    </xf>
    <xf numFmtId="0" fontId="4" fillId="0" borderId="0" applyAlignment="1" pivotButton="0" quotePrefix="0" xfId="0">
      <alignment horizontal="center"/>
    </xf>
    <xf numFmtId="0" fontId="5" fillId="0" borderId="0" applyAlignment="1" pivotButton="0" quotePrefix="0" xfId="0">
      <alignment horizontal="center"/>
    </xf>
    <xf numFmtId="0" fontId="5" fillId="0" borderId="1" applyAlignment="1" pivotButton="0" quotePrefix="0" xfId="0">
      <alignment horizontal="center"/>
    </xf>
    <xf numFmtId="0" fontId="0" fillId="0" borderId="3" applyAlignment="1" pivotButton="0" quotePrefix="0" xfId="0">
      <alignment horizontal="center"/>
    </xf>
    <xf numFmtId="0" fontId="0" fillId="0" borderId="4" applyAlignment="1" pivotButton="0" quotePrefix="0" xfId="0">
      <alignment horizontal="left"/>
    </xf>
    <xf numFmtId="14" fontId="0" fillId="0" borderId="3" applyAlignment="1" pivotButton="0" quotePrefix="0" xfId="0">
      <alignment horizontal="center"/>
    </xf>
    <xf numFmtId="167" fontId="0" fillId="0" borderId="0" applyAlignment="1" pivotButton="0" quotePrefix="0" xfId="0">
      <alignment horizontal="center"/>
    </xf>
    <xf numFmtId="167" fontId="0" fillId="0" borderId="3" applyAlignment="1" pivotButton="0" quotePrefix="1" xfId="0">
      <alignment horizontal="center"/>
    </xf>
    <xf numFmtId="165" fontId="0" fillId="0" borderId="3" applyAlignment="1" pivotButton="0" quotePrefix="0" xfId="1">
      <alignment horizontal="center"/>
    </xf>
    <xf numFmtId="0" fontId="3" fillId="0" borderId="5" applyAlignment="1" pivotButton="0" quotePrefix="0" xfId="0">
      <alignment horizontal="center" vertical="center"/>
    </xf>
    <xf numFmtId="0" fontId="7" fillId="2" borderId="6" applyAlignment="1" pivotButton="0" quotePrefix="0" xfId="0">
      <alignment horizontal="center" vertical="center" wrapText="1"/>
    </xf>
    <xf numFmtId="0" fontId="0" fillId="0" borderId="7" applyAlignment="1" pivotButton="0" quotePrefix="0" xfId="0">
      <alignment vertical="center" wrapText="1"/>
    </xf>
    <xf numFmtId="0" fontId="0" fillId="0" borderId="4" applyAlignment="1" pivotButton="0" quotePrefix="0" xfId="0">
      <alignment vertical="center" wrapText="1"/>
    </xf>
    <xf numFmtId="0" fontId="0" fillId="0" borderId="8" applyAlignment="1" pivotButton="0" quotePrefix="0" xfId="0">
      <alignment vertical="center" wrapText="1"/>
    </xf>
    <xf numFmtId="0" fontId="0" fillId="0" borderId="7" applyAlignment="1" pivotButton="0" quotePrefix="0" xfId="0">
      <alignment vertical="center"/>
    </xf>
    <xf numFmtId="0" fontId="0" fillId="0" borderId="4" applyAlignment="1" pivotButton="0" quotePrefix="0" xfId="0">
      <alignment vertical="center"/>
    </xf>
    <xf numFmtId="0" fontId="0" fillId="0" borderId="8" applyAlignment="1" pivotButton="0" quotePrefix="0" xfId="0">
      <alignment vertical="center"/>
    </xf>
    <xf numFmtId="0" fontId="8" fillId="0" borderId="10" applyAlignment="1" pivotButton="0" quotePrefix="0" xfId="0">
      <alignment horizontal="justify" vertical="center" wrapText="1"/>
    </xf>
    <xf numFmtId="0" fontId="8" fillId="0" borderId="5" applyAlignment="1" pivotButton="0" quotePrefix="0" xfId="0">
      <alignment horizontal="justify" vertical="center" wrapText="1"/>
    </xf>
    <xf numFmtId="0" fontId="8" fillId="0" borderId="11" applyAlignment="1" pivotButton="0" quotePrefix="0" xfId="0">
      <alignment horizontal="justify" vertical="center" wrapText="1"/>
    </xf>
    <xf numFmtId="0" fontId="8" fillId="0" borderId="12" applyAlignment="1" pivotButton="0" quotePrefix="0" xfId="0">
      <alignment horizontal="justify" vertical="center" wrapText="1"/>
    </xf>
    <xf numFmtId="0" fontId="8" fillId="0" borderId="0" applyAlignment="1" pivotButton="0" quotePrefix="0" xfId="0">
      <alignment horizontal="justify" vertical="center" wrapText="1"/>
    </xf>
    <xf numFmtId="0" fontId="8" fillId="0" borderId="13" applyAlignment="1" pivotButton="0" quotePrefix="0" xfId="0">
      <alignment horizontal="justify" vertical="center" wrapText="1"/>
    </xf>
    <xf numFmtId="0" fontId="8" fillId="0" borderId="14" applyAlignment="1" pivotButton="0" quotePrefix="0" xfId="0">
      <alignment horizontal="justify" vertical="center" wrapText="1"/>
    </xf>
    <xf numFmtId="0" fontId="8" fillId="0" borderId="3" applyAlignment="1" pivotButton="0" quotePrefix="0" xfId="0">
      <alignment horizontal="justify" vertical="center" wrapText="1"/>
    </xf>
    <xf numFmtId="0" fontId="8" fillId="0" borderId="15" applyAlignment="1" pivotButton="0" quotePrefix="0" xfId="0">
      <alignment horizontal="justify" vertical="center" wrapText="1"/>
    </xf>
    <xf numFmtId="0" fontId="0" fillId="2" borderId="3" applyAlignment="1" pivotButton="0" quotePrefix="0" xfId="0">
      <alignment horizontal="left"/>
    </xf>
    <xf numFmtId="0" fontId="0" fillId="2" borderId="3" applyAlignment="1" pivotButton="0" quotePrefix="0" xfId="0">
      <alignment horizontal="center" vertical="center"/>
    </xf>
    <xf numFmtId="0" fontId="0" fillId="2" borderId="5" applyAlignment="1" pivotButton="0" quotePrefix="0" xfId="0">
      <alignment horizontal="left" vertical="top" wrapText="1"/>
    </xf>
    <xf numFmtId="0" fontId="12" fillId="2" borderId="5" applyAlignment="1" pivotButton="0" quotePrefix="0" xfId="0">
      <alignment horizontal="center" vertical="top" wrapText="1"/>
    </xf>
    <xf numFmtId="1" fontId="15" fillId="0" borderId="3" applyAlignment="1" pivotButton="0" quotePrefix="0" xfId="3">
      <alignment horizontal="center"/>
    </xf>
    <xf numFmtId="0" fontId="13" fillId="0" borderId="0" applyAlignment="1" pivotButton="0" quotePrefix="0" xfId="3">
      <alignment horizontal="left"/>
    </xf>
    <xf numFmtId="0" fontId="13" fillId="0" borderId="0" applyAlignment="1" pivotButton="0" quotePrefix="0" xfId="3">
      <alignment horizontal="right"/>
    </xf>
    <xf numFmtId="166" fontId="15" fillId="0" borderId="3" applyAlignment="1" pivotButton="0" quotePrefix="0" xfId="3">
      <alignment horizontal="center"/>
    </xf>
    <xf numFmtId="0" fontId="14" fillId="3" borderId="7" applyAlignment="1" pivotButton="0" quotePrefix="0" xfId="3">
      <alignment horizontal="center"/>
    </xf>
    <xf numFmtId="0" fontId="14" fillId="3" borderId="4" applyAlignment="1" pivotButton="0" quotePrefix="0" xfId="3">
      <alignment horizontal="center"/>
    </xf>
    <xf numFmtId="0" fontId="14" fillId="3" borderId="8" applyAlignment="1" pivotButton="0" quotePrefix="0" xfId="3">
      <alignment horizontal="center"/>
    </xf>
    <xf numFmtId="168" fontId="15" fillId="0" borderId="3" applyAlignment="1" applyProtection="1" pivotButton="0" quotePrefix="0" xfId="3">
      <alignment horizontal="center"/>
      <protection locked="0" hidden="0"/>
    </xf>
    <xf numFmtId="0" fontId="16" fillId="0" borderId="5" applyAlignment="1" pivotButton="0" quotePrefix="0" xfId="3">
      <alignment horizontal="center" vertical="top"/>
    </xf>
    <xf numFmtId="0" fontId="13" fillId="0" borderId="12" applyAlignment="1" pivotButton="0" quotePrefix="0" xfId="3">
      <alignment horizontal="left"/>
    </xf>
    <xf numFmtId="169" fontId="15" fillId="0" borderId="3" applyAlignment="1" applyProtection="1" pivotButton="0" quotePrefix="0" xfId="3">
      <alignment horizontal="center" shrinkToFit="1"/>
      <protection locked="0" hidden="0"/>
    </xf>
    <xf numFmtId="0" fontId="13" fillId="0" borderId="0" applyAlignment="1" pivotButton="0" quotePrefix="0" xfId="3">
      <alignment horizontal="center"/>
    </xf>
    <xf numFmtId="169" fontId="15" fillId="0" borderId="3" applyAlignment="1" pivotButton="0" quotePrefix="0" xfId="3">
      <alignment horizontal="center"/>
    </xf>
    <xf numFmtId="0" fontId="16" fillId="0" borderId="4" applyAlignment="1" pivotButton="0" quotePrefix="0" xfId="3">
      <alignment horizontal="center" vertical="top"/>
    </xf>
    <xf numFmtId="1" fontId="15" fillId="0" borderId="3" applyAlignment="1" applyProtection="1" pivotButton="0" quotePrefix="0" xfId="3">
      <alignment horizontal="center"/>
      <protection locked="0" hidden="0"/>
    </xf>
    <xf numFmtId="166" fontId="15" fillId="0" borderId="3" applyAlignment="1" applyProtection="1" pivotButton="0" quotePrefix="0" xfId="3">
      <alignment horizontal="right"/>
      <protection locked="0" hidden="0"/>
    </xf>
    <xf numFmtId="49" fontId="17" fillId="0" borderId="12" applyAlignment="1" applyProtection="1" pivotButton="0" quotePrefix="0" xfId="3">
      <alignment horizontal="left" vertical="center" wrapText="1"/>
      <protection locked="0" hidden="0"/>
    </xf>
    <xf numFmtId="49" fontId="17" fillId="0" borderId="0" applyAlignment="1" applyProtection="1" pivotButton="0" quotePrefix="0" xfId="3">
      <alignment horizontal="left" vertical="center" wrapText="1"/>
      <protection locked="0" hidden="0"/>
    </xf>
    <xf numFmtId="49" fontId="17" fillId="0" borderId="13" applyAlignment="1" applyProtection="1" pivotButton="0" quotePrefix="0" xfId="3">
      <alignment horizontal="left" vertical="center" wrapText="1"/>
      <protection locked="0" hidden="0"/>
    </xf>
    <xf numFmtId="0" fontId="16" fillId="0" borderId="10" applyAlignment="1" pivotButton="0" quotePrefix="1" xfId="3">
      <alignment horizontal="left" vertical="top" wrapText="1"/>
    </xf>
    <xf numFmtId="0" fontId="16" fillId="0" borderId="5" applyAlignment="1" pivotButton="0" quotePrefix="1" xfId="3">
      <alignment horizontal="left" vertical="top" wrapText="1"/>
    </xf>
    <xf numFmtId="49" fontId="17" fillId="0" borderId="5" applyAlignment="1" applyProtection="1" pivotButton="0" quotePrefix="0" xfId="3">
      <alignment horizontal="left" vertical="center"/>
      <protection locked="0" hidden="0"/>
    </xf>
    <xf numFmtId="0" fontId="13" fillId="0" borderId="5" applyAlignment="1" pivotButton="0" quotePrefix="0" xfId="3">
      <alignment horizontal="left" vertical="center"/>
    </xf>
    <xf numFmtId="0" fontId="13" fillId="0" borderId="11" applyAlignment="1" pivotButton="0" quotePrefix="0" xfId="3">
      <alignment horizontal="left" vertical="center"/>
    </xf>
    <xf numFmtId="49" fontId="18" fillId="0" borderId="12" applyAlignment="1" applyProtection="1" pivotButton="0" quotePrefix="0" xfId="3">
      <alignment horizontal="left" vertical="center" wrapText="1"/>
      <protection locked="0" hidden="0"/>
    </xf>
    <xf numFmtId="49" fontId="18" fillId="0" borderId="0" applyAlignment="1" applyProtection="1" pivotButton="0" quotePrefix="0" xfId="3">
      <alignment horizontal="left" vertical="center" wrapText="1"/>
      <protection locked="0" hidden="0"/>
    </xf>
    <xf numFmtId="49" fontId="18" fillId="0" borderId="13" applyAlignment="1" applyProtection="1" pivotButton="0" quotePrefix="0" xfId="3">
      <alignment horizontal="left" vertical="center" wrapText="1"/>
      <protection locked="0" hidden="0"/>
    </xf>
    <xf numFmtId="49" fontId="15" fillId="0" borderId="12" applyAlignment="1" applyProtection="1" pivotButton="0" quotePrefix="0" xfId="3">
      <alignment horizontal="left" vertical="center" wrapText="1"/>
      <protection locked="0" hidden="0"/>
    </xf>
    <xf numFmtId="49" fontId="15" fillId="0" borderId="0" applyAlignment="1" applyProtection="1" pivotButton="0" quotePrefix="0" xfId="3">
      <alignment horizontal="left" vertical="center" wrapText="1"/>
      <protection locked="0" hidden="0"/>
    </xf>
    <xf numFmtId="49" fontId="15" fillId="0" borderId="13" applyAlignment="1" applyProtection="1" pivotButton="0" quotePrefix="0" xfId="3">
      <alignment horizontal="left" vertical="center" wrapText="1"/>
      <protection locked="0" hidden="0"/>
    </xf>
    <xf numFmtId="49" fontId="17" fillId="0" borderId="12" applyAlignment="1" applyProtection="1" pivotButton="0" quotePrefix="0" xfId="3">
      <alignment horizontal="center" vertical="center" wrapText="1"/>
      <protection locked="0" hidden="0"/>
    </xf>
    <xf numFmtId="49" fontId="17" fillId="0" borderId="0" applyAlignment="1" applyProtection="1" pivotButton="0" quotePrefix="0" xfId="3">
      <alignment horizontal="center" vertical="center" wrapText="1"/>
      <protection locked="0" hidden="0"/>
    </xf>
    <xf numFmtId="49" fontId="17" fillId="0" borderId="13" applyAlignment="1" applyProtection="1" pivotButton="0" quotePrefix="0" xfId="3">
      <alignment horizontal="center" vertical="center" wrapText="1"/>
      <protection locked="0" hidden="0"/>
    </xf>
    <xf numFmtId="169" fontId="17" fillId="0" borderId="12" applyAlignment="1" applyProtection="1" pivotButton="0" quotePrefix="0" xfId="3">
      <alignment horizontal="left" vertical="center" wrapText="1"/>
      <protection locked="0" hidden="0"/>
    </xf>
    <xf numFmtId="169" fontId="17" fillId="0" borderId="0" applyAlignment="1" applyProtection="1" pivotButton="0" quotePrefix="0" xfId="3">
      <alignment horizontal="left" vertical="center" wrapText="1"/>
      <protection locked="0" hidden="0"/>
    </xf>
    <xf numFmtId="169" fontId="17" fillId="0" borderId="13" applyAlignment="1" applyProtection="1" pivotButton="0" quotePrefix="0" xfId="3">
      <alignment horizontal="left" vertical="center" wrapText="1"/>
      <protection locked="0" hidden="0"/>
    </xf>
    <xf numFmtId="0" fontId="16" fillId="0" borderId="10" applyAlignment="1" pivotButton="0" quotePrefix="0" xfId="3">
      <alignment horizontal="left"/>
    </xf>
    <xf numFmtId="0" fontId="16" fillId="0" borderId="5" applyAlignment="1" pivotButton="0" quotePrefix="0" xfId="3">
      <alignment horizontal="left"/>
    </xf>
    <xf numFmtId="0" fontId="22" fillId="0" borderId="0" applyAlignment="1" pivotButton="0" quotePrefix="0" xfId="0">
      <alignment horizontal="center" vertical="center" wrapText="1"/>
    </xf>
    <xf numFmtId="0" fontId="0" fillId="0" borderId="1" pivotButton="0" quotePrefix="0" xfId="0"/>
    <xf numFmtId="0" fontId="0" fillId="0" borderId="2" pivotButton="0" quotePrefix="0" xfId="0"/>
    <xf numFmtId="167" fontId="0" fillId="0" borderId="3" applyAlignment="1" pivotButton="0" quotePrefix="0" xfId="0">
      <alignment horizontal="center"/>
    </xf>
    <xf numFmtId="0" fontId="0" fillId="0" borderId="3" pivotButton="0" quotePrefix="0" xfId="0"/>
    <xf numFmtId="164" fontId="0" fillId="0" borderId="0" pivotButton="0" quotePrefix="0" xfId="0"/>
    <xf numFmtId="167" fontId="0" fillId="0" borderId="0" applyAlignment="1" pivotButton="0" quotePrefix="0" xfId="0">
      <alignment horizontal="center"/>
    </xf>
    <xf numFmtId="167" fontId="0" fillId="0" borderId="3" applyAlignment="1" pivotButton="0" quotePrefix="1" xfId="0">
      <alignment horizontal="center"/>
    </xf>
    <xf numFmtId="165" fontId="0" fillId="0" borderId="3" applyAlignment="1" pivotButton="0" quotePrefix="0" xfId="1">
      <alignment horizontal="center"/>
    </xf>
    <xf numFmtId="0" fontId="0" fillId="0" borderId="8" pivotButton="0" quotePrefix="0" xfId="0"/>
    <xf numFmtId="165" fontId="0" fillId="0" borderId="6" pivotButton="0" quotePrefix="0" xfId="1"/>
    <xf numFmtId="165" fontId="0" fillId="0" borderId="6" applyAlignment="1" pivotButton="0" quotePrefix="0" xfId="0">
      <alignment horizontal="center"/>
    </xf>
    <xf numFmtId="0" fontId="0" fillId="0" borderId="6" applyAlignment="1" pivotButton="0" quotePrefix="0" xfId="0">
      <alignment vertical="center" wrapText="1"/>
    </xf>
    <xf numFmtId="165" fontId="0" fillId="0" borderId="9" pivotButton="0" quotePrefix="0" xfId="1"/>
    <xf numFmtId="0" fontId="0" fillId="0" borderId="6" applyAlignment="1" pivotButton="0" quotePrefix="0" xfId="0">
      <alignment vertical="center"/>
    </xf>
    <xf numFmtId="0" fontId="8" fillId="0" borderId="6" applyAlignment="1" pivotButton="0" quotePrefix="0" xfId="0">
      <alignment horizontal="justify" vertical="center" wrapText="1"/>
    </xf>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15" pivotButton="0" quotePrefix="0" xfId="0"/>
    <xf numFmtId="165" fontId="0" fillId="0" borderId="0" pivotButton="0" quotePrefix="0" xfId="0"/>
    <xf numFmtId="165" fontId="0" fillId="0" borderId="0" applyAlignment="1" pivotButton="0" quotePrefix="0" xfId="0">
      <alignment horizontal="center"/>
    </xf>
    <xf numFmtId="165" fontId="10" fillId="2" borderId="0" pivotButton="0" quotePrefix="0" xfId="0"/>
    <xf numFmtId="165" fontId="0" fillId="2" borderId="3" pivotButton="0" quotePrefix="0" xfId="0"/>
    <xf numFmtId="165" fontId="0" fillId="2" borderId="4" pivotButton="0" quotePrefix="0" xfId="1"/>
    <xf numFmtId="165" fontId="0" fillId="2" borderId="4" pivotButton="0" quotePrefix="0" xfId="0"/>
    <xf numFmtId="165" fontId="0" fillId="0" borderId="3" pivotButton="0" quotePrefix="0" xfId="0"/>
    <xf numFmtId="165" fontId="0" fillId="0" borderId="4" pivotButton="0" quotePrefix="0" xfId="0"/>
    <xf numFmtId="0" fontId="14" fillId="3" borderId="6" applyAlignment="1" pivotButton="0" quotePrefix="0" xfId="3">
      <alignment horizontal="center"/>
    </xf>
    <xf numFmtId="168" fontId="15" fillId="0" borderId="3" applyAlignment="1" applyProtection="1" pivotButton="0" quotePrefix="0" xfId="3">
      <alignment horizontal="center"/>
      <protection locked="0" hidden="0"/>
    </xf>
    <xf numFmtId="0" fontId="0" fillId="0" borderId="3" applyProtection="1" pivotButton="0" quotePrefix="0" xfId="0">
      <protection locked="0" hidden="0"/>
    </xf>
    <xf numFmtId="166" fontId="15" fillId="0" borderId="3" applyAlignment="1" applyProtection="1" pivotButton="0" quotePrefix="0" xfId="3">
      <alignment horizontal="center"/>
      <protection locked="0" hidden="0"/>
    </xf>
    <xf numFmtId="166" fontId="15" fillId="0" borderId="3" applyAlignment="1" pivotButton="0" quotePrefix="0" xfId="3">
      <alignment horizontal="center"/>
    </xf>
    <xf numFmtId="169" fontId="15" fillId="0" borderId="3" applyAlignment="1" applyProtection="1" pivotButton="0" quotePrefix="0" xfId="3">
      <alignment horizontal="center" shrinkToFit="1"/>
      <protection locked="0" hidden="0"/>
    </xf>
    <xf numFmtId="169" fontId="15" fillId="0" borderId="3" applyAlignment="1" pivotButton="0" quotePrefix="0" xfId="3">
      <alignment horizontal="center"/>
    </xf>
    <xf numFmtId="166" fontId="15" fillId="0" borderId="3" applyAlignment="1" applyProtection="1" pivotButton="0" quotePrefix="0" xfId="3">
      <alignment horizontal="right"/>
      <protection locked="0" hidden="0"/>
    </xf>
    <xf numFmtId="166" fontId="14" fillId="0" borderId="0" applyAlignment="1" pivotButton="0" quotePrefix="0" xfId="3">
      <alignment horizontal="center"/>
    </xf>
    <xf numFmtId="166" fontId="13" fillId="0" borderId="0" applyAlignment="1" pivotButton="0" quotePrefix="0" xfId="3">
      <alignment horizontal="left"/>
    </xf>
    <xf numFmtId="49" fontId="17" fillId="0" borderId="11" applyAlignment="1" applyProtection="1" pivotButton="0" quotePrefix="0" xfId="3">
      <alignment horizontal="left" vertical="center"/>
      <protection locked="0" hidden="0"/>
    </xf>
    <xf numFmtId="0" fontId="0" fillId="0" borderId="5" applyProtection="1" pivotButton="0" quotePrefix="0" xfId="0">
      <protection locked="0" hidden="0"/>
    </xf>
    <xf numFmtId="0" fontId="0" fillId="0" borderId="11" applyProtection="1" pivotButton="0" quotePrefix="0" xfId="0">
      <protection locked="0" hidden="0"/>
    </xf>
    <xf numFmtId="49" fontId="17" fillId="0" borderId="17" applyAlignment="1" applyProtection="1" pivotButton="0" quotePrefix="0" xfId="3">
      <alignment horizontal="left" vertical="center" wrapText="1"/>
      <protection locked="0" hidden="0"/>
    </xf>
    <xf numFmtId="0" fontId="0" fillId="0" borderId="0" applyProtection="1" pivotButton="0" quotePrefix="0" xfId="0">
      <protection locked="0" hidden="0"/>
    </xf>
    <xf numFmtId="0" fontId="0" fillId="0" borderId="13" applyProtection="1" pivotButton="0" quotePrefix="0" xfId="0">
      <protection locked="0" hidden="0"/>
    </xf>
    <xf numFmtId="49" fontId="18" fillId="0" borderId="17" applyAlignment="1" applyProtection="1" pivotButton="0" quotePrefix="0" xfId="3">
      <alignment horizontal="left" vertical="center" wrapText="1"/>
      <protection locked="0" hidden="0"/>
    </xf>
    <xf numFmtId="49" fontId="15" fillId="0" borderId="17" applyAlignment="1" applyProtection="1" pivotButton="0" quotePrefix="0" xfId="3">
      <alignment horizontal="left" vertical="center" wrapText="1"/>
      <protection locked="0" hidden="0"/>
    </xf>
    <xf numFmtId="49" fontId="17" fillId="0" borderId="17" applyAlignment="1" applyProtection="1" pivotButton="0" quotePrefix="0" xfId="3">
      <alignment horizontal="center" vertical="center" wrapText="1"/>
      <protection locked="0" hidden="0"/>
    </xf>
    <xf numFmtId="169" fontId="17" fillId="0" borderId="17" applyAlignment="1" applyProtection="1" pivotButton="0" quotePrefix="0" xfId="3">
      <alignment horizontal="left" vertical="center" wrapText="1"/>
      <protection locked="0" hidden="0"/>
    </xf>
    <xf numFmtId="0" fontId="0" fillId="0" borderId="12" applyProtection="1" pivotButton="0" quotePrefix="0" xfId="0">
      <protection locked="0" hidden="0"/>
    </xf>
  </cellXfs>
  <cellStyles count="4">
    <cellStyle name="Normal" xfId="0" builtinId="0"/>
    <cellStyle name="Currency" xfId="1" builtinId="4"/>
    <cellStyle name="Percent" xfId="2" builtinId="5"/>
    <cellStyle name="Normal 3"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externalLink" Target="/xl/externalLinks/externalLink1.xml" Id="rId3"/><Relationship Type="http://schemas.openxmlformats.org/officeDocument/2006/relationships/externalLink" Target="/xl/externalLinks/externalLink2.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133613</rowOff>
    </from>
    <to>
      <col>2</col>
      <colOff>702684</colOff>
      <row>5</row>
      <rowOff>21390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t="5080" b="5080"/>
        <a:stretch xmlns:a="http://schemas.openxmlformats.org/drawingml/2006/main">
          <a:fillRect/>
        </a:stretch>
      </blipFill>
      <spPr bwMode="auto">
        <a:xfrm xmlns:a="http://schemas.openxmlformats.org/drawingml/2006/main">
          <a:off x="0" y="133613"/>
          <a:ext cx="1881403" cy="923621"/>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imaldonado/Documents/Acumenian,%20LLC/PRHTA/Emergency%20Projects/Templates%20ER%20PRojects%20Rev.%2011-02-2017%20incluyendo%20CCP.xlsx" TargetMode="External" Id="rId2"/></Relationships>
</file>

<file path=xl/externalLinks/_rels/externalLink2.xml.rels><Relationships xmlns="http://schemas.openxmlformats.org/package/2006/relationships"><Relationship Type="http://schemas.openxmlformats.org/officeDocument/2006/relationships/externalLinkPath" Target="file:///G:\My%20Drive\M2A%20(GD)\CARRETERAS\DOCUMENTOS%20CARRETERAS\FORMAS%20Y%20DOCUMENTOS%20ACT\CERTIFICACION%20DE%20PAGO%20Progress%20Payment%20Report\ACT-117C%20Monthly%20Progress%20Payment%20Report%20-Federal%20Projects.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ValidationLists"/>
      <sheetName val="Document Worksheet"/>
      <sheetName val="Unit Prices ER Projects"/>
      <sheetName val="TO1 # Approval Sheet "/>
      <sheetName val="TO #1 Checklist"/>
      <sheetName val="TO #2 Approval Sheet "/>
      <sheetName val="TO #2 Checklist "/>
      <sheetName val="TO #3 Approval Sheet "/>
      <sheetName val="TO #3 Checklist"/>
      <sheetName val="TO #4 Approval Sheet"/>
      <sheetName val="TO #4 Checklist "/>
      <sheetName val="TO #5 Approval Sheet"/>
      <sheetName val="TO #5 Checklist "/>
      <sheetName val="TO #6 Approval Sheet "/>
      <sheetName val="TO #6 Checklist"/>
      <sheetName val="TO #7 Approval Sheet"/>
      <sheetName val="TO #7 Checklist "/>
      <sheetName val="TO #8 Approval Sheet "/>
      <sheetName val="TO #8 Checklist "/>
      <sheetName val="TO #9 Approval Sheet "/>
      <sheetName val="TO #9 Checklist"/>
      <sheetName val="TO #10 Approval Sheet "/>
      <sheetName val="TO #10 Checklist"/>
      <sheetName val="TO #11 Approval Sheet "/>
      <sheetName val="TO #11 Checklist"/>
      <sheetName val="TO #12 Approval Sheet"/>
      <sheetName val="TO #12 Checklist"/>
      <sheetName val="TO #13 Approval Sheet"/>
      <sheetName val="TO #13 Checklist "/>
      <sheetName val="TO #14 Approval Sheet"/>
      <sheetName val="TO #14 Checklist "/>
      <sheetName val="TO #15 Approval Sheet"/>
      <sheetName val="TO #15 Checklist "/>
      <sheetName val="Monthly Task WP"/>
      <sheetName val="Monthly Progress Payment Report"/>
      <sheetName val="Sheet12"/>
      <sheetName val="Sheet3"/>
    </sheetNames>
    <sheetDataSet>
      <sheetData sheetId="0">
        <row r="5">
          <cell r="B5" t="str">
            <v>Spec No.</v>
          </cell>
        </row>
        <row r="6">
          <cell r="B6">
            <v>151</v>
          </cell>
        </row>
        <row r="7">
          <cell r="B7">
            <v>201</v>
          </cell>
        </row>
        <row r="8">
          <cell r="B8">
            <v>202</v>
          </cell>
        </row>
        <row r="9">
          <cell r="B9">
            <v>202</v>
          </cell>
        </row>
        <row r="10">
          <cell r="B10">
            <v>203</v>
          </cell>
        </row>
        <row r="11">
          <cell r="B11">
            <v>203</v>
          </cell>
        </row>
        <row r="12">
          <cell r="B12">
            <v>203</v>
          </cell>
        </row>
        <row r="13">
          <cell r="B13">
            <v>203</v>
          </cell>
        </row>
        <row r="14">
          <cell r="B14">
            <v>203</v>
          </cell>
        </row>
        <row r="15">
          <cell r="B15">
            <v>205</v>
          </cell>
        </row>
        <row r="16">
          <cell r="B16">
            <v>206</v>
          </cell>
        </row>
        <row r="17">
          <cell r="B17">
            <v>209</v>
          </cell>
        </row>
        <row r="18">
          <cell r="B18">
            <v>301</v>
          </cell>
        </row>
        <row r="19">
          <cell r="B19">
            <v>304</v>
          </cell>
        </row>
        <row r="20">
          <cell r="B20">
            <v>305</v>
          </cell>
        </row>
        <row r="21">
          <cell r="B21">
            <v>401</v>
          </cell>
        </row>
        <row r="22">
          <cell r="B22">
            <v>401</v>
          </cell>
        </row>
        <row r="23">
          <cell r="B23">
            <v>401</v>
          </cell>
        </row>
        <row r="24">
          <cell r="B24">
            <v>401</v>
          </cell>
        </row>
        <row r="25">
          <cell r="B25">
            <v>401</v>
          </cell>
        </row>
        <row r="26">
          <cell r="B26">
            <v>401</v>
          </cell>
        </row>
        <row r="27">
          <cell r="B27">
            <v>403</v>
          </cell>
        </row>
        <row r="28">
          <cell r="B28">
            <v>601</v>
          </cell>
        </row>
        <row r="29">
          <cell r="B29">
            <v>601</v>
          </cell>
        </row>
        <row r="30">
          <cell r="B30">
            <v>601</v>
          </cell>
        </row>
        <row r="31">
          <cell r="B31">
            <v>602</v>
          </cell>
        </row>
        <row r="32">
          <cell r="B32">
            <v>603</v>
          </cell>
        </row>
        <row r="33">
          <cell r="B33">
            <v>603</v>
          </cell>
        </row>
        <row r="34">
          <cell r="B34">
            <v>603</v>
          </cell>
        </row>
        <row r="35">
          <cell r="B35">
            <v>603</v>
          </cell>
        </row>
        <row r="36">
          <cell r="B36">
            <v>603</v>
          </cell>
        </row>
        <row r="37">
          <cell r="B37">
            <v>603</v>
          </cell>
        </row>
        <row r="38">
          <cell r="B38">
            <v>603</v>
          </cell>
        </row>
        <row r="39">
          <cell r="B39">
            <v>603</v>
          </cell>
        </row>
        <row r="40">
          <cell r="B40">
            <v>603</v>
          </cell>
        </row>
        <row r="41">
          <cell r="B41">
            <v>603</v>
          </cell>
        </row>
        <row r="42">
          <cell r="B42">
            <v>604</v>
          </cell>
        </row>
        <row r="43">
          <cell r="B43">
            <v>604</v>
          </cell>
        </row>
        <row r="44">
          <cell r="B44">
            <v>604</v>
          </cell>
        </row>
        <row r="45">
          <cell r="B45">
            <v>604</v>
          </cell>
        </row>
        <row r="46">
          <cell r="B46">
            <v>604</v>
          </cell>
        </row>
        <row r="47">
          <cell r="B47">
            <v>605</v>
          </cell>
        </row>
        <row r="48">
          <cell r="B48">
            <v>605</v>
          </cell>
        </row>
        <row r="49">
          <cell r="B49">
            <v>606</v>
          </cell>
        </row>
        <row r="50">
          <cell r="B50">
            <v>606</v>
          </cell>
        </row>
        <row r="51">
          <cell r="B51">
            <v>606</v>
          </cell>
        </row>
        <row r="52">
          <cell r="B52">
            <v>607</v>
          </cell>
        </row>
        <row r="53">
          <cell r="B53">
            <v>607</v>
          </cell>
        </row>
        <row r="54">
          <cell r="B54">
            <v>607</v>
          </cell>
        </row>
        <row r="55">
          <cell r="B55">
            <v>607</v>
          </cell>
        </row>
        <row r="56">
          <cell r="B56">
            <v>608</v>
          </cell>
        </row>
        <row r="57">
          <cell r="B57">
            <v>609</v>
          </cell>
        </row>
        <row r="58">
          <cell r="B58">
            <v>609</v>
          </cell>
        </row>
        <row r="59">
          <cell r="B59">
            <v>609</v>
          </cell>
        </row>
        <row r="60">
          <cell r="B60">
            <v>610</v>
          </cell>
        </row>
        <row r="61">
          <cell r="B61">
            <v>611</v>
          </cell>
        </row>
        <row r="62">
          <cell r="B62">
            <v>613</v>
          </cell>
        </row>
        <row r="63">
          <cell r="B63">
            <v>613</v>
          </cell>
        </row>
        <row r="64">
          <cell r="B64">
            <v>614</v>
          </cell>
        </row>
        <row r="65">
          <cell r="B65">
            <v>617</v>
          </cell>
        </row>
        <row r="66">
          <cell r="B66">
            <v>618</v>
          </cell>
        </row>
        <row r="67">
          <cell r="B67">
            <v>622</v>
          </cell>
        </row>
        <row r="68">
          <cell r="B68">
            <v>622</v>
          </cell>
        </row>
        <row r="69">
          <cell r="B69">
            <v>623</v>
          </cell>
        </row>
        <row r="70">
          <cell r="B70">
            <v>626</v>
          </cell>
        </row>
        <row r="71">
          <cell r="B71">
            <v>631</v>
          </cell>
        </row>
        <row r="72">
          <cell r="B72">
            <v>636</v>
          </cell>
        </row>
        <row r="73">
          <cell r="B73">
            <v>636</v>
          </cell>
        </row>
        <row r="74">
          <cell r="B74">
            <v>636</v>
          </cell>
        </row>
        <row r="75">
          <cell r="B75">
            <v>636</v>
          </cell>
        </row>
        <row r="76">
          <cell r="B76">
            <v>636</v>
          </cell>
        </row>
        <row r="77">
          <cell r="B77">
            <v>636</v>
          </cell>
        </row>
        <row r="78">
          <cell r="B78">
            <v>636</v>
          </cell>
        </row>
        <row r="79">
          <cell r="B79">
            <v>636</v>
          </cell>
        </row>
        <row r="80">
          <cell r="B80">
            <v>636</v>
          </cell>
        </row>
        <row r="81">
          <cell r="B81">
            <v>636</v>
          </cell>
        </row>
        <row r="82">
          <cell r="B82">
            <v>636</v>
          </cell>
        </row>
        <row r="83">
          <cell r="B83">
            <v>636</v>
          </cell>
        </row>
        <row r="84">
          <cell r="B84">
            <v>636</v>
          </cell>
        </row>
        <row r="85">
          <cell r="B85">
            <v>636</v>
          </cell>
        </row>
        <row r="86">
          <cell r="B86">
            <v>636</v>
          </cell>
        </row>
        <row r="87">
          <cell r="B87">
            <v>636</v>
          </cell>
        </row>
        <row r="88">
          <cell r="B88">
            <v>636</v>
          </cell>
        </row>
        <row r="89">
          <cell r="B89">
            <v>636</v>
          </cell>
        </row>
        <row r="90">
          <cell r="B90">
            <v>636</v>
          </cell>
        </row>
        <row r="91">
          <cell r="B91">
            <v>636</v>
          </cell>
        </row>
        <row r="92">
          <cell r="B92">
            <v>636</v>
          </cell>
        </row>
        <row r="93">
          <cell r="B93">
            <v>636</v>
          </cell>
        </row>
        <row r="94">
          <cell r="B94">
            <v>636</v>
          </cell>
        </row>
        <row r="95">
          <cell r="B95">
            <v>636</v>
          </cell>
        </row>
        <row r="96">
          <cell r="B96">
            <v>636</v>
          </cell>
        </row>
        <row r="97">
          <cell r="B97">
            <v>636</v>
          </cell>
        </row>
        <row r="98">
          <cell r="B98">
            <v>636</v>
          </cell>
        </row>
        <row r="99">
          <cell r="B99">
            <v>638</v>
          </cell>
        </row>
        <row r="100">
          <cell r="B100">
            <v>638</v>
          </cell>
        </row>
        <row r="101">
          <cell r="B101">
            <v>638</v>
          </cell>
        </row>
        <row r="102">
          <cell r="B102">
            <v>638</v>
          </cell>
        </row>
        <row r="103">
          <cell r="B103">
            <v>638</v>
          </cell>
        </row>
        <row r="104">
          <cell r="B104">
            <v>638</v>
          </cell>
        </row>
        <row r="105">
          <cell r="B105">
            <v>640</v>
          </cell>
        </row>
        <row r="106">
          <cell r="B106">
            <v>661</v>
          </cell>
        </row>
        <row r="107">
          <cell r="B107">
            <v>905</v>
          </cell>
        </row>
        <row r="108">
          <cell r="B108">
            <v>947</v>
          </cell>
        </row>
        <row r="109">
          <cell r="B109">
            <v>962</v>
          </cell>
        </row>
        <row r="110">
          <cell r="B110">
            <v>962</v>
          </cell>
        </row>
        <row r="111">
          <cell r="B111">
            <v>962</v>
          </cell>
        </row>
        <row r="112">
          <cell r="B112">
            <v>962</v>
          </cell>
        </row>
        <row r="113">
          <cell r="B113">
            <v>962</v>
          </cell>
        </row>
        <row r="114">
          <cell r="B114">
            <v>962</v>
          </cell>
        </row>
        <row r="115">
          <cell r="B115" t="str">
            <v>610&amp;607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MPPR- ACT-117C (p1)"/>
      <sheetName val="MPPR- ACT-117C (p2)"/>
      <sheetName val="MPPR- ACT-117C (p3)"/>
      <sheetName val="MPPR- ACT-117C (p4)"/>
      <sheetName val="MPPR- ACT-117C (p5)"/>
      <sheetName val="ACT-117C PAG atrás"/>
      <sheetName val="Instrucciones"/>
    </sheetNames>
    <sheetDataSet>
      <sheetData sheetId="0">
        <row r="19">
          <cell r="K19">
            <v>113215.20000000001</v>
          </cell>
        </row>
        <row r="20">
          <cell r="K20">
            <v>2529.92</v>
          </cell>
        </row>
        <row r="21">
          <cell r="K21">
            <v>17435.600000000002</v>
          </cell>
        </row>
        <row r="22">
          <cell r="K22">
            <v>1662.6000000000001</v>
          </cell>
        </row>
        <row r="23">
          <cell r="K23">
            <v>4765.2</v>
          </cell>
        </row>
        <row r="24">
          <cell r="K24">
            <v>23250</v>
          </cell>
        </row>
        <row r="25">
          <cell r="K25">
            <v>15000</v>
          </cell>
        </row>
        <row r="26">
          <cell r="K26">
            <v>2900</v>
          </cell>
        </row>
        <row r="27">
          <cell r="K27">
            <v>574</v>
          </cell>
        </row>
        <row r="28">
          <cell r="K28">
            <v>38400</v>
          </cell>
        </row>
        <row r="29">
          <cell r="K29">
            <v>300</v>
          </cell>
        </row>
      </sheetData>
      <sheetData sheetId="1">
        <row r="19">
          <cell r="K19">
            <v>300</v>
          </cell>
        </row>
        <row r="20">
          <cell r="K20">
            <v>450</v>
          </cell>
        </row>
        <row r="21">
          <cell r="K21">
            <v>1470</v>
          </cell>
        </row>
        <row r="22">
          <cell r="K22">
            <v>3600</v>
          </cell>
        </row>
        <row r="23">
          <cell r="K23">
            <v>400</v>
          </cell>
        </row>
        <row r="24">
          <cell r="K24">
            <v>2400</v>
          </cell>
        </row>
        <row r="25">
          <cell r="K25">
            <v>600</v>
          </cell>
        </row>
        <row r="26">
          <cell r="K26">
            <v>3600</v>
          </cell>
        </row>
        <row r="27">
          <cell r="K27">
            <v>375</v>
          </cell>
        </row>
        <row r="28">
          <cell r="K28">
            <v>650</v>
          </cell>
        </row>
        <row r="29">
          <cell r="K29">
            <v>2250</v>
          </cell>
        </row>
      </sheetData>
      <sheetData sheetId="2">
        <row r="19">
          <cell r="K19">
            <v>400</v>
          </cell>
        </row>
        <row r="20">
          <cell r="K20">
            <v>1776</v>
          </cell>
        </row>
        <row r="21">
          <cell r="K21">
            <v>7221.6</v>
          </cell>
        </row>
        <row r="22">
          <cell r="K22">
            <v>660</v>
          </cell>
        </row>
        <row r="23">
          <cell r="K23">
            <v>1925</v>
          </cell>
        </row>
        <row r="24">
          <cell r="K24">
            <v>10000</v>
          </cell>
        </row>
        <row r="25">
          <cell r="K25">
            <v>12000</v>
          </cell>
        </row>
        <row r="26">
          <cell r="K26">
            <v>1811.55</v>
          </cell>
        </row>
        <row r="27">
          <cell r="K27">
            <v>1811.55</v>
          </cell>
        </row>
        <row r="28">
          <cell r="K28">
            <v>2567.8200000000002</v>
          </cell>
        </row>
      </sheetData>
      <sheetData sheetId="3">
        <row r="19">
          <cell r="K19">
            <v>13000</v>
          </cell>
        </row>
        <row r="20">
          <cell r="K20">
            <v>179.22</v>
          </cell>
        </row>
        <row r="21">
          <cell r="K21">
            <v>15000</v>
          </cell>
        </row>
        <row r="22">
          <cell r="K22">
            <v>10000</v>
          </cell>
        </row>
        <row r="23">
          <cell r="K23">
            <v>44000</v>
          </cell>
        </row>
        <row r="24">
          <cell r="K24">
            <v>2100</v>
          </cell>
        </row>
        <row r="25">
          <cell r="K25">
            <v>6190.38</v>
          </cell>
        </row>
        <row r="26">
          <cell r="K26">
            <v>17100</v>
          </cell>
        </row>
        <row r="27">
          <cell r="K27">
            <v>5400</v>
          </cell>
        </row>
        <row r="28">
          <cell r="K28">
            <v>1400</v>
          </cell>
        </row>
      </sheetData>
      <sheetData sheetId="4"/>
      <sheetData sheetId="5"/>
      <sheetData sheetId="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P50"/>
  <sheetViews>
    <sheetView showGridLines="0" tabSelected="1" topLeftCell="A31" zoomScale="80" zoomScaleNormal="80" zoomScaleSheetLayoutView="120" workbookViewId="0">
      <selection activeCell="P18" sqref="P18"/>
    </sheetView>
  </sheetViews>
  <sheetFormatPr baseColWidth="8" defaultColWidth="8.77734375" defaultRowHeight="14.4"/>
  <cols>
    <col width="8.6640625" customWidth="1" min="1" max="1"/>
    <col width="8.44140625" customWidth="1" min="2" max="2"/>
    <col width="10.44140625" customWidth="1" min="3" max="3"/>
    <col width="13" customWidth="1" min="4" max="4"/>
    <col width="27.109375" customWidth="1" min="5" max="5"/>
    <col width="6.33203125" customWidth="1" min="6" max="6"/>
    <col width="9.6640625" customWidth="1" min="7" max="7"/>
    <col width="8.44140625" customWidth="1" min="8" max="8"/>
    <col width="19.33203125" customWidth="1" min="9" max="9"/>
    <col width="14.44140625" customWidth="1" min="10" max="10"/>
    <col width="17.6640625" customWidth="1" min="11" max="11"/>
    <col width="12.44140625" customWidth="1" min="16" max="16"/>
  </cols>
  <sheetData>
    <row r="1">
      <c r="K1" s="152" t="inlineStr">
        <is>
          <t>ACT-117C
(Reb. 03/2020)</t>
        </is>
      </c>
    </row>
    <row r="2" ht="23.25" customHeight="1">
      <c r="A2" s="82" t="inlineStr">
        <is>
          <t>Goverment of Puerto Rico</t>
        </is>
      </c>
      <c r="L2" s="83" t="n"/>
    </row>
    <row r="3" ht="15.6" customHeight="1">
      <c r="A3" s="84" t="inlineStr">
        <is>
          <t>Department of Transportation and Public Works</t>
        </is>
      </c>
    </row>
    <row r="4" ht="18" customHeight="1">
      <c r="A4" s="85" t="inlineStr">
        <is>
          <t>HIGHWAY AND TRANSPORTATION AUTHORITY</t>
        </is>
      </c>
    </row>
    <row r="5" ht="11.55" customHeight="1">
      <c r="A5" s="85" t="n"/>
      <c r="B5" s="85" t="n"/>
      <c r="C5" s="85" t="n"/>
      <c r="D5" s="85" t="n"/>
      <c r="E5" s="85" t="n"/>
      <c r="F5" s="85" t="n"/>
      <c r="G5" s="85" t="n"/>
      <c r="H5" s="85" t="n"/>
      <c r="I5" s="85" t="n"/>
      <c r="J5" s="85" t="n"/>
      <c r="K5" s="85" t="n"/>
    </row>
    <row r="6" ht="18" customHeight="1" thickBot="1">
      <c r="A6" s="86" t="inlineStr">
        <is>
          <t>MONTHLY PROGRESS PAYMENT REPORT</t>
        </is>
      </c>
      <c r="B6" s="153" t="n"/>
      <c r="C6" s="153" t="n"/>
      <c r="D6" s="153" t="n"/>
      <c r="E6" s="153" t="n"/>
      <c r="F6" s="153" t="n"/>
      <c r="G6" s="153" t="n"/>
      <c r="H6" s="153" t="n"/>
      <c r="I6" s="153" t="n"/>
      <c r="J6" s="153" t="n"/>
      <c r="K6" s="153" t="n"/>
    </row>
    <row r="7" ht="29.7" customHeight="1" thickTop="1">
      <c r="A7" t="inlineStr">
        <is>
          <t>1.  To:</t>
        </is>
      </c>
      <c r="C7" s="80" t="inlineStr">
        <is>
          <t>Director Ejecutivo</t>
        </is>
      </c>
      <c r="D7" s="154" t="n"/>
      <c r="E7" s="154" t="n"/>
      <c r="F7" s="154" t="n"/>
      <c r="H7" t="inlineStr">
        <is>
          <t>9.  Date:</t>
        </is>
      </c>
      <c r="J7" s="155" t="n">
        <v>44986</v>
      </c>
      <c r="K7" s="156" t="n"/>
    </row>
    <row r="8" ht="27.45" customHeight="1">
      <c r="A8" t="inlineStr">
        <is>
          <t>2.  Project Name:</t>
        </is>
      </c>
      <c r="C8" s="2" t="inlineStr">
        <is>
          <t>Highway Safety Improvement Highway PR 176 Kilometers 0 to 4.00 San Juan, Puerto Rico</t>
        </is>
      </c>
      <c r="D8" s="3" t="n"/>
      <c r="E8" s="3" t="n"/>
      <c r="F8" s="3" t="n"/>
      <c r="H8" t="inlineStr">
        <is>
          <t>10.  Cert. Num.:</t>
        </is>
      </c>
      <c r="J8" s="87" t="n">
        <v>8</v>
      </c>
      <c r="K8" s="156" t="n"/>
      <c r="P8" s="157" t="n"/>
    </row>
    <row r="9" ht="26.25" customHeight="1">
      <c r="A9" t="inlineStr">
        <is>
          <t>3.  Contractor:</t>
        </is>
      </c>
      <c r="C9" s="88" t="inlineStr">
        <is>
          <t>Puerto Rico Asphalt</t>
        </is>
      </c>
      <c r="D9" s="3" t="n"/>
      <c r="E9" s="3" t="n"/>
      <c r="F9" s="3" t="n"/>
      <c r="H9" t="inlineStr">
        <is>
          <t>11.  Work Performed up to:</t>
        </is>
      </c>
      <c r="J9" s="89" t="n">
        <v>44977</v>
      </c>
      <c r="K9" s="156" t="n"/>
      <c r="P9" s="158" t="n"/>
    </row>
    <row r="10" ht="24.75" customHeight="1">
      <c r="A10" t="inlineStr">
        <is>
          <t>4.  Project Num.:</t>
        </is>
      </c>
      <c r="C10" s="88" t="inlineStr">
        <is>
          <t>AC017630</t>
        </is>
      </c>
      <c r="D10" s="3" t="n"/>
      <c r="E10" s="5" t="n"/>
      <c r="G10" s="6" t="inlineStr">
        <is>
          <t>12.  Contract Beginning Date:</t>
        </is>
      </c>
      <c r="H10" s="6" t="n"/>
      <c r="J10" s="155" t="n">
        <v>44348</v>
      </c>
      <c r="K10" s="156" t="n"/>
    </row>
    <row r="11" ht="19.95" customHeight="1">
      <c r="A11" t="inlineStr">
        <is>
          <t>5.  Federal Num.:</t>
        </is>
      </c>
      <c r="C11" s="88" t="inlineStr">
        <is>
          <t>ZP-176(3)</t>
        </is>
      </c>
      <c r="D11" s="3" t="n"/>
      <c r="G11" s="6" t="inlineStr">
        <is>
          <t>13.  Contract Completion Date:</t>
        </is>
      </c>
      <c r="H11" s="6" t="n"/>
      <c r="J11" s="155" t="n">
        <v>44767</v>
      </c>
      <c r="K11" s="156" t="n"/>
    </row>
    <row r="12" ht="19.95" customHeight="1">
      <c r="A12" t="inlineStr">
        <is>
          <t>6.  Oracle Num.:</t>
        </is>
      </c>
      <c r="C12" s="88" t="inlineStr">
        <is>
          <t>F000176030</t>
        </is>
      </c>
      <c r="D12" s="3" t="n"/>
      <c r="G12" s="6" t="inlineStr">
        <is>
          <t xml:space="preserve">14.  Revised Completion Date </t>
        </is>
      </c>
      <c r="H12" s="6" t="n"/>
      <c r="J12" s="159" t="n">
        <v>44812</v>
      </c>
      <c r="K12" s="156" t="n"/>
      <c r="O12" s="7" t="n"/>
    </row>
    <row r="13" ht="19.95" customHeight="1">
      <c r="A13" s="6" t="inlineStr">
        <is>
          <t>7.  Contract Num.:</t>
        </is>
      </c>
      <c r="C13" s="88" t="inlineStr">
        <is>
          <t>2021-000339</t>
        </is>
      </c>
      <c r="D13" s="3" t="n"/>
      <c r="G13" s="6" t="inlineStr">
        <is>
          <t>15.  Project Original Amount:</t>
        </is>
      </c>
      <c r="H13" s="6" t="n"/>
      <c r="J13" s="160" t="n">
        <v>3137499</v>
      </c>
      <c r="K13" s="156" t="n"/>
    </row>
    <row r="14" ht="19.95" customHeight="1">
      <c r="A14" t="inlineStr">
        <is>
          <t>8.  Municipality:</t>
        </is>
      </c>
      <c r="C14" s="88" t="inlineStr">
        <is>
          <t>San Juan</t>
        </is>
      </c>
      <c r="D14" s="3" t="n"/>
      <c r="G14" s="6" t="inlineStr">
        <is>
          <t>16.  Project Revised Amount:</t>
        </is>
      </c>
      <c r="H14" s="6" t="n"/>
      <c r="J14" s="160" t="n">
        <v>4027901</v>
      </c>
      <c r="K14" s="156" t="n"/>
    </row>
    <row r="15">
      <c r="H15" s="8" t="n"/>
    </row>
    <row r="17">
      <c r="A17" s="9" t="n">
        <v>17</v>
      </c>
      <c r="B17" s="9" t="n">
        <v>18</v>
      </c>
      <c r="C17" s="9" t="n">
        <v>19</v>
      </c>
      <c r="D17" s="9" t="n">
        <v>20</v>
      </c>
      <c r="E17" s="9" t="n">
        <v>21</v>
      </c>
      <c r="F17" s="9" t="n"/>
      <c r="G17" s="9" t="n"/>
      <c r="H17" s="9" t="n">
        <v>22</v>
      </c>
      <c r="I17" s="9" t="n">
        <v>23</v>
      </c>
      <c r="J17" s="9" t="n">
        <v>24</v>
      </c>
      <c r="K17" s="9" t="n">
        <v>25</v>
      </c>
    </row>
    <row r="18" ht="43.5" customHeight="1">
      <c r="A18" s="94" t="inlineStr">
        <is>
          <t>Item No.</t>
        </is>
      </c>
      <c r="B18" s="94" t="inlineStr">
        <is>
          <t>Alt</t>
        </is>
      </c>
      <c r="C18" s="94" t="inlineStr">
        <is>
          <t>Spec. Code</t>
        </is>
      </c>
      <c r="D18" s="94" t="inlineStr">
        <is>
          <t>% Federal Participation</t>
        </is>
      </c>
      <c r="E18" s="94" t="inlineStr">
        <is>
          <t>Description</t>
        </is>
      </c>
      <c r="F18" s="3" t="n"/>
      <c r="G18" s="161" t="n"/>
      <c r="H18" s="94" t="inlineStr">
        <is>
          <t>Unit</t>
        </is>
      </c>
      <c r="I18" s="94" t="inlineStr">
        <is>
          <t>Quantity</t>
        </is>
      </c>
      <c r="J18" s="94" t="inlineStr">
        <is>
          <t>Unit Price</t>
        </is>
      </c>
      <c r="K18" s="94" t="inlineStr">
        <is>
          <t>Amount</t>
        </is>
      </c>
    </row>
    <row r="19" ht="26.25" customHeight="1">
      <c r="A19" s="11" t="n">
        <v>108</v>
      </c>
      <c r="B19" s="12" t="n"/>
      <c r="C19" s="13" t="inlineStr">
        <is>
          <t>654-531</t>
        </is>
      </c>
      <c r="D19" s="11" t="n"/>
      <c r="E19" s="98" t="inlineStr">
        <is>
          <t>Pedestrian Signal Head 16x18 LED Configuration</t>
        </is>
      </c>
      <c r="F19" s="99" t="n"/>
      <c r="G19" s="100" t="n"/>
      <c r="H19" s="11" t="inlineStr">
        <is>
          <t>Each</t>
        </is>
      </c>
      <c r="I19" s="17" t="n">
        <v>19</v>
      </c>
      <c r="J19" s="162" t="n">
        <v>940</v>
      </c>
      <c r="K19" s="163">
        <f>I19*J19</f>
        <v/>
      </c>
    </row>
    <row r="20" ht="24" customHeight="1">
      <c r="A20" s="11" t="n">
        <v>114</v>
      </c>
      <c r="B20" s="12" t="n"/>
      <c r="C20" s="13" t="inlineStr">
        <is>
          <t>654-644</t>
        </is>
      </c>
      <c r="D20" s="11" t="n"/>
      <c r="E20" s="95" t="inlineStr">
        <is>
          <t>Coaxial and Power Cable</t>
        </is>
      </c>
      <c r="F20" s="96" t="n"/>
      <c r="G20" s="97" t="n"/>
      <c r="H20" s="11" t="inlineStr">
        <is>
          <t>LnM</t>
        </is>
      </c>
      <c r="I20" s="17" t="n">
        <v>300</v>
      </c>
      <c r="J20" s="162" t="n">
        <v>11</v>
      </c>
      <c r="K20" s="163">
        <f>I20*J20</f>
        <v/>
      </c>
    </row>
    <row r="21" ht="30" customHeight="1">
      <c r="A21" s="11" t="n">
        <v>116</v>
      </c>
      <c r="B21" s="12" t="n"/>
      <c r="C21" s="13" t="inlineStr">
        <is>
          <t>654-647</t>
        </is>
      </c>
      <c r="D21" s="11" t="n"/>
      <c r="E21" s="164" t="inlineStr">
        <is>
          <t>Traf Signal Support S Mast ARM 25 FT Galv Steel</t>
        </is>
      </c>
      <c r="F21" s="3" t="n"/>
      <c r="G21" s="161" t="n"/>
      <c r="H21" s="11" t="inlineStr">
        <is>
          <t>Each</t>
        </is>
      </c>
      <c r="I21" s="17" t="n">
        <v>2</v>
      </c>
      <c r="J21" s="165" t="n">
        <v>8000</v>
      </c>
      <c r="K21" s="163">
        <f>I21*J21</f>
        <v/>
      </c>
    </row>
    <row r="22" ht="31.5" customHeight="1">
      <c r="A22" s="11" t="n">
        <v>119</v>
      </c>
      <c r="B22" s="12" t="n"/>
      <c r="C22" s="13" t="inlineStr">
        <is>
          <t>654-670</t>
        </is>
      </c>
      <c r="D22" s="11" t="n"/>
      <c r="E22" s="164" t="inlineStr">
        <is>
          <t>Adv TS Cont Assemb NEMA Int/NTCIP Full</t>
        </is>
      </c>
      <c r="F22" s="3" t="n"/>
      <c r="G22" s="161" t="n"/>
      <c r="H22" s="11" t="inlineStr">
        <is>
          <t>Each</t>
        </is>
      </c>
      <c r="I22" s="17" t="n">
        <v>4</v>
      </c>
      <c r="J22" s="162" t="n">
        <v>27000</v>
      </c>
      <c r="K22" s="163">
        <f>J22*I22</f>
        <v/>
      </c>
      <c r="M22" s="24" t="n"/>
    </row>
    <row r="23" ht="30.75" customHeight="1">
      <c r="A23" s="11" t="n">
        <v>132</v>
      </c>
      <c r="B23" s="12" t="n"/>
      <c r="C23" s="13" t="inlineStr">
        <is>
          <t>962-012</t>
        </is>
      </c>
      <c r="D23" s="11" t="n"/>
      <c r="E23" s="164" t="inlineStr">
        <is>
          <t>Warm Mix Asphalt Paveent Marshall S(75)(12)</t>
        </is>
      </c>
      <c r="F23" s="3" t="n"/>
      <c r="G23" s="161" t="n"/>
      <c r="H23" s="11" t="inlineStr">
        <is>
          <t>Each</t>
        </is>
      </c>
      <c r="I23" s="17" t="n">
        <v>3307.06</v>
      </c>
      <c r="J23" s="162" t="n">
        <v>130</v>
      </c>
      <c r="K23" s="163">
        <f>J23*I23</f>
        <v/>
      </c>
      <c r="M23" s="24" t="n"/>
    </row>
    <row r="24" ht="24" customHeight="1">
      <c r="A24" s="11" t="n">
        <v>134</v>
      </c>
      <c r="B24" s="12" t="n"/>
      <c r="C24" s="13" t="inlineStr">
        <is>
          <t>962-033</t>
        </is>
      </c>
      <c r="D24" s="11" t="n"/>
      <c r="E24" s="166" t="inlineStr">
        <is>
          <t>Control Strip Section</t>
        </is>
      </c>
      <c r="F24" s="3" t="n"/>
      <c r="G24" s="161" t="n"/>
      <c r="H24" s="11" t="inlineStr">
        <is>
          <t>Ton</t>
        </is>
      </c>
      <c r="I24" s="17" t="n">
        <v>296.33</v>
      </c>
      <c r="J24" s="165" t="n">
        <v>130</v>
      </c>
      <c r="K24" s="163">
        <f>J24*I24</f>
        <v/>
      </c>
    </row>
    <row r="25" ht="24" customHeight="1">
      <c r="A25" s="11" t="n">
        <v>139</v>
      </c>
      <c r="B25" s="12" t="n"/>
      <c r="C25" s="13" t="inlineStr">
        <is>
          <t>635-218</t>
        </is>
      </c>
      <c r="D25" s="11" t="n"/>
      <c r="E25" s="166" t="inlineStr">
        <is>
          <t>Prepa Standard Underground URD-4</t>
        </is>
      </c>
      <c r="F25" s="3" t="n"/>
      <c r="G25" s="161" t="n"/>
      <c r="H25" s="11" t="inlineStr">
        <is>
          <t>Each</t>
        </is>
      </c>
      <c r="I25" s="17" t="n">
        <v>5</v>
      </c>
      <c r="J25" s="165" t="n">
        <v>1560</v>
      </c>
      <c r="K25" s="163">
        <f>J25*I25</f>
        <v/>
      </c>
    </row>
    <row r="26" ht="24.75" customHeight="1">
      <c r="A26" s="11" t="n">
        <v>140</v>
      </c>
      <c r="B26" s="12" t="n"/>
      <c r="C26" s="13" t="inlineStr">
        <is>
          <t>956-140</t>
        </is>
      </c>
      <c r="D26" s="11" t="n"/>
      <c r="E26" s="166" t="inlineStr">
        <is>
          <t>Cleaning of Pull Box</t>
        </is>
      </c>
      <c r="F26" s="3" t="n"/>
      <c r="G26" s="161" t="n"/>
      <c r="H26" s="11" t="inlineStr">
        <is>
          <t>Each</t>
        </is>
      </c>
      <c r="I26" s="17" t="n">
        <v>34</v>
      </c>
      <c r="J26" s="165" t="n">
        <v>272</v>
      </c>
      <c r="K26" s="163">
        <f>J26*I26</f>
        <v/>
      </c>
    </row>
    <row r="27" ht="25.5" customHeight="1">
      <c r="A27" s="11" t="n">
        <v>141</v>
      </c>
      <c r="B27" s="12" t="n"/>
      <c r="C27" s="13" t="inlineStr">
        <is>
          <t>888-000</t>
        </is>
      </c>
      <c r="D27" s="11" t="n"/>
      <c r="E27" s="164" t="inlineStr">
        <is>
          <t xml:space="preserve">Special and additional Work (Grout Concrete) </t>
        </is>
      </c>
      <c r="F27" s="3" t="n"/>
      <c r="G27" s="161" t="n"/>
      <c r="H27" s="11" t="inlineStr">
        <is>
          <t>LS</t>
        </is>
      </c>
      <c r="I27" s="17" t="n">
        <v>100</v>
      </c>
      <c r="J27" s="162" t="n">
        <v>112</v>
      </c>
      <c r="K27" s="163">
        <f>J27*I27</f>
        <v/>
      </c>
    </row>
    <row r="28" ht="27" customHeight="1">
      <c r="A28" s="11" t="n"/>
      <c r="B28" s="12" t="n"/>
      <c r="C28" s="13" t="n"/>
      <c r="D28" s="11" t="n"/>
      <c r="E28" s="25" t="n"/>
      <c r="F28" s="26" t="n"/>
      <c r="G28" s="27" t="n"/>
      <c r="H28" s="11" t="n"/>
      <c r="I28" s="17" t="n"/>
      <c r="J28" s="165" t="n"/>
      <c r="K28" s="163" t="n"/>
    </row>
    <row r="29" ht="19.95" customHeight="1">
      <c r="A29" s="167" t="inlineStr">
        <is>
          <t>Under penalty of absolute nullity, I hereby certify that no public servant of the Puerto Rico Highways and Transportation Authority is a party to or has an interest of any kind in the profits or benefits to be obtained under the contract which is the basis of this invoice, and should he be a party to, or have an interest in, the profits or benefits to be obtained under the contract, a waiver has been previously issued. The only consideration to provide the contracted goods or services under the contract is the payment agreed upon with the authorized representative of the government entity. The amount that appears in the invoice is fair and correct. The work has been performed, the goods have been delivered, and the services have been rendered, and no payment has been received therefor.  Contractor:__________________________________________________________</t>
        </is>
      </c>
      <c r="B29" s="5" t="n"/>
      <c r="C29" s="5" t="n"/>
      <c r="D29" s="5" t="n"/>
      <c r="E29" s="5" t="n"/>
      <c r="F29" s="5" t="n"/>
      <c r="G29" s="5" t="n"/>
      <c r="H29" s="5" t="n"/>
      <c r="I29" s="5" t="n"/>
      <c r="J29" s="5" t="n"/>
      <c r="K29" s="168" t="n"/>
      <c r="M29" s="24" t="n"/>
    </row>
    <row r="30" ht="19.95" customHeight="1">
      <c r="A30" s="169" t="n"/>
      <c r="K30" s="170" t="n"/>
    </row>
    <row r="31" ht="54" customHeight="1">
      <c r="A31" s="171" t="n"/>
      <c r="B31" s="156" t="n"/>
      <c r="C31" s="156" t="n"/>
      <c r="D31" s="156" t="n"/>
      <c r="E31" s="156" t="n"/>
      <c r="F31" s="156" t="n"/>
      <c r="G31" s="156" t="n"/>
      <c r="H31" s="156" t="n"/>
      <c r="I31" s="156" t="n"/>
      <c r="J31" s="156" t="n"/>
      <c r="K31" s="172" t="n"/>
    </row>
    <row r="32" ht="16.95" customHeight="1">
      <c r="A32" s="28" t="n"/>
      <c r="C32" s="9" t="n"/>
      <c r="D32" s="28" t="n"/>
      <c r="E32" s="93" t="inlineStr">
        <is>
          <t>PAGE 5</t>
        </is>
      </c>
      <c r="F32" s="5" t="n"/>
      <c r="G32" s="29" t="n"/>
      <c r="H32" s="28" t="n"/>
      <c r="I32" s="7" t="n"/>
      <c r="J32" s="173" t="n"/>
      <c r="K32" s="174" t="n"/>
    </row>
    <row r="33" ht="25.2" customFormat="1" customHeight="1" s="33">
      <c r="A33" s="32" t="n"/>
      <c r="B33" s="32" t="n"/>
      <c r="I33" t="inlineStr">
        <is>
          <t>26.  Work Performed (WP):</t>
        </is>
      </c>
      <c r="K33" s="175">
        <f>SUM('[2]MPPR- ACT-117C (p1)'!K19:K29)+SUM('[2]MPPR- ACT-117C (p2)'!K19:K29)+SUM('[2]MPPR- ACT-117C (p3)'!K19:K28)+SUM('[2]MPPR- ACT-117C (p4)'!K19:K28)+SUM('MPPR- ACT-117C (p5)'!K19:K27)</f>
        <v/>
      </c>
    </row>
    <row r="34" ht="25.2" customFormat="1" customHeight="1" s="33">
      <c r="A34" s="33" t="inlineStr">
        <is>
          <t>39.Prepared by:</t>
        </is>
      </c>
      <c r="B34" s="32" t="n"/>
      <c r="D34" s="110" t="inlineStr">
        <is>
          <t>Christie Mota Vélez/ Puerto Rico Asphalt, LLC</t>
        </is>
      </c>
      <c r="E34" s="156" t="n"/>
      <c r="F34" s="156" t="n"/>
      <c r="G34" s="156" t="n"/>
      <c r="I34" s="33" t="inlineStr">
        <is>
          <t>27.  5% Retained (WP):</t>
        </is>
      </c>
      <c r="K34" s="176">
        <f>K33*0.05</f>
        <v/>
      </c>
    </row>
    <row r="35" ht="25.2" customFormat="1" customHeight="1" s="33">
      <c r="A35" s="32" t="n"/>
      <c r="B35" s="32" t="n"/>
      <c r="D35" s="36" t="inlineStr">
        <is>
          <t>Contractor</t>
        </is>
      </c>
      <c r="E35" s="36" t="n"/>
      <c r="F35" s="36" t="n"/>
      <c r="G35" s="36" t="inlineStr">
        <is>
          <t>Date</t>
        </is>
      </c>
      <c r="I35" s="33" t="inlineStr">
        <is>
          <t>28.  Reimbursement (WP)(+):</t>
        </is>
      </c>
      <c r="K35" s="177" t="n">
        <v>0</v>
      </c>
    </row>
    <row r="36" ht="25.2" customFormat="1" customHeight="1" s="33">
      <c r="A36" s="33" t="inlineStr">
        <is>
          <t>40. Concurred by:</t>
        </is>
      </c>
      <c r="B36" s="32" t="n"/>
      <c r="D36" s="110" t="inlineStr">
        <is>
          <t>Ing. Luis R. Pastor Reyes</t>
        </is>
      </c>
      <c r="E36" s="156" t="n"/>
      <c r="F36" s="38" t="n"/>
      <c r="G36" s="39" t="n"/>
      <c r="I36" s="33" t="inlineStr">
        <is>
          <t>29.  Sub Total:</t>
        </is>
      </c>
      <c r="K36" s="178">
        <f>K33-K34</f>
        <v/>
      </c>
    </row>
    <row r="37" ht="25.2" customFormat="1" customHeight="1" s="33">
      <c r="A37" s="32" t="n"/>
      <c r="B37" s="32" t="n"/>
      <c r="D37" s="41" t="inlineStr">
        <is>
          <t>Project Administrator or Resident Engineer or Inspector</t>
        </is>
      </c>
      <c r="E37" s="36" t="n"/>
      <c r="F37" s="36" t="n"/>
      <c r="G37" s="36" t="inlineStr">
        <is>
          <t>Date</t>
        </is>
      </c>
      <c r="I37" s="33" t="inlineStr">
        <is>
          <t>30.  Material on Site (+/-):</t>
        </is>
      </c>
      <c r="K37" s="177" t="n">
        <v>-63897.5</v>
      </c>
    </row>
    <row r="38" ht="25.2" customHeight="1">
      <c r="A38" s="33" t="inlineStr">
        <is>
          <t>41.  Received for Review:</t>
        </is>
      </c>
      <c r="B38" s="32" t="n"/>
      <c r="C38" s="33" t="n"/>
      <c r="D38" s="111" t="n"/>
      <c r="E38" s="156" t="n"/>
      <c r="F38" s="42" t="n"/>
      <c r="G38" s="42" t="n"/>
      <c r="I38" s="33" t="inlineStr">
        <is>
          <t>31.  Liquidated Damages (LQD)(-):</t>
        </is>
      </c>
      <c r="K38" s="177" t="n"/>
    </row>
    <row r="39" ht="33.75" customHeight="1">
      <c r="A39" s="32" t="n"/>
      <c r="B39" s="32" t="n"/>
      <c r="C39" s="33" t="n"/>
      <c r="D39" s="112" t="inlineStr">
        <is>
          <t xml:space="preserve">Regional Director's Designated
Representative </t>
        </is>
      </c>
      <c r="E39" s="5" t="n"/>
      <c r="F39" s="113" t="inlineStr">
        <is>
          <t>Prompt Payment Process Start Date</t>
        </is>
      </c>
      <c r="G39" s="5" t="n"/>
      <c r="I39" s="33" t="inlineStr">
        <is>
          <t>32. Reimbursement (LqD)(+):</t>
        </is>
      </c>
      <c r="K39" s="177" t="n">
        <v>0</v>
      </c>
    </row>
    <row r="40" ht="25.2" customHeight="1">
      <c r="A40" s="33" t="inlineStr">
        <is>
          <t>42.  Submitted for Review:</t>
        </is>
      </c>
      <c r="B40" s="32" t="n"/>
      <c r="C40" s="33" t="n"/>
      <c r="D40" s="110" t="inlineStr">
        <is>
          <t>Ing. Carlos Céspedes Gómez</t>
        </is>
      </c>
      <c r="E40" s="156" t="n"/>
      <c r="F40" s="38" t="n"/>
      <c r="G40" s="43" t="n"/>
      <c r="I40" s="33" t="inlineStr">
        <is>
          <t>33.  Extra Retainage (+/-):</t>
        </is>
      </c>
      <c r="K40" s="177" t="n">
        <v>0</v>
      </c>
    </row>
    <row r="41" ht="25.2" customHeight="1">
      <c r="A41" s="32" t="n"/>
      <c r="B41" s="32" t="n"/>
      <c r="C41" s="33" t="n"/>
      <c r="D41" s="36" t="inlineStr">
        <is>
          <t>Area Supervisor (Program Manager)</t>
        </is>
      </c>
      <c r="E41" s="7" t="n"/>
      <c r="F41" s="113" t="inlineStr">
        <is>
          <t>Date</t>
        </is>
      </c>
      <c r="G41" s="5" t="n"/>
      <c r="I41" s="33" t="inlineStr">
        <is>
          <t>34.  Price Adjustment Clause (+/-):</t>
        </is>
      </c>
      <c r="K41" s="177" t="n">
        <v>0</v>
      </c>
    </row>
    <row r="42" ht="25.2" customHeight="1">
      <c r="A42" s="33" t="inlineStr">
        <is>
          <t>43.  Approved by:</t>
        </is>
      </c>
      <c r="B42" s="32" t="n"/>
      <c r="C42" s="33" t="n"/>
      <c r="D42" s="110" t="inlineStr">
        <is>
          <t>Ing. Eduardo F. Ruiz Vélez</t>
        </is>
      </c>
      <c r="E42" s="156" t="n"/>
      <c r="F42" s="38" t="n"/>
      <c r="G42" s="43" t="n"/>
      <c r="I42" s="33" t="inlineStr">
        <is>
          <t>35. Safety Penalties - Spec 638(-):</t>
        </is>
      </c>
      <c r="K42" s="177" t="n">
        <v>0</v>
      </c>
    </row>
    <row r="43" ht="25.2" customHeight="1">
      <c r="A43" s="32" t="n"/>
      <c r="B43" s="32" t="n"/>
      <c r="C43" s="33" t="n"/>
      <c r="D43" s="36" t="inlineStr">
        <is>
          <t>Regional Director</t>
        </is>
      </c>
      <c r="E43" s="36" t="n"/>
      <c r="F43" s="36" t="n"/>
      <c r="G43" s="36" t="inlineStr">
        <is>
          <t>Date</t>
        </is>
      </c>
      <c r="I43" s="33" t="inlineStr">
        <is>
          <t>36.  Other (+/-):</t>
        </is>
      </c>
      <c r="K43" s="177" t="n">
        <v>0</v>
      </c>
    </row>
    <row r="44" ht="25.2" customHeight="1"/>
    <row r="45" ht="25.2" customHeight="1">
      <c r="A45" s="33" t="inlineStr">
        <is>
          <t>44.  Approved for Payment by:</t>
        </is>
      </c>
      <c r="B45" s="32" t="n"/>
      <c r="C45" s="33" t="n"/>
      <c r="D45" s="110" t="inlineStr">
        <is>
          <t>Sr. Angel M. Félix Cruz</t>
        </is>
      </c>
      <c r="E45" s="156" t="n"/>
      <c r="F45" s="38" t="n"/>
      <c r="G45" s="43" t="n"/>
      <c r="I45" s="33" t="inlineStr">
        <is>
          <t>37.  Net Payment:</t>
        </is>
      </c>
      <c r="K45" s="179">
        <f>SUM(K36:K43)</f>
        <v/>
      </c>
    </row>
    <row r="46" ht="25.2" customHeight="1">
      <c r="A46" s="32" t="n"/>
      <c r="B46" s="32" t="n"/>
      <c r="C46" s="33" t="n"/>
      <c r="D46" s="36" t="inlineStr">
        <is>
          <t>Finance Area Director</t>
        </is>
      </c>
      <c r="E46" s="36" t="n"/>
      <c r="F46" s="36" t="n"/>
      <c r="G46" s="36" t="inlineStr">
        <is>
          <t>Date</t>
        </is>
      </c>
      <c r="I46" s="33" t="inlineStr">
        <is>
          <t>38.  Total to Date (WP):</t>
        </is>
      </c>
      <c r="K46" s="180" t="n"/>
    </row>
    <row r="47" ht="25.2" customHeight="1"/>
    <row r="48" ht="25.2" customHeight="1">
      <c r="A48" t="inlineStr">
        <is>
          <t>45.  Percent Work Performed:</t>
        </is>
      </c>
      <c r="E48" s="46" t="n"/>
    </row>
    <row r="49" ht="25.2" customHeight="1"/>
    <row r="50" ht="25.2" customHeight="1">
      <c r="A50" t="inlineStr">
        <is>
          <t>46.  Percent Time</t>
        </is>
      </c>
      <c r="E50" s="46" t="n"/>
    </row>
  </sheetData>
  <mergeCells count="38">
    <mergeCell ref="J14:K14"/>
    <mergeCell ref="J10:K10"/>
    <mergeCell ref="C7:F7"/>
    <mergeCell ref="C14:D14"/>
    <mergeCell ref="D40:E40"/>
    <mergeCell ref="D36:E36"/>
    <mergeCell ref="J13:K13"/>
    <mergeCell ref="D45:E45"/>
    <mergeCell ref="J9:K9"/>
    <mergeCell ref="A6:K6"/>
    <mergeCell ref="C10:D10"/>
    <mergeCell ref="E27:G27"/>
    <mergeCell ref="E26:G26"/>
    <mergeCell ref="D34:G34"/>
    <mergeCell ref="F41:G41"/>
    <mergeCell ref="E25:G25"/>
    <mergeCell ref="C12:D12"/>
    <mergeCell ref="J11:K11"/>
    <mergeCell ref="E22:G22"/>
    <mergeCell ref="A3:K3"/>
    <mergeCell ref="C11:D11"/>
    <mergeCell ref="J7:K7"/>
    <mergeCell ref="A2:K2"/>
    <mergeCell ref="E18:G18"/>
    <mergeCell ref="E21:G21"/>
    <mergeCell ref="D39:E39"/>
    <mergeCell ref="F39:G39"/>
    <mergeCell ref="E24:G24"/>
    <mergeCell ref="C9:F9"/>
    <mergeCell ref="A4:K4"/>
    <mergeCell ref="J12:K12"/>
    <mergeCell ref="D42:E42"/>
    <mergeCell ref="E32:F32"/>
    <mergeCell ref="E23:G23"/>
    <mergeCell ref="D38:E38"/>
    <mergeCell ref="A29:K31"/>
    <mergeCell ref="C13:D13"/>
    <mergeCell ref="J8:K8"/>
  </mergeCells>
  <printOptions horizontalCentered="1"/>
  <pageMargins left="0.7" right="0.7" top="0.25" bottom="0.25" header="0.05" footer="0.3"/>
  <pageSetup orientation="portrait" scale="60" fitToHeight="0"/>
  <headerFooter differentFirst="1">
    <oddHeader/>
    <oddFooter>&amp;RPage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S52"/>
  <sheetViews>
    <sheetView showGridLines="0" view="pageBreakPreview" zoomScaleSheetLayoutView="100" workbookViewId="0">
      <selection activeCell="B47" sqref="B47:R47"/>
    </sheetView>
  </sheetViews>
  <sheetFormatPr baseColWidth="8" defaultColWidth="8.77734375" defaultRowHeight="14.4"/>
  <cols>
    <col width="2.33203125" customWidth="1" min="1" max="1"/>
    <col width="4.33203125" customWidth="1" min="3" max="3"/>
    <col width="5.44140625" customWidth="1" min="4" max="4"/>
    <col width="9.109375" customWidth="1" min="6" max="6"/>
    <col width="6.6640625" customWidth="1" min="7" max="9"/>
    <col width="4.109375" customWidth="1" min="10" max="10"/>
    <col width="6.6640625" customWidth="1" min="11" max="12"/>
    <col width="1.6640625" customWidth="1" min="13" max="13"/>
    <col width="6.109375" customWidth="1" min="14" max="16"/>
    <col width="6" customWidth="1" min="17" max="18"/>
  </cols>
  <sheetData>
    <row r="1">
      <c r="A1" s="47" t="n"/>
      <c r="B1" s="47" t="n"/>
      <c r="C1" s="47" t="n"/>
      <c r="D1" s="47" t="n"/>
      <c r="E1" s="47" t="n"/>
      <c r="F1" s="47" t="n"/>
      <c r="G1" s="47" t="n"/>
      <c r="H1" s="47" t="n"/>
      <c r="I1" s="47" t="n"/>
      <c r="J1" s="47" t="n"/>
      <c r="K1" s="47" t="n"/>
      <c r="L1" s="47" t="n"/>
      <c r="M1" s="47" t="n"/>
      <c r="N1" s="47" t="n"/>
      <c r="O1" s="47" t="n"/>
      <c r="P1" s="47" t="n"/>
      <c r="Q1" s="47" t="n"/>
      <c r="R1" s="47" t="n"/>
      <c r="S1" s="47" t="n"/>
    </row>
    <row r="2">
      <c r="A2" s="47" t="n"/>
      <c r="B2" s="47" t="n"/>
      <c r="C2" s="47" t="n"/>
      <c r="D2" s="47" t="n"/>
      <c r="E2" s="47" t="n"/>
      <c r="F2" s="47" t="n"/>
      <c r="G2" s="47" t="n"/>
      <c r="H2" s="47" t="n"/>
      <c r="I2" s="47" t="n"/>
      <c r="J2" s="47" t="n"/>
      <c r="K2" s="47" t="n"/>
      <c r="L2" s="47" t="n"/>
      <c r="M2" s="47" t="n"/>
      <c r="N2" s="47" t="n"/>
      <c r="O2" s="47" t="n"/>
      <c r="P2" s="47" t="n"/>
      <c r="Q2" s="47" t="n"/>
      <c r="R2" s="47" t="n"/>
      <c r="S2" s="47" t="n"/>
    </row>
    <row r="3">
      <c r="A3" s="47" t="n"/>
      <c r="B3" s="47" t="n"/>
      <c r="C3" s="47" t="n"/>
      <c r="D3" s="47" t="n"/>
      <c r="E3" s="47" t="n"/>
      <c r="F3" s="47" t="n"/>
      <c r="G3" s="47" t="n"/>
      <c r="H3" s="47" t="n"/>
      <c r="I3" s="47" t="n"/>
      <c r="J3" s="47" t="n"/>
      <c r="K3" s="47" t="n"/>
      <c r="L3" s="47" t="n"/>
      <c r="M3" s="47" t="n"/>
      <c r="N3" s="47" t="n"/>
      <c r="O3" s="47" t="n"/>
      <c r="P3" s="47" t="n"/>
      <c r="Q3" s="47" t="n"/>
      <c r="R3" s="47" t="n"/>
      <c r="S3" s="47" t="n"/>
    </row>
    <row r="4">
      <c r="A4" s="47" t="n"/>
      <c r="B4" s="181" t="inlineStr">
        <is>
          <t>LIQUIDATED DAMAGES - N/A</t>
        </is>
      </c>
      <c r="C4" s="3" t="n"/>
      <c r="D4" s="3" t="n"/>
      <c r="E4" s="3" t="n"/>
      <c r="F4" s="3" t="n"/>
      <c r="G4" s="3" t="n"/>
      <c r="H4" s="3" t="n"/>
      <c r="I4" s="3" t="n"/>
      <c r="J4" s="3" t="n"/>
      <c r="K4" s="3" t="n"/>
      <c r="L4" s="3" t="n"/>
      <c r="M4" s="3" t="n"/>
      <c r="N4" s="3" t="n"/>
      <c r="O4" s="3" t="n"/>
      <c r="P4" s="3" t="n"/>
      <c r="Q4" s="3" t="n"/>
      <c r="R4" s="161" t="n"/>
      <c r="S4" s="47" t="n"/>
    </row>
    <row r="5">
      <c r="A5" s="47" t="n"/>
      <c r="B5" s="48" t="n"/>
      <c r="C5" s="47" t="n"/>
      <c r="D5" s="47" t="n"/>
      <c r="E5" s="47" t="n"/>
      <c r="F5" s="47" t="n"/>
      <c r="G5" s="47" t="n"/>
      <c r="H5" s="47" t="n"/>
      <c r="I5" s="47" t="n"/>
      <c r="J5" s="47" t="n"/>
      <c r="K5" s="47" t="n"/>
      <c r="L5" s="47" t="n"/>
      <c r="M5" s="47" t="n"/>
      <c r="N5" s="47" t="n"/>
      <c r="O5" s="47" t="n"/>
      <c r="P5" s="47" t="n"/>
      <c r="Q5" s="47" t="n"/>
      <c r="R5" s="49" t="n"/>
      <c r="S5" s="47" t="n"/>
    </row>
    <row r="6">
      <c r="A6" s="47" t="n"/>
      <c r="B6" s="48" t="inlineStr">
        <is>
          <t xml:space="preserve">For not completing project on contract time from: </t>
        </is>
      </c>
      <c r="C6" s="47" t="n"/>
      <c r="D6" s="47" t="n"/>
      <c r="E6" s="47" t="n"/>
      <c r="F6" s="47" t="n"/>
      <c r="G6" s="47" t="n"/>
      <c r="H6" s="182" t="n">
        <v>44813</v>
      </c>
      <c r="I6" s="183" t="n"/>
      <c r="J6" s="125" t="inlineStr">
        <is>
          <t>to</t>
        </is>
      </c>
      <c r="K6" s="182" t="n">
        <v>44977</v>
      </c>
      <c r="L6" s="183" t="n"/>
      <c r="M6" s="51" t="n"/>
      <c r="N6" s="47" t="inlineStr">
        <is>
          <t>both dates included</t>
        </is>
      </c>
      <c r="O6" s="47" t="n"/>
      <c r="P6" s="47" t="n"/>
      <c r="Q6" s="47" t="n"/>
      <c r="R6" s="49" t="n"/>
      <c r="S6" s="47">
        <f>K6-H6</f>
        <v/>
      </c>
    </row>
    <row r="7">
      <c r="A7" s="47" t="n"/>
      <c r="B7" s="48" t="n"/>
      <c r="C7" s="47" t="n"/>
      <c r="D7" s="47" t="n"/>
      <c r="E7" s="47" t="n"/>
      <c r="F7" s="47" t="n"/>
      <c r="G7" s="47" t="n"/>
      <c r="H7" s="122" t="n">
        <v>47</v>
      </c>
      <c r="I7" s="5" t="n"/>
      <c r="J7" s="125" t="n"/>
      <c r="K7" s="122" t="n">
        <v>48</v>
      </c>
      <c r="L7" s="5" t="n"/>
      <c r="M7" s="52" t="n"/>
      <c r="N7" s="47" t="n"/>
      <c r="O7" s="47" t="n"/>
      <c r="P7" s="47" t="n"/>
      <c r="Q7" s="47" t="n"/>
      <c r="R7" s="49" t="n"/>
      <c r="S7" s="47" t="n"/>
    </row>
    <row r="8">
      <c r="A8" s="47" t="n"/>
      <c r="B8" s="48" t="inlineStr">
        <is>
          <t xml:space="preserve">a total of </t>
        </is>
      </c>
      <c r="C8" s="114" t="n">
        <v>164</v>
      </c>
      <c r="D8" s="156" t="n"/>
      <c r="E8" s="125" t="inlineStr">
        <is>
          <t>days at</t>
        </is>
      </c>
      <c r="F8" s="184" t="n">
        <v>2000</v>
      </c>
      <c r="G8" s="115" t="inlineStr">
        <is>
          <t>per day.</t>
        </is>
      </c>
      <c r="I8" s="115" t="n"/>
      <c r="J8" s="47" t="n">
        <v>3</v>
      </c>
      <c r="K8" s="116" t="inlineStr">
        <is>
          <t>Total to Date:</t>
        </is>
      </c>
      <c r="M8" s="116" t="n"/>
      <c r="N8" s="185">
        <f>C8*F8</f>
        <v/>
      </c>
      <c r="O8" s="156" t="n"/>
      <c r="P8" s="156" t="n"/>
      <c r="Q8" s="47" t="n"/>
      <c r="R8" s="49" t="n"/>
      <c r="S8" s="47" t="n"/>
    </row>
    <row r="9">
      <c r="A9" s="47" t="n"/>
      <c r="B9" s="48" t="n"/>
      <c r="C9" s="122" t="n">
        <v>49</v>
      </c>
      <c r="D9" s="5" t="n"/>
      <c r="E9" s="47" t="n"/>
      <c r="F9" s="56" t="n">
        <v>50</v>
      </c>
      <c r="G9" s="47" t="n"/>
      <c r="H9" s="47" t="n"/>
      <c r="I9" s="47" t="n"/>
      <c r="J9" s="57" t="n"/>
      <c r="K9" s="47" t="n"/>
      <c r="L9" s="47" t="n"/>
      <c r="M9" s="47" t="n"/>
      <c r="N9" s="122" t="n">
        <v>51</v>
      </c>
      <c r="O9" s="5" t="n"/>
      <c r="P9" s="5" t="n"/>
      <c r="Q9" s="47" t="n"/>
      <c r="R9" s="49" t="n"/>
      <c r="S9" s="47" t="n"/>
    </row>
    <row r="10">
      <c r="A10" s="47" t="n"/>
      <c r="B10" s="123" t="inlineStr">
        <is>
          <t>Previous Date:</t>
        </is>
      </c>
      <c r="D10" s="186" t="n">
        <v>0</v>
      </c>
      <c r="E10" s="183" t="n"/>
      <c r="F10" s="125" t="n"/>
      <c r="H10" s="125" t="n"/>
      <c r="J10" s="116" t="inlineStr">
        <is>
          <t>This Period:</t>
        </is>
      </c>
      <c r="M10" s="116" t="n"/>
      <c r="N10" s="187" t="n">
        <v>370000</v>
      </c>
      <c r="O10" s="156" t="n"/>
      <c r="P10" s="156" t="n"/>
      <c r="Q10" s="47" t="n"/>
      <c r="R10" s="49" t="n"/>
      <c r="S10" s="47" t="n"/>
    </row>
    <row r="11">
      <c r="A11" s="47" t="n"/>
      <c r="B11" s="48" t="n"/>
      <c r="C11" s="47" t="n"/>
      <c r="D11" s="127" t="n">
        <v>52</v>
      </c>
      <c r="E11" s="3" t="n"/>
      <c r="F11" s="47" t="n"/>
      <c r="G11" s="47" t="n"/>
      <c r="H11" s="47" t="n"/>
      <c r="I11" s="47" t="n"/>
      <c r="J11" s="47" t="n"/>
      <c r="K11" s="47" t="n"/>
      <c r="L11" s="47" t="n"/>
      <c r="M11" s="47" t="n"/>
      <c r="N11" s="127" t="n">
        <v>53</v>
      </c>
      <c r="O11" s="3" t="n"/>
      <c r="P11" s="3" t="n"/>
      <c r="Q11" s="47" t="n"/>
      <c r="R11" s="49" t="n"/>
      <c r="S11" s="47" t="n"/>
    </row>
    <row r="12">
      <c r="A12" s="47" t="n"/>
      <c r="B12" s="181" t="inlineStr">
        <is>
          <t>REIMBURSEMENT - N/A</t>
        </is>
      </c>
      <c r="C12" s="3" t="n"/>
      <c r="D12" s="3" t="n"/>
      <c r="E12" s="3" t="n"/>
      <c r="F12" s="3" t="n"/>
      <c r="G12" s="3" t="n"/>
      <c r="H12" s="3" t="n"/>
      <c r="I12" s="3" t="n"/>
      <c r="J12" s="3" t="n"/>
      <c r="K12" s="3" t="n"/>
      <c r="L12" s="3" t="n"/>
      <c r="M12" s="3" t="n"/>
      <c r="N12" s="3" t="n"/>
      <c r="O12" s="3" t="n"/>
      <c r="P12" s="3" t="n"/>
      <c r="Q12" s="3" t="n"/>
      <c r="R12" s="161" t="n"/>
      <c r="S12" s="47" t="n"/>
    </row>
    <row r="13">
      <c r="A13" s="47" t="n"/>
      <c r="B13" s="48" t="n"/>
      <c r="C13" s="47" t="n"/>
      <c r="D13" s="47" t="n"/>
      <c r="E13" s="47" t="n"/>
      <c r="F13" s="47" t="n"/>
      <c r="G13" s="47" t="n"/>
      <c r="H13" s="47" t="n"/>
      <c r="I13" s="47" t="n"/>
      <c r="J13" s="47" t="n"/>
      <c r="K13" s="47" t="n"/>
      <c r="L13" s="47" t="n"/>
      <c r="M13" s="47" t="n"/>
      <c r="N13" s="47" t="n"/>
      <c r="O13" s="47" t="n"/>
      <c r="P13" s="47" t="n"/>
      <c r="Q13" s="47" t="n"/>
      <c r="R13" s="58" t="n"/>
      <c r="S13" s="47" t="n"/>
    </row>
    <row r="14">
      <c r="A14" s="47" t="n"/>
      <c r="B14" s="48" t="inlineStr">
        <is>
          <t>For extension of Contract Time this period:</t>
        </is>
      </c>
      <c r="C14" s="47" t="n"/>
      <c r="D14" s="47" t="n"/>
      <c r="E14" s="47" t="n"/>
      <c r="F14" s="47" t="n"/>
      <c r="G14" s="128" t="n"/>
      <c r="H14" s="183" t="n"/>
      <c r="I14" s="125" t="inlineStr">
        <is>
          <t>days at</t>
        </is>
      </c>
      <c r="K14" s="188" t="n"/>
      <c r="L14" s="183" t="n"/>
      <c r="M14" s="189" t="n"/>
      <c r="N14" s="190" t="inlineStr">
        <is>
          <t>per day</t>
        </is>
      </c>
      <c r="O14" s="47" t="n"/>
      <c r="P14" s="47" t="n"/>
      <c r="Q14" s="47" t="n"/>
      <c r="R14" s="49" t="n"/>
      <c r="S14" s="47" t="n"/>
    </row>
    <row r="15">
      <c r="A15" s="47" t="n"/>
      <c r="B15" s="48" t="n"/>
      <c r="C15" s="47" t="n"/>
      <c r="D15" s="47" t="n"/>
      <c r="E15" s="47" t="n"/>
      <c r="F15" s="47" t="n"/>
      <c r="G15" s="122" t="n">
        <v>54</v>
      </c>
      <c r="H15" s="5" t="n"/>
      <c r="I15" s="47" t="n"/>
      <c r="J15" s="47" t="n"/>
      <c r="K15" s="122" t="n">
        <v>55</v>
      </c>
      <c r="L15" s="5" t="n"/>
      <c r="M15" s="47" t="n"/>
      <c r="N15" s="47" t="n"/>
      <c r="O15" s="47" t="n"/>
      <c r="P15" s="47" t="n"/>
      <c r="Q15" s="47" t="n"/>
      <c r="R15" s="49" t="n"/>
      <c r="S15" s="47" t="n"/>
    </row>
    <row r="16">
      <c r="A16" s="47" t="n"/>
      <c r="B16" s="123" t="inlineStr">
        <is>
          <t>This Period:</t>
        </is>
      </c>
      <c r="D16" s="187" t="n"/>
      <c r="E16" s="156" t="n"/>
      <c r="F16" s="47" t="n"/>
      <c r="G16" s="47" t="n"/>
      <c r="H16" s="47" t="n"/>
      <c r="I16" s="47" t="n"/>
      <c r="J16" s="47" t="n"/>
      <c r="K16" s="47" t="n"/>
      <c r="L16" s="47" t="n"/>
      <c r="M16" s="47" t="n"/>
      <c r="N16" s="47" t="n"/>
      <c r="O16" s="47" t="n"/>
      <c r="P16" s="47" t="n"/>
      <c r="Q16" s="47" t="n"/>
      <c r="R16" s="49" t="n"/>
      <c r="S16" s="47" t="n"/>
    </row>
    <row r="17">
      <c r="A17" s="47" t="n"/>
      <c r="B17" s="48" t="n"/>
      <c r="C17" s="61" t="n"/>
      <c r="D17" s="122" t="n">
        <v>56</v>
      </c>
      <c r="E17" s="5" t="n"/>
      <c r="F17" s="47" t="n"/>
      <c r="G17" s="47" t="n"/>
      <c r="H17" s="47" t="n"/>
      <c r="I17" s="47" t="n"/>
      <c r="J17" s="47" t="n"/>
      <c r="K17" s="47" t="n"/>
      <c r="L17" s="47" t="n"/>
      <c r="M17" s="47" t="n"/>
      <c r="N17" s="47" t="n"/>
      <c r="O17" s="47" t="n"/>
      <c r="P17" s="47" t="n"/>
      <c r="Q17" s="47" t="n"/>
      <c r="R17" s="49" t="n"/>
      <c r="S17" s="47" t="n"/>
    </row>
    <row r="18">
      <c r="A18" s="47" t="n"/>
      <c r="B18" s="123" t="inlineStr">
        <is>
          <t>Previous Date:</t>
        </is>
      </c>
      <c r="D18" s="186" t="n"/>
      <c r="E18" s="183" t="n"/>
      <c r="F18" s="47" t="n"/>
      <c r="G18" s="47" t="n"/>
      <c r="H18" s="47" t="n"/>
      <c r="I18" s="47" t="n"/>
      <c r="J18" s="47" t="n"/>
      <c r="K18" s="115" t="inlineStr">
        <is>
          <t>Total to Date:</t>
        </is>
      </c>
      <c r="N18" s="187" t="n"/>
      <c r="O18" s="156" t="n"/>
      <c r="P18" s="156" t="n"/>
      <c r="Q18" s="47" t="n"/>
      <c r="R18" s="49" t="n"/>
      <c r="S18" s="47" t="n"/>
    </row>
    <row r="19">
      <c r="A19" s="47" t="n">
        <v>1</v>
      </c>
      <c r="B19" s="47" t="n"/>
      <c r="C19" s="47" t="n"/>
      <c r="D19" s="47" t="n"/>
      <c r="E19" s="47" t="n"/>
      <c r="F19" s="47" t="n"/>
      <c r="G19" s="47" t="n"/>
      <c r="H19" s="47" t="inlineStr">
        <is>
          <t>LS</t>
        </is>
      </c>
      <c r="I19" s="47" t="n"/>
      <c r="J19" s="47" t="n"/>
      <c r="K19" s="47" t="n"/>
      <c r="L19" s="47" t="n"/>
      <c r="M19" s="47" t="n"/>
      <c r="N19" s="47" t="n"/>
      <c r="O19" s="47" t="n"/>
      <c r="P19" s="47" t="n"/>
      <c r="Q19" s="47" t="n"/>
      <c r="R19" s="47" t="n"/>
      <c r="S19" s="47" t="n"/>
    </row>
    <row r="20">
      <c r="A20" s="47" t="n">
        <v>36</v>
      </c>
      <c r="B20" s="133" t="inlineStr">
        <is>
          <t>59.  Remarks</t>
        </is>
      </c>
      <c r="C20" s="5" t="n"/>
      <c r="D20" s="191" t="n"/>
      <c r="E20" s="192" t="n"/>
      <c r="F20" s="192" t="n"/>
      <c r="G20" s="192" t="n"/>
      <c r="H20" s="192" t="n"/>
      <c r="I20" s="192" t="n"/>
      <c r="J20" s="192" t="n"/>
      <c r="K20" s="192" t="n"/>
      <c r="L20" s="192" t="n"/>
      <c r="M20" s="192" t="n"/>
      <c r="N20" s="192" t="n"/>
      <c r="O20" s="192" t="n"/>
      <c r="P20" s="192" t="n"/>
      <c r="Q20" s="192" t="n"/>
      <c r="R20" s="193" t="n"/>
      <c r="S20" s="47" t="n"/>
    </row>
    <row r="21" ht="15" customHeight="1">
      <c r="A21" s="47" t="n">
        <v>90</v>
      </c>
      <c r="B21" s="194" t="n"/>
      <c r="C21" s="195" t="n"/>
      <c r="D21" s="195" t="n"/>
      <c r="E21" s="195" t="n"/>
      <c r="F21" s="195" t="n"/>
      <c r="G21" s="195" t="n"/>
      <c r="H21" s="195" t="n"/>
      <c r="I21" s="195" t="n"/>
      <c r="J21" s="195" t="n"/>
      <c r="K21" s="195" t="n"/>
      <c r="L21" s="195" t="n"/>
      <c r="M21" s="195" t="n"/>
      <c r="N21" s="195" t="n"/>
      <c r="O21" s="195" t="n"/>
      <c r="P21" s="195" t="n"/>
      <c r="Q21" s="195" t="n"/>
      <c r="R21" s="196" t="n"/>
      <c r="S21" s="47" t="n"/>
    </row>
    <row r="22" ht="15" customHeight="1">
      <c r="A22" s="47" t="n">
        <v>101</v>
      </c>
      <c r="B22" s="197" t="n"/>
      <c r="C22" s="195" t="n"/>
      <c r="D22" s="195" t="n"/>
      <c r="E22" s="195" t="n"/>
      <c r="F22" s="195" t="n"/>
      <c r="G22" s="195" t="n"/>
      <c r="H22" s="195" t="n"/>
      <c r="I22" s="195" t="n"/>
      <c r="J22" s="195" t="n"/>
      <c r="K22" s="195" t="n"/>
      <c r="L22" s="195" t="n"/>
      <c r="M22" s="195" t="n"/>
      <c r="N22" s="195" t="n"/>
      <c r="O22" s="195" t="n"/>
      <c r="P22" s="195" t="n"/>
      <c r="Q22" s="195" t="n"/>
      <c r="R22" s="196" t="n"/>
      <c r="S22" s="47" t="n"/>
    </row>
    <row r="23" ht="15" customHeight="1">
      <c r="A23" s="47" t="n"/>
      <c r="B23" s="130" t="n"/>
      <c r="C23" s="195" t="n"/>
      <c r="D23" s="195" t="n"/>
      <c r="E23" s="195" t="n"/>
      <c r="F23" s="195" t="n"/>
      <c r="G23" s="195" t="n"/>
      <c r="H23" s="195" t="n"/>
      <c r="I23" s="195" t="n"/>
      <c r="J23" s="195" t="n"/>
      <c r="K23" s="195" t="n"/>
      <c r="L23" s="195" t="n"/>
      <c r="M23" s="195" t="n"/>
      <c r="N23" s="195" t="n"/>
      <c r="O23" s="195" t="n"/>
      <c r="P23" s="195" t="n"/>
      <c r="Q23" s="195" t="n"/>
      <c r="R23" s="195" t="n"/>
      <c r="S23" s="47" t="n"/>
    </row>
    <row r="24" ht="15" customHeight="1">
      <c r="A24" s="47" t="n"/>
      <c r="B24" s="201" t="n"/>
      <c r="C24" s="195" t="n"/>
      <c r="D24" s="195" t="n"/>
      <c r="E24" s="195" t="n"/>
      <c r="F24" s="195" t="n"/>
      <c r="G24" s="195" t="n"/>
      <c r="H24" s="195" t="n"/>
      <c r="I24" s="195" t="n"/>
      <c r="J24" s="195" t="n"/>
      <c r="K24" s="195" t="n"/>
      <c r="L24" s="195" t="n"/>
      <c r="M24" s="195" t="n"/>
      <c r="N24" s="195" t="n"/>
      <c r="O24" s="195" t="n"/>
      <c r="P24" s="195" t="n"/>
      <c r="Q24" s="195" t="n"/>
      <c r="R24" s="195" t="n"/>
      <c r="S24" s="47" t="n"/>
    </row>
    <row r="25">
      <c r="A25" s="47" t="n"/>
      <c r="B25" s="201" t="n"/>
      <c r="C25" s="195" t="n"/>
      <c r="D25" s="195" t="n"/>
      <c r="E25" s="195" t="n"/>
      <c r="F25" s="195" t="n"/>
      <c r="G25" s="195" t="n"/>
      <c r="H25" s="195" t="n"/>
      <c r="I25" s="195" t="n"/>
      <c r="J25" s="195" t="n"/>
      <c r="K25" s="195" t="n"/>
      <c r="L25" s="195" t="n"/>
      <c r="M25" s="195" t="n"/>
      <c r="N25" s="195" t="n"/>
      <c r="O25" s="195" t="n"/>
      <c r="P25" s="195" t="n"/>
      <c r="Q25" s="195" t="n"/>
      <c r="R25" s="195" t="n"/>
      <c r="S25" s="47" t="n"/>
    </row>
    <row r="26">
      <c r="A26" s="47" t="n"/>
      <c r="B26" s="201" t="n"/>
      <c r="C26" s="195" t="n"/>
      <c r="D26" s="195" t="n"/>
      <c r="E26" s="195" t="n"/>
      <c r="F26" s="195" t="n"/>
      <c r="G26" s="195" t="n"/>
      <c r="H26" s="195" t="n"/>
      <c r="I26" s="195" t="n"/>
      <c r="J26" s="195" t="n"/>
      <c r="K26" s="195" t="n"/>
      <c r="L26" s="195" t="n"/>
      <c r="M26" s="195" t="n"/>
      <c r="N26" s="195" t="n"/>
      <c r="O26" s="195" t="n"/>
      <c r="P26" s="195" t="n"/>
      <c r="Q26" s="195" t="n"/>
      <c r="R26" s="195" t="n"/>
      <c r="S26" s="47" t="n"/>
    </row>
    <row r="27">
      <c r="A27" s="47" t="n"/>
      <c r="B27" s="201" t="n"/>
      <c r="C27" s="195" t="n"/>
      <c r="D27" s="195" t="n"/>
      <c r="E27" s="195" t="n"/>
      <c r="F27" s="195" t="n"/>
      <c r="G27" s="195" t="n"/>
      <c r="H27" s="195" t="n"/>
      <c r="I27" s="195" t="n"/>
      <c r="J27" s="195" t="n"/>
      <c r="K27" s="195" t="n"/>
      <c r="L27" s="195" t="n"/>
      <c r="M27" s="195" t="n"/>
      <c r="N27" s="195" t="n"/>
      <c r="O27" s="195" t="n"/>
      <c r="P27" s="195" t="n"/>
      <c r="Q27" s="195" t="n"/>
      <c r="R27" s="195" t="n"/>
      <c r="S27" s="47" t="n"/>
    </row>
    <row r="28">
      <c r="A28" s="47" t="n"/>
      <c r="B28" s="201" t="n"/>
      <c r="C28" s="195" t="n"/>
      <c r="D28" s="195" t="n"/>
      <c r="E28" s="195" t="n"/>
      <c r="F28" s="195" t="n"/>
      <c r="G28" s="195" t="n"/>
      <c r="H28" s="195" t="n"/>
      <c r="I28" s="195" t="n"/>
      <c r="J28" s="195" t="n"/>
      <c r="K28" s="195" t="n"/>
      <c r="L28" s="195" t="n"/>
      <c r="M28" s="195" t="n"/>
      <c r="N28" s="195" t="n"/>
      <c r="O28" s="195" t="n"/>
      <c r="P28" s="195" t="n"/>
      <c r="Q28" s="195" t="n"/>
      <c r="R28" s="195" t="n"/>
      <c r="S28" s="47" t="n"/>
    </row>
    <row r="29">
      <c r="A29" s="47" t="n"/>
      <c r="B29" s="201" t="n"/>
      <c r="C29" s="195" t="n"/>
      <c r="D29" s="195" t="n"/>
      <c r="E29" s="195" t="n"/>
      <c r="F29" s="195" t="n"/>
      <c r="G29" s="195" t="n"/>
      <c r="H29" s="195" t="n"/>
      <c r="I29" s="195" t="n"/>
      <c r="J29" s="195" t="n"/>
      <c r="K29" s="195" t="n"/>
      <c r="L29" s="195" t="n"/>
      <c r="M29" s="195" t="n"/>
      <c r="N29" s="195" t="n"/>
      <c r="O29" s="195" t="n"/>
      <c r="P29" s="195" t="n"/>
      <c r="Q29" s="195" t="n"/>
      <c r="R29" s="195" t="n"/>
      <c r="S29" s="47" t="n"/>
    </row>
    <row r="30">
      <c r="A30" s="47" t="n"/>
      <c r="B30" s="201" t="n"/>
      <c r="C30" s="195" t="n"/>
      <c r="D30" s="195" t="n"/>
      <c r="E30" s="195" t="n"/>
      <c r="F30" s="195" t="n"/>
      <c r="G30" s="195" t="n"/>
      <c r="H30" s="195" t="n"/>
      <c r="I30" s="195" t="n"/>
      <c r="J30" s="195" t="n"/>
      <c r="K30" s="195" t="n"/>
      <c r="L30" s="195" t="n"/>
      <c r="M30" s="195" t="n"/>
      <c r="N30" s="195" t="n"/>
      <c r="O30" s="195" t="n"/>
      <c r="P30" s="195" t="n"/>
      <c r="Q30" s="195" t="n"/>
      <c r="R30" s="195" t="n"/>
      <c r="S30" s="47" t="n"/>
    </row>
    <row r="31">
      <c r="A31" s="47" t="n"/>
      <c r="B31" s="201" t="n"/>
      <c r="C31" s="195" t="n"/>
      <c r="D31" s="195" t="n"/>
      <c r="E31" s="195" t="n"/>
      <c r="F31" s="195" t="n"/>
      <c r="G31" s="195" t="n"/>
      <c r="H31" s="195" t="n"/>
      <c r="I31" s="195" t="n"/>
      <c r="J31" s="195" t="n"/>
      <c r="K31" s="195" t="n"/>
      <c r="L31" s="195" t="n"/>
      <c r="M31" s="195" t="n"/>
      <c r="N31" s="195" t="n"/>
      <c r="O31" s="195" t="n"/>
      <c r="P31" s="195" t="n"/>
      <c r="Q31" s="195" t="n"/>
      <c r="R31" s="195" t="n"/>
      <c r="S31" s="47" t="n"/>
    </row>
    <row r="32">
      <c r="A32" s="47" t="n"/>
      <c r="B32" s="201" t="n"/>
      <c r="C32" s="195" t="n"/>
      <c r="D32" s="195" t="n"/>
      <c r="E32" s="195" t="n"/>
      <c r="F32" s="195" t="n"/>
      <c r="G32" s="195" t="n"/>
      <c r="H32" s="195" t="n"/>
      <c r="I32" s="195" t="n"/>
      <c r="J32" s="195" t="n"/>
      <c r="K32" s="195" t="n"/>
      <c r="L32" s="195" t="n"/>
      <c r="M32" s="195" t="n"/>
      <c r="N32" s="195" t="n"/>
      <c r="O32" s="195" t="n"/>
      <c r="P32" s="195" t="n"/>
      <c r="Q32" s="195" t="n"/>
      <c r="R32" s="195" t="n"/>
      <c r="S32" s="47" t="n"/>
    </row>
    <row r="33">
      <c r="A33" s="47" t="n"/>
      <c r="B33" s="201" t="n"/>
      <c r="C33" s="195" t="n"/>
      <c r="D33" s="195" t="n"/>
      <c r="E33" s="195" t="n"/>
      <c r="F33" s="195" t="n"/>
      <c r="G33" s="195" t="n"/>
      <c r="H33" s="195" t="n"/>
      <c r="I33" s="195" t="n"/>
      <c r="J33" s="195" t="n"/>
      <c r="K33" s="195" t="n"/>
      <c r="L33" s="195" t="n"/>
      <c r="M33" s="195" t="n"/>
      <c r="N33" s="195" t="n"/>
      <c r="O33" s="195" t="n"/>
      <c r="P33" s="195" t="n"/>
      <c r="Q33" s="195" t="n"/>
      <c r="R33" s="195" t="n"/>
      <c r="S33" s="47" t="n"/>
    </row>
    <row r="34">
      <c r="A34" s="47" t="n"/>
      <c r="B34" s="201" t="n"/>
      <c r="C34" s="195" t="n"/>
      <c r="D34" s="195" t="n"/>
      <c r="E34" s="195" t="n"/>
      <c r="F34" s="195" t="n"/>
      <c r="G34" s="195" t="n"/>
      <c r="H34" s="195" t="n"/>
      <c r="I34" s="195" t="n"/>
      <c r="J34" s="195" t="n"/>
      <c r="K34" s="195" t="n"/>
      <c r="L34" s="195" t="n"/>
      <c r="M34" s="195" t="n"/>
      <c r="N34" s="195" t="n"/>
      <c r="O34" s="195" t="n"/>
      <c r="P34" s="195" t="n"/>
      <c r="Q34" s="195" t="n"/>
      <c r="R34" s="195" t="n"/>
      <c r="S34" s="47" t="n"/>
    </row>
    <row r="35">
      <c r="A35" s="47" t="n"/>
      <c r="B35" s="201" t="n"/>
      <c r="C35" s="195" t="n"/>
      <c r="D35" s="195" t="n"/>
      <c r="E35" s="195" t="n"/>
      <c r="F35" s="195" t="n"/>
      <c r="G35" s="195" t="n"/>
      <c r="H35" s="195" t="n"/>
      <c r="I35" s="195" t="n"/>
      <c r="J35" s="195" t="n"/>
      <c r="K35" s="195" t="n"/>
      <c r="L35" s="195" t="n"/>
      <c r="M35" s="195" t="n"/>
      <c r="N35" s="195" t="n"/>
      <c r="O35" s="195" t="n"/>
      <c r="P35" s="195" t="n"/>
      <c r="Q35" s="195" t="n"/>
      <c r="R35" s="195" t="n"/>
      <c r="S35" s="47" t="n"/>
    </row>
    <row r="36">
      <c r="A36" s="47" t="n"/>
      <c r="B36" s="194" t="n"/>
      <c r="C36" s="195" t="n"/>
      <c r="D36" s="195" t="n"/>
      <c r="E36" s="195" t="n"/>
      <c r="F36" s="195" t="n"/>
      <c r="G36" s="195" t="n"/>
      <c r="H36" s="195" t="n"/>
      <c r="I36" s="195" t="n"/>
      <c r="J36" s="195" t="n"/>
      <c r="K36" s="195" t="n"/>
      <c r="L36" s="195" t="n"/>
      <c r="M36" s="195" t="n"/>
      <c r="N36" s="195" t="n"/>
      <c r="O36" s="195" t="n"/>
      <c r="P36" s="195" t="n"/>
      <c r="Q36" s="195" t="n"/>
      <c r="R36" s="196" t="n"/>
      <c r="S36" s="47" t="n"/>
    </row>
    <row r="37">
      <c r="A37" s="47" t="n"/>
      <c r="B37" s="194" t="n"/>
      <c r="C37" s="195" t="n"/>
      <c r="D37" s="195" t="n"/>
      <c r="E37" s="195" t="n"/>
      <c r="F37" s="195" t="n"/>
      <c r="G37" s="195" t="n"/>
      <c r="H37" s="195" t="n"/>
      <c r="I37" s="195" t="n"/>
      <c r="J37" s="195" t="n"/>
      <c r="K37" s="195" t="n"/>
      <c r="L37" s="195" t="n"/>
      <c r="M37" s="195" t="n"/>
      <c r="N37" s="195" t="n"/>
      <c r="O37" s="195" t="n"/>
      <c r="P37" s="195" t="n"/>
      <c r="Q37" s="195" t="n"/>
      <c r="R37" s="196" t="n"/>
      <c r="S37" s="47" t="n"/>
    </row>
    <row r="38">
      <c r="A38" s="47" t="n"/>
      <c r="B38" s="194" t="n"/>
      <c r="C38" s="195" t="n"/>
      <c r="D38" s="195" t="n"/>
      <c r="E38" s="195" t="n"/>
      <c r="F38" s="195" t="n"/>
      <c r="G38" s="195" t="n"/>
      <c r="H38" s="195" t="n"/>
      <c r="I38" s="195" t="n"/>
      <c r="J38" s="195" t="n"/>
      <c r="K38" s="195" t="n"/>
      <c r="L38" s="195" t="n"/>
      <c r="M38" s="195" t="n"/>
      <c r="N38" s="195" t="n"/>
      <c r="O38" s="195" t="n"/>
      <c r="P38" s="195" t="n"/>
      <c r="Q38" s="195" t="n"/>
      <c r="R38" s="196" t="n"/>
      <c r="S38" s="47" t="n"/>
    </row>
    <row r="39">
      <c r="A39" s="47" t="n"/>
      <c r="B39" s="194" t="n"/>
      <c r="C39" s="195" t="n"/>
      <c r="D39" s="195" t="n"/>
      <c r="E39" s="195" t="n"/>
      <c r="F39" s="195" t="n"/>
      <c r="G39" s="195" t="n"/>
      <c r="H39" s="195" t="n"/>
      <c r="I39" s="195" t="n"/>
      <c r="J39" s="195" t="n"/>
      <c r="K39" s="195" t="n"/>
      <c r="L39" s="195" t="n"/>
      <c r="M39" s="195" t="n"/>
      <c r="N39" s="195" t="n"/>
      <c r="O39" s="195" t="n"/>
      <c r="P39" s="195" t="n"/>
      <c r="Q39" s="195" t="n"/>
      <c r="R39" s="196" t="n"/>
      <c r="S39" s="47" t="n"/>
    </row>
    <row r="40">
      <c r="A40" s="47" t="n"/>
      <c r="B40" s="194" t="n"/>
      <c r="C40" s="195" t="n"/>
      <c r="D40" s="195" t="n"/>
      <c r="E40" s="195" t="n"/>
      <c r="F40" s="195" t="n"/>
      <c r="G40" s="195" t="n"/>
      <c r="H40" s="195" t="n"/>
      <c r="I40" s="195" t="n"/>
      <c r="J40" s="195" t="n"/>
      <c r="K40" s="195" t="n"/>
      <c r="L40" s="195" t="n"/>
      <c r="M40" s="195" t="n"/>
      <c r="N40" s="195" t="n"/>
      <c r="O40" s="195" t="n"/>
      <c r="P40" s="195" t="n"/>
      <c r="Q40" s="195" t="n"/>
      <c r="R40" s="196" t="n"/>
      <c r="S40" s="47" t="n"/>
    </row>
    <row r="41">
      <c r="A41" s="47" t="n"/>
      <c r="B41" s="194" t="n"/>
      <c r="C41" s="195" t="n"/>
      <c r="D41" s="195" t="n"/>
      <c r="E41" s="195" t="n"/>
      <c r="F41" s="195" t="n"/>
      <c r="G41" s="195" t="n"/>
      <c r="H41" s="195" t="n"/>
      <c r="I41" s="195" t="n"/>
      <c r="J41" s="195" t="n"/>
      <c r="K41" s="195" t="n"/>
      <c r="L41" s="195" t="n"/>
      <c r="M41" s="195" t="n"/>
      <c r="N41" s="195" t="n"/>
      <c r="O41" s="195" t="n"/>
      <c r="P41" s="195" t="n"/>
      <c r="Q41" s="195" t="n"/>
      <c r="R41" s="196" t="n"/>
      <c r="S41" s="47" t="n"/>
    </row>
    <row r="42">
      <c r="A42" s="47" t="n"/>
      <c r="B42" s="194" t="n"/>
      <c r="C42" s="195" t="n"/>
      <c r="D42" s="195" t="n"/>
      <c r="E42" s="195" t="n"/>
      <c r="F42" s="195" t="n"/>
      <c r="G42" s="195" t="n"/>
      <c r="H42" s="195" t="n"/>
      <c r="I42" s="195" t="n"/>
      <c r="J42" s="195" t="n"/>
      <c r="K42" s="195" t="n"/>
      <c r="L42" s="195" t="n"/>
      <c r="M42" s="195" t="n"/>
      <c r="N42" s="195" t="n"/>
      <c r="O42" s="195" t="n"/>
      <c r="P42" s="195" t="n"/>
      <c r="Q42" s="195" t="n"/>
      <c r="R42" s="196" t="n"/>
      <c r="S42" s="47" t="n"/>
    </row>
    <row r="43">
      <c r="A43" s="47" t="n"/>
      <c r="B43" s="194" t="n"/>
      <c r="C43" s="195" t="n"/>
      <c r="D43" s="195" t="n"/>
      <c r="E43" s="195" t="n"/>
      <c r="F43" s="195" t="n"/>
      <c r="G43" s="195" t="n"/>
      <c r="H43" s="195" t="n"/>
      <c r="I43" s="195" t="n"/>
      <c r="J43" s="195" t="n"/>
      <c r="K43" s="195" t="n"/>
      <c r="L43" s="195" t="n"/>
      <c r="M43" s="195" t="n"/>
      <c r="N43" s="195" t="n"/>
      <c r="O43" s="195" t="n"/>
      <c r="P43" s="195" t="n"/>
      <c r="Q43" s="195" t="n"/>
      <c r="R43" s="196" t="n"/>
      <c r="S43" s="47" t="n"/>
    </row>
    <row r="44">
      <c r="A44" s="47" t="n"/>
      <c r="B44" s="194" t="n"/>
      <c r="C44" s="195" t="n"/>
      <c r="D44" s="195" t="n"/>
      <c r="E44" s="195" t="n"/>
      <c r="F44" s="195" t="n"/>
      <c r="G44" s="195" t="n"/>
      <c r="H44" s="195" t="n"/>
      <c r="I44" s="195" t="n"/>
      <c r="J44" s="195" t="n"/>
      <c r="K44" s="195" t="n"/>
      <c r="L44" s="195" t="n"/>
      <c r="M44" s="195" t="n"/>
      <c r="N44" s="195" t="n"/>
      <c r="O44" s="195" t="n"/>
      <c r="P44" s="195" t="n"/>
      <c r="Q44" s="195" t="n"/>
      <c r="R44" s="196" t="n"/>
      <c r="S44" s="47" t="n"/>
    </row>
    <row r="45">
      <c r="A45" s="47" t="n"/>
      <c r="B45" s="194" t="n"/>
      <c r="C45" s="195" t="n"/>
      <c r="D45" s="195" t="n"/>
      <c r="E45" s="195" t="n"/>
      <c r="F45" s="195" t="n"/>
      <c r="G45" s="195" t="n"/>
      <c r="H45" s="195" t="n"/>
      <c r="I45" s="195" t="n"/>
      <c r="J45" s="195" t="n"/>
      <c r="K45" s="195" t="n"/>
      <c r="L45" s="195" t="n"/>
      <c r="M45" s="195" t="n"/>
      <c r="N45" s="195" t="n"/>
      <c r="O45" s="195" t="n"/>
      <c r="P45" s="195" t="n"/>
      <c r="Q45" s="195" t="n"/>
      <c r="R45" s="196" t="n"/>
      <c r="S45" s="47" t="n"/>
    </row>
    <row r="46">
      <c r="A46" s="47" t="n"/>
      <c r="B46" s="194" t="n"/>
      <c r="C46" s="195" t="n"/>
      <c r="D46" s="195" t="n"/>
      <c r="E46" s="195" t="n"/>
      <c r="F46" s="195" t="n"/>
      <c r="G46" s="195" t="n"/>
      <c r="H46" s="195" t="n"/>
      <c r="I46" s="195" t="n"/>
      <c r="J46" s="195" t="n"/>
      <c r="K46" s="195" t="n"/>
      <c r="L46" s="195" t="n"/>
      <c r="M46" s="195" t="n"/>
      <c r="N46" s="195" t="n"/>
      <c r="O46" s="195" t="n"/>
      <c r="P46" s="195" t="n"/>
      <c r="Q46" s="195" t="n"/>
      <c r="R46" s="196" t="n"/>
      <c r="S46" s="47" t="n"/>
    </row>
    <row r="47">
      <c r="A47" s="47" t="n"/>
      <c r="B47" s="194" t="n"/>
      <c r="C47" s="195" t="n"/>
      <c r="D47" s="195" t="n"/>
      <c r="E47" s="195" t="n"/>
      <c r="F47" s="195" t="n"/>
      <c r="G47" s="195" t="n"/>
      <c r="H47" s="195" t="n"/>
      <c r="I47" s="195" t="n"/>
      <c r="J47" s="195" t="n"/>
      <c r="K47" s="195" t="n"/>
      <c r="L47" s="195" t="n"/>
      <c r="M47" s="195" t="n"/>
      <c r="N47" s="195" t="n"/>
      <c r="O47" s="195" t="n"/>
      <c r="P47" s="195" t="n"/>
      <c r="Q47" s="195" t="n"/>
      <c r="R47" s="196" t="n"/>
      <c r="S47" s="47" t="n"/>
    </row>
    <row r="48">
      <c r="A48" s="47" t="n"/>
      <c r="B48" s="150" t="inlineStr">
        <is>
          <t>60. Distribution</t>
        </is>
      </c>
      <c r="C48" s="5" t="n"/>
      <c r="D48" s="66" t="n"/>
      <c r="E48" s="66" t="n"/>
      <c r="F48" s="66" t="n"/>
      <c r="G48" s="67" t="n"/>
      <c r="H48" s="67" t="n"/>
      <c r="I48" s="67" t="n"/>
      <c r="J48" s="66" t="n"/>
      <c r="K48" s="67" t="n"/>
      <c r="L48" s="66" t="n"/>
      <c r="M48" s="68" t="n"/>
      <c r="N48" s="68" t="n"/>
      <c r="O48" s="68" t="n"/>
      <c r="P48" s="68" t="n"/>
      <c r="Q48" s="68" t="n"/>
      <c r="R48" s="69" t="n"/>
      <c r="S48" s="47" t="n"/>
    </row>
    <row r="49">
      <c r="A49" s="47" t="n"/>
      <c r="B49" s="70" t="n"/>
      <c r="C49" s="47" t="n"/>
      <c r="D49" s="47" t="n"/>
      <c r="E49" s="71" t="inlineStr">
        <is>
          <t>ORIGINAL</t>
        </is>
      </c>
      <c r="F49" s="71" t="inlineStr">
        <is>
          <t>Treasury Office</t>
        </is>
      </c>
      <c r="G49" s="47" t="n"/>
      <c r="H49" s="47" t="n"/>
      <c r="I49" s="71" t="inlineStr">
        <is>
          <t xml:space="preserve">COPY 3 </t>
        </is>
      </c>
      <c r="J49" s="47" t="n"/>
      <c r="K49" s="71" t="inlineStr">
        <is>
          <t>Project</t>
        </is>
      </c>
      <c r="L49" s="71" t="n"/>
      <c r="M49" s="72" t="n"/>
      <c r="N49" s="72" t="n"/>
      <c r="O49" s="72" t="n"/>
      <c r="P49" s="72" t="n"/>
      <c r="Q49" s="72" t="n"/>
      <c r="R49" s="73" t="n"/>
      <c r="S49" s="47" t="n"/>
    </row>
    <row r="50">
      <c r="A50" s="47" t="n"/>
      <c r="B50" s="74" t="n"/>
      <c r="C50" s="47" t="n"/>
      <c r="D50" s="47" t="n"/>
      <c r="E50" s="71" t="inlineStr">
        <is>
          <t>COPY 1</t>
        </is>
      </c>
      <c r="F50" s="71" t="inlineStr">
        <is>
          <t>Preaudit Office</t>
        </is>
      </c>
      <c r="G50" s="47" t="n"/>
      <c r="H50" s="47" t="n"/>
      <c r="I50" s="71" t="inlineStr">
        <is>
          <t>COPY 4</t>
        </is>
      </c>
      <c r="J50" s="47" t="n"/>
      <c r="K50" s="71" t="inlineStr">
        <is>
          <t>Construction Area</t>
        </is>
      </c>
      <c r="L50" s="71" t="n"/>
      <c r="M50" s="72" t="n"/>
      <c r="N50" s="72" t="n"/>
      <c r="O50" s="72" t="n"/>
      <c r="P50" s="72" t="n"/>
      <c r="Q50" s="72" t="n"/>
      <c r="R50" s="73" t="n"/>
      <c r="S50" s="47" t="n"/>
    </row>
    <row r="51">
      <c r="A51" s="47" t="n"/>
      <c r="B51" s="75" t="n"/>
      <c r="C51" s="76" t="n"/>
      <c r="D51" s="76" t="n"/>
      <c r="E51" s="77" t="inlineStr">
        <is>
          <t>COPY 2</t>
        </is>
      </c>
      <c r="F51" s="77" t="inlineStr">
        <is>
          <t>Contractor</t>
        </is>
      </c>
      <c r="G51" s="76" t="n"/>
      <c r="H51" s="77" t="n"/>
      <c r="I51" s="77" t="n"/>
      <c r="J51" s="77" t="n"/>
      <c r="K51" s="77" t="n"/>
      <c r="L51" s="78" t="n"/>
      <c r="M51" s="78" t="n"/>
      <c r="N51" s="78" t="n"/>
      <c r="O51" s="78" t="n"/>
      <c r="P51" s="78" t="n"/>
      <c r="Q51" s="78" t="n"/>
      <c r="R51" s="79" t="n"/>
      <c r="S51" s="47" t="n"/>
    </row>
    <row r="52">
      <c r="A52" s="47" t="n"/>
      <c r="B52" s="47" t="n"/>
      <c r="C52" s="47" t="n"/>
      <c r="D52" s="47" t="n"/>
      <c r="E52" s="47" t="n"/>
      <c r="F52" s="47" t="n"/>
      <c r="G52" s="47" t="n"/>
      <c r="H52" s="47" t="n"/>
      <c r="I52" s="47" t="n"/>
      <c r="J52" s="47" t="n"/>
      <c r="K52" s="47" t="n"/>
      <c r="L52" s="47" t="n"/>
      <c r="M52" s="47" t="n"/>
      <c r="N52" s="47" t="n"/>
      <c r="O52" s="47" t="n"/>
      <c r="P52" s="47" t="n"/>
      <c r="Q52" s="47" t="n"/>
      <c r="R52" s="47" t="n"/>
      <c r="S52" s="47" t="n"/>
    </row>
  </sheetData>
  <mergeCells count="50">
    <mergeCell ref="B23:R35"/>
    <mergeCell ref="B4:R4"/>
    <mergeCell ref="B16:C16"/>
    <mergeCell ref="D10:E10"/>
    <mergeCell ref="F10:G10"/>
    <mergeCell ref="H10:I10"/>
    <mergeCell ref="N18:P18"/>
    <mergeCell ref="K15:L15"/>
    <mergeCell ref="B47:R47"/>
    <mergeCell ref="N8:P8"/>
    <mergeCell ref="G8:H8"/>
    <mergeCell ref="B18:C18"/>
    <mergeCell ref="B46:R46"/>
    <mergeCell ref="B22:R22"/>
    <mergeCell ref="B48:C48"/>
    <mergeCell ref="H6:I6"/>
    <mergeCell ref="B21:R21"/>
    <mergeCell ref="N10:P10"/>
    <mergeCell ref="B43:R43"/>
    <mergeCell ref="D11:E11"/>
    <mergeCell ref="B39:R39"/>
    <mergeCell ref="B12:R12"/>
    <mergeCell ref="N9:P9"/>
    <mergeCell ref="B42:R42"/>
    <mergeCell ref="C9:D9"/>
    <mergeCell ref="D17:E17"/>
    <mergeCell ref="D16:E16"/>
    <mergeCell ref="B44:R44"/>
    <mergeCell ref="K8:L8"/>
    <mergeCell ref="G15:H15"/>
    <mergeCell ref="H7:I7"/>
    <mergeCell ref="B10:C10"/>
    <mergeCell ref="B38:R38"/>
    <mergeCell ref="K18:M18"/>
    <mergeCell ref="G14:H14"/>
    <mergeCell ref="D18:E18"/>
    <mergeCell ref="I14:J14"/>
    <mergeCell ref="B37:R37"/>
    <mergeCell ref="K14:L14"/>
    <mergeCell ref="D20:R20"/>
    <mergeCell ref="C8:D8"/>
    <mergeCell ref="N11:P11"/>
    <mergeCell ref="K7:L7"/>
    <mergeCell ref="B40:R40"/>
    <mergeCell ref="J10:L10"/>
    <mergeCell ref="B20:C20"/>
    <mergeCell ref="K6:L6"/>
    <mergeCell ref="B45:R45"/>
    <mergeCell ref="B41:R41"/>
    <mergeCell ref="B36:R36"/>
  </mergeCells>
  <printOptions horizontalCentered="1"/>
  <pageMargins left="0.2" right="0.2" top="0.25" bottom="0" header="0.3" footer="0.3"/>
  <pageSetup orientation="portrait" scale="97"/>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Enrique Saavedra</dc:creator>
  <dcterms:created xmlns:dcterms="http://purl.org/dc/terms/" xmlns:xsi="http://www.w3.org/2001/XMLSchema-instance" xsi:type="dcterms:W3CDTF">2026-05-02T00:31:28Z</dcterms:created>
  <dcterms:modified xmlns:dcterms="http://purl.org/dc/terms/" xmlns:xsi="http://www.w3.org/2001/XMLSchema-instance" xsi:type="dcterms:W3CDTF">2026-07-06T17:59:33Z</dcterms:modified>
  <cp:lastModifiedBy>Enrique Saavedra</cp:lastModifiedBy>
</cp:coreProperties>
</file>