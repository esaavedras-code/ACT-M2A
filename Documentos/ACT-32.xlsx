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M2A (GD)\CARRETERAS\DOCUMENTOS CARRETERAS\FORMAS Y DOCUMENTOS ACT\Formas con celdas\"/>
    </mc:Choice>
  </mc:AlternateContent>
  <xr:revisionPtr revIDLastSave="0" documentId="13_ncr:1_{406BCBAF-03ED-4F4C-8E86-6C389A1918A7}" xr6:coauthVersionLast="47" xr6:coauthVersionMax="47" xr10:uidLastSave="{00000000-0000-0000-0000-000000000000}"/>
  <bookViews>
    <workbookView xWindow="-25320" yWindow="-120" windowWidth="25440" windowHeight="15270" xr2:uid="{FE411710-14B8-4989-9412-EECA2BA2334D}"/>
  </bookViews>
  <sheets>
    <sheet name="ACT-32 (pag1)" sheetId="1" r:id="rId1"/>
  </sheets>
  <externalReferences>
    <externalReference r:id="rId2"/>
  </externalReferences>
  <definedNames>
    <definedName name="_QTY1">'[1]ACT-32 (pag1)'!$F$38</definedName>
    <definedName name="_UP1">'[1]ACT-32 (pag1)'!$G$38</definedName>
    <definedName name="DOCTOTAL1">'ACT-32 (pag1)'!$B$47</definedName>
    <definedName name="NEWTOTAL1">'ACT-32 (pag1)'!$G$18</definedName>
    <definedName name="ORIGCOST">'ACT-32 (pag1)'!$G$17</definedName>
    <definedName name="_xlnm.Print_Area" localSheetId="0">'ACT-32 (pag1)'!$A$1:$I$88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1" l="1"/>
  <c r="G57" i="1"/>
  <c r="B57" i="1"/>
  <c r="H46" i="1"/>
  <c r="H45" i="1"/>
  <c r="H44" i="1"/>
  <c r="H43" i="1"/>
  <c r="H42" i="1"/>
  <c r="H41" i="1"/>
  <c r="H40" i="1"/>
  <c r="H39" i="1"/>
  <c r="B47" i="1" s="1"/>
  <c r="F11" i="1"/>
  <c r="D11" i="1"/>
</calcChain>
</file>

<file path=xl/sharedStrings.xml><?xml version="1.0" encoding="utf-8"?>
<sst xmlns="http://schemas.openxmlformats.org/spreadsheetml/2006/main" count="79" uniqueCount="72">
  <si>
    <t>Gobierno de Puerto Rico</t>
  </si>
  <si>
    <t xml:space="preserve">Departamento de Transportación y Obras Públicas </t>
  </si>
  <si>
    <t>AUTORIDAD DE CARRETERAS Y TRANSPORTACIÓN</t>
  </si>
  <si>
    <t>Cómite para Evaluación de CHO y EWO</t>
  </si>
  <si>
    <t>Información General:</t>
  </si>
  <si>
    <t>Página 1 de 3</t>
  </si>
  <si>
    <t>Nombre del Proyecto:</t>
  </si>
  <si>
    <t>Rehabilitación del Sistema Video Detección de las Carreteras (PR-1, PR-181, PR-199 y PR-3)</t>
  </si>
  <si>
    <t>Número AC:</t>
  </si>
  <si>
    <t>AC-200024</t>
  </si>
  <si>
    <t>Ayuda Federal:</t>
  </si>
  <si>
    <t>Si</t>
  </si>
  <si>
    <t>No</t>
  </si>
  <si>
    <t>Num.Fed.</t>
  </si>
  <si>
    <t>ER-9999(532)</t>
  </si>
  <si>
    <t>Director Regional:</t>
  </si>
  <si>
    <t>Ing. Eduardo F. Ruiz Vélez</t>
  </si>
  <si>
    <t>Diseñador:</t>
  </si>
  <si>
    <t>ACT</t>
  </si>
  <si>
    <t>Supervisor del Proyecto:</t>
  </si>
  <si>
    <t>Ing. Carlos Céspedes Gómez</t>
  </si>
  <si>
    <t>Contratista:</t>
  </si>
  <si>
    <t>Bonneville Contracting And Technology Group, LLC</t>
  </si>
  <si>
    <t>Administrador:</t>
  </si>
  <si>
    <t>Ing. Luis R. Pastor Reyes</t>
  </si>
  <si>
    <t>Fecha de Comienzo:</t>
  </si>
  <si>
    <t>Costo Original:</t>
  </si>
  <si>
    <t>Fecha de Terminación:</t>
  </si>
  <si>
    <t>Costo Revisado:</t>
  </si>
  <si>
    <t>Fecha de Terminación Revisada:</t>
  </si>
  <si>
    <t>CHO:</t>
  </si>
  <si>
    <t>EWO:</t>
  </si>
  <si>
    <t>C (02)</t>
  </si>
  <si>
    <t>Concepto de Cambio:</t>
  </si>
  <si>
    <t>Justificación:</t>
  </si>
  <si>
    <r>
      <t xml:space="preserve">Este es un proyecto de emergencia para reparar los daños causados por el huracán María a las intersecciones semaforizadas que tuvieron daños visibles y ocultos específicamente a las cámaras de vigilancia y sistemas de monitoreo de vehículos de las siguientes carreteras: PR-1, PR-181, PR-199 and PR-3. Como requisito contractual, el punto número 18 de la propuesta "Evaluación de Intersecciones" requiere realizar una evaluación de las intersecciones de las carreteras mencionadas y verificar el estado de los equipos, así como documentar cualquier otro daño que pueda afectar el buen funcionamiento de estos sistemas. Como resultado de esta evaluación, se contabilizaron y actualizaron los daños sufridos por las intersecciones tras el huracán. Es necesario incluir en este documento las siguientes partidas:
Item # 21 Tree Pruning: en otras intersecciones se encontró que hay que podar árboles que interfieren con las Cámaras de Video Detección.
Item # 22 Relocation of Traffic Signal Cabinet: hay varias intersecciones que no se pudo llevar a cabo la evaluación de los sistemas de video detección, debido a que los gabinetes existentes no mostraron un correcto funcionamiento por lo que se procederá a instalar los mismos que fueron incluidos en el EWO # 01. Estos trabajos incluirán entre otras cosas los trabajos de reconexión de los gabinetes nuevo con sus respectivos cableados nuevos, instalación de main pull box, tubería para estructura de semáforos y para la energizar el nuevo gabinete a una columna metro contador, etc.
Item # 23, Item # 24 y Item # 31 (Video Image Processor, Coaxial and Power Cable y Video Detection Camera): estas partidas fueron negociadas ya que su precio aumentó y también aumentaron como consecuencia del estudio realizado para verificar el funcionamiento de las intersecciones, en el mismo se demostró la realidad de una necesidad de añadir estos componentes para el buen funcionamiento de las intersecciones semaforizadas.
Item # 25 Demolish Traffic Signal Foundation (Pole, Controller): esta partida se crea para poder remover o eliminar las bases de los gabinetes de control existentes que serán reemplazados por bases y gabinetes nuevos. Es necesario eliminar esta base por seguridad tan pronto se realice la transferencia a los nuevos gabinetes.
Item # 26 Miscellaneous Works (Power Suply and Brakes Panel): en el assesment se encontró que los gabinetes existentes no tenían una protección de altos voltaje y corriente y por otra parte estaban defectuosos el suplidor de energía. La División de Tránsito recomendó instalar dichos componentes como parte de suplir corriente y las debidas protecciones a los equipos.                                                                                                                                                                                                                                                                                                                                                            </t>
    </r>
    <r>
      <rPr>
        <b/>
        <i/>
        <sz val="8"/>
        <rFont val="Arial"/>
        <family val="2"/>
      </rPr>
      <t>Continuación Próxima Página</t>
    </r>
  </si>
  <si>
    <t>Descripción de partida</t>
  </si>
  <si>
    <t>Unit</t>
  </si>
  <si>
    <t>Quantity</t>
  </si>
  <si>
    <t>Unit Price</t>
  </si>
  <si>
    <t>Total</t>
  </si>
  <si>
    <t>21   626-365    Pruning    Existing Tree</t>
  </si>
  <si>
    <t>Each</t>
  </si>
  <si>
    <t>22   654-344    Relocation of Traffic Signal Cabinet</t>
  </si>
  <si>
    <t>23   654-590    Video Image Processor</t>
  </si>
  <si>
    <t>24   654-644    Coaxial and Power Cable</t>
  </si>
  <si>
    <t>LnM</t>
  </si>
  <si>
    <t>25    654-911     Demolish Traffic Signal Foundation (Pole,Controller)</t>
  </si>
  <si>
    <t>26   654-185     Miscleaneos Works ( power suply and brakes panel)</t>
  </si>
  <si>
    <t>LS</t>
  </si>
  <si>
    <t>27   654-185    Miscleaneos Works (  conduit obstruction)</t>
  </si>
  <si>
    <t>28   888-150    Allowance For PREPA</t>
  </si>
  <si>
    <t>FA</t>
  </si>
  <si>
    <t xml:space="preserve">Sub-Total:   </t>
  </si>
  <si>
    <t>Dias otorgados en</t>
  </si>
  <si>
    <t>este documento</t>
  </si>
  <si>
    <t>Comentarios:</t>
  </si>
  <si>
    <t>Supervisor de Proyecto:</t>
  </si>
  <si>
    <t xml:space="preserve">Director Regional: </t>
  </si>
  <si>
    <t>Participación FHWA:</t>
  </si>
  <si>
    <t>Sí</t>
  </si>
  <si>
    <t>Firma Representante FHWA</t>
  </si>
  <si>
    <t>Comentarios FHWA:</t>
  </si>
  <si>
    <t>Autorizado por:</t>
  </si>
  <si>
    <t>Revisado Por:</t>
  </si>
  <si>
    <t>Nombre y Firma Director Área de Diseño</t>
  </si>
  <si>
    <t>Representante Asesor Legal del</t>
  </si>
  <si>
    <t>Director Ejecutivo o su Repersentante Autorizado</t>
  </si>
  <si>
    <t>Nombre y Firma Director Area de Construcción</t>
  </si>
  <si>
    <t>Nombre y Firma Director Ejecutivo Auxiliar de Infraestructura</t>
  </si>
  <si>
    <t>Nombre y Firma Director Area de Finanzas o su Representante Autorizado</t>
  </si>
  <si>
    <t>Nombre y Firma Director Ejecutivo o su Representante Autorizado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</si>
</sst>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164" formatCode="[$-409]d\-mmm\-yy;@"/>
    <numFmt numFmtId="165" formatCode="#,##0.00##;[Red]\(#,##0.00##\)"/>
    <numFmt numFmtId="166" formatCode="&quot;$&quot;#,##0.00##;[Red]\(&quot;$&quot;#,##0.00##\)"/>
    <numFmt numFmtId="167" formatCode="&quot;$&quot;#,##0.00#;[Red]\(&quot;$&quot;#,##0.00#\)"/>
    <numFmt numFmtId="168" formatCode="[$-409]dd\-mmm\-yy;@"/>
    <numFmt numFmtId="169" formatCode="&quot;$&quot;#,##0.00"/>
  </numFmts>
  <fonts count="12" x14ac:knownFonts="1">
    <font>
      <sz val="11"/>
      <color theme="1"/>
      <name val="Aptos Narrow"/>
      <family val="2"/>
      <scheme val="minor"/>
    </font>
    <font>
      <sz val="9"/>
      <color indexed="8"/>
      <name val="Calibri"/>
      <family val="2"/>
    </font>
    <font>
      <sz val="10"/>
      <name val="Arial"/>
      <family val="2"/>
    </font>
    <font>
      <b/>
      <sz val="9"/>
      <name val="Arial"/>
      <family val="2"/>
    </font>
    <font>
      <sz val="9"/>
      <name val="Arial"/>
      <family val="2"/>
    </font>
    <font>
      <b/>
      <sz val="10"/>
      <color indexed="8"/>
      <name val="Calibri"/>
      <family val="2"/>
    </font>
    <font>
      <sz val="8"/>
      <name val="Arial"/>
      <family val="2"/>
    </font>
    <font>
      <b/>
      <i/>
      <sz val="8"/>
      <name val="Arial"/>
      <family val="2"/>
    </font>
    <font>
      <b/>
      <sz val="11"/>
      <name val="Arial"/>
      <family val="2"/>
    </font>
    <font>
      <u/>
      <sz val="9"/>
      <name val="Arial"/>
      <family val="2"/>
    </font>
    <font>
      <sz val="9"/>
      <color indexed="8"/>
      <name val="Arial"/>
      <family val="2"/>
    </font>
    <font>
      <b/>
      <sz val="11"/>
      <color indexed="8"/>
      <name val="Calibri"/>
      <family val="2"/>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44" fontId="2" fillId="0" borderId="0" applyFont="0" applyFill="0" applyBorder="0" applyAlignment="0" applyProtection="0"/>
  </cellStyleXfs>
  <cellXfs count="85">
    <xf numFmtId="0" fontId="0" fillId="0" borderId="0" xfId="0"/>
    <xf numFmtId="0" fontId="1" fillId="0" borderId="0" xfId="0" applyFont="1"/>
    <xf numFmtId="0" fontId="1" fillId="0" borderId="0" xfId="0" applyFont="1" applyAlignment="1">
      <alignment horizontal="center"/>
    </xf>
    <xf numFmtId="0" fontId="3" fillId="0" borderId="0" xfId="1" applyFont="1" applyAlignment="1">
      <alignment horizontal="centerContinuous"/>
    </xf>
    <xf numFmtId="0" fontId="3" fillId="0" borderId="0" xfId="1" applyFont="1"/>
    <xf numFmtId="0" fontId="4" fillId="0" borderId="0" xfId="1" applyFont="1"/>
    <xf numFmtId="0" fontId="5" fillId="0" borderId="0" xfId="0" applyFont="1" applyAlignment="1">
      <alignment horizontal="center"/>
    </xf>
    <xf numFmtId="0" fontId="4" fillId="0" borderId="0" xfId="1" applyFont="1" applyAlignment="1">
      <alignment horizontal="right"/>
    </xf>
    <xf numFmtId="0" fontId="3" fillId="0" borderId="2" xfId="1" applyFont="1" applyBorder="1" applyAlignment="1" applyProtection="1">
      <alignment horizontal="center"/>
      <protection locked="0"/>
    </xf>
    <xf numFmtId="0" fontId="3" fillId="0" borderId="1" xfId="1" applyFont="1" applyBorder="1" applyAlignment="1" applyProtection="1">
      <alignment horizontal="center"/>
      <protection locked="0"/>
    </xf>
    <xf numFmtId="0" fontId="3" fillId="0" borderId="6" xfId="1" applyFont="1" applyBorder="1" applyAlignment="1">
      <alignment horizontal="center" wrapText="1"/>
    </xf>
    <xf numFmtId="0" fontId="4" fillId="0" borderId="6" xfId="1" applyFont="1" applyBorder="1" applyAlignment="1" applyProtection="1">
      <alignment horizontal="center"/>
      <protection locked="0"/>
    </xf>
    <xf numFmtId="165" fontId="4" fillId="0" borderId="6" xfId="1" applyNumberFormat="1" applyFont="1" applyBorder="1" applyAlignment="1" applyProtection="1">
      <alignment horizontal="center"/>
      <protection locked="0"/>
    </xf>
    <xf numFmtId="166" fontId="4" fillId="0" borderId="6" xfId="2" applyNumberFormat="1" applyFont="1" applyBorder="1" applyAlignment="1" applyProtection="1">
      <alignment horizontal="right"/>
      <protection locked="0"/>
    </xf>
    <xf numFmtId="167" fontId="4" fillId="0" borderId="6" xfId="2" applyNumberFormat="1" applyFont="1" applyBorder="1" applyAlignment="1" applyProtection="1">
      <alignment horizontal="right"/>
      <protection locked="0"/>
    </xf>
    <xf numFmtId="166" fontId="4" fillId="0" borderId="6" xfId="2" applyNumberFormat="1" applyFont="1" applyFill="1" applyBorder="1" applyAlignment="1" applyProtection="1">
      <alignment horizontal="right"/>
      <protection locked="0"/>
    </xf>
    <xf numFmtId="44" fontId="4" fillId="0" borderId="0" xfId="2" applyFont="1" applyBorder="1" applyAlignment="1"/>
    <xf numFmtId="0" fontId="3" fillId="0" borderId="0" xfId="1" applyFont="1" applyAlignment="1">
      <alignment horizontal="right"/>
    </xf>
    <xf numFmtId="1" fontId="3" fillId="0" borderId="1" xfId="1" applyNumberFormat="1" applyFont="1" applyBorder="1" applyAlignment="1" applyProtection="1">
      <alignment horizontal="center"/>
      <protection locked="0"/>
    </xf>
    <xf numFmtId="0" fontId="9" fillId="0" borderId="1" xfId="1" applyFont="1" applyBorder="1" applyAlignment="1" applyProtection="1">
      <alignment horizontal="center"/>
      <protection locked="0"/>
    </xf>
    <xf numFmtId="0" fontId="4" fillId="0" borderId="1" xfId="1" applyFont="1" applyBorder="1" applyAlignment="1" applyProtection="1">
      <alignment horizontal="center"/>
      <protection locked="0"/>
    </xf>
    <xf numFmtId="0" fontId="4" fillId="0" borderId="0" xfId="1" applyFont="1" applyAlignment="1">
      <alignment horizontal="center"/>
    </xf>
    <xf numFmtId="0" fontId="4" fillId="0" borderId="1" xfId="1" applyFont="1" applyBorder="1" applyAlignment="1">
      <alignment horizontal="left"/>
    </xf>
    <xf numFmtId="0" fontId="4" fillId="0" borderId="1" xfId="1" applyFont="1" applyBorder="1" applyAlignment="1">
      <alignment horizontal="center"/>
    </xf>
    <xf numFmtId="0" fontId="4" fillId="0" borderId="1" xfId="1" applyFont="1" applyBorder="1"/>
    <xf numFmtId="0" fontId="10" fillId="0" borderId="0" xfId="0" applyFont="1"/>
    <xf numFmtId="0" fontId="4" fillId="0" borderId="0" xfId="1" applyFont="1" applyAlignment="1" applyProtection="1">
      <alignment horizontal="center"/>
      <protection locked="0"/>
    </xf>
    <xf numFmtId="0" fontId="4" fillId="0" borderId="0" xfId="1" applyFont="1" applyAlignment="1" applyProtection="1">
      <alignment horizontal="left"/>
      <protection locked="0"/>
    </xf>
    <xf numFmtId="0" fontId="11" fillId="0" borderId="0" xfId="0" applyFont="1"/>
    <xf numFmtId="0" fontId="3" fillId="0" borderId="0" xfId="1" applyFont="1" applyAlignment="1">
      <alignment horizontal="center"/>
    </xf>
    <xf numFmtId="0" fontId="3" fillId="0" borderId="0" xfId="1" applyFont="1" applyAlignment="1" applyProtection="1">
      <alignment horizontal="left"/>
      <protection locked="0"/>
    </xf>
    <xf numFmtId="0" fontId="3" fillId="0" borderId="0" xfId="1" applyFont="1" applyAlignment="1" applyProtection="1">
      <alignment horizontal="center"/>
      <protection locked="0"/>
    </xf>
    <xf numFmtId="49" fontId="3" fillId="0" borderId="0" xfId="1" applyNumberFormat="1" applyFont="1" applyAlignment="1" applyProtection="1">
      <alignment horizontal="left"/>
      <protection locked="0"/>
    </xf>
    <xf numFmtId="168" fontId="3" fillId="0" borderId="0" xfId="1" applyNumberFormat="1" applyFont="1" applyAlignment="1" applyProtection="1">
      <alignment horizontal="left"/>
      <protection locked="0"/>
    </xf>
    <xf numFmtId="7" fontId="3" fillId="0" borderId="0" xfId="2" applyNumberFormat="1" applyFont="1" applyBorder="1" applyAlignment="1" applyProtection="1">
      <alignment horizontal="right"/>
      <protection locked="0"/>
    </xf>
    <xf numFmtId="8" fontId="3" fillId="0" borderId="0" xfId="2" applyNumberFormat="1" applyFont="1" applyBorder="1" applyAlignment="1" applyProtection="1">
      <alignment horizontal="right"/>
      <protection locked="0"/>
    </xf>
    <xf numFmtId="0" fontId="2" fillId="0" borderId="0" xfId="1" applyAlignment="1" applyProtection="1">
      <alignment horizontal="left"/>
      <protection locked="0"/>
    </xf>
    <xf numFmtId="0" fontId="8" fillId="0" borderId="0" xfId="1" applyFont="1" applyAlignment="1" applyProtection="1">
      <alignment horizontal="center"/>
      <protection locked="0"/>
    </xf>
    <xf numFmtId="0" fontId="4" fillId="0" borderId="0" xfId="1" applyFont="1" applyProtection="1">
      <protection locked="0"/>
    </xf>
    <xf numFmtId="40" fontId="4" fillId="0" borderId="0" xfId="1" applyNumberFormat="1" applyFont="1" applyAlignment="1" applyProtection="1">
      <alignment horizontal="right"/>
      <protection locked="0"/>
    </xf>
    <xf numFmtId="169" fontId="4" fillId="0" borderId="0" xfId="2" applyNumberFormat="1" applyFont="1" applyBorder="1" applyAlignment="1" applyProtection="1">
      <alignment horizontal="right"/>
      <protection locked="0"/>
    </xf>
    <xf numFmtId="8" fontId="4" fillId="0" borderId="0" xfId="2" applyNumberFormat="1" applyFont="1" applyBorder="1" applyAlignment="1">
      <alignment horizontal="right"/>
    </xf>
    <xf numFmtId="8" fontId="3" fillId="0" borderId="0" xfId="1" applyNumberFormat="1" applyFont="1" applyAlignment="1" applyProtection="1">
      <alignment horizontal="center"/>
      <protection locked="0"/>
    </xf>
    <xf numFmtId="1" fontId="3" fillId="0" borderId="0" xfId="1" applyNumberFormat="1" applyFont="1" applyAlignment="1" applyProtection="1">
      <alignment horizontal="center"/>
      <protection locked="0"/>
    </xf>
    <xf numFmtId="0" fontId="3" fillId="0" borderId="0" xfId="1" applyFont="1" applyAlignment="1">
      <alignment horizontal="left"/>
    </xf>
    <xf numFmtId="0" fontId="9" fillId="0" borderId="0" xfId="1" applyFont="1" applyAlignment="1" applyProtection="1">
      <alignment horizontal="center"/>
      <protection locked="0"/>
    </xf>
    <xf numFmtId="0" fontId="3" fillId="0" borderId="1" xfId="1" applyFont="1" applyBorder="1" applyAlignment="1" applyProtection="1">
      <alignment horizontal="left"/>
      <protection locked="0"/>
    </xf>
    <xf numFmtId="0" fontId="1" fillId="0" borderId="0" xfId="0" applyFont="1" applyAlignment="1">
      <alignment horizontal="center" wrapText="1"/>
    </xf>
    <xf numFmtId="0" fontId="1" fillId="0" borderId="0" xfId="0" applyFont="1" applyAlignment="1">
      <alignment horizontal="center"/>
    </xf>
    <xf numFmtId="0" fontId="5" fillId="0" borderId="0" xfId="0" applyFont="1" applyAlignment="1">
      <alignment horizontal="center"/>
    </xf>
    <xf numFmtId="0" fontId="3" fillId="0" borderId="1" xfId="1" applyFont="1" applyBorder="1" applyAlignment="1" applyProtection="1">
      <alignment horizontal="left" shrinkToFit="1"/>
      <protection locked="0"/>
    </xf>
    <xf numFmtId="0" fontId="3" fillId="0" borderId="1" xfId="1" applyFont="1" applyBorder="1" applyAlignment="1" applyProtection="1">
      <alignment horizontal="center"/>
      <protection locked="0"/>
    </xf>
    <xf numFmtId="0" fontId="3" fillId="0" borderId="2" xfId="1" applyFont="1" applyBorder="1" applyAlignment="1" applyProtection="1">
      <alignment horizontal="left"/>
      <protection locked="0"/>
    </xf>
    <xf numFmtId="0" fontId="3" fillId="0" borderId="3" xfId="1" applyFont="1" applyBorder="1" applyAlignment="1" applyProtection="1">
      <alignment horizontal="center" wrapText="1"/>
      <protection locked="0"/>
    </xf>
    <xf numFmtId="0" fontId="3" fillId="0" borderId="0" xfId="1" applyFont="1" applyAlignment="1" applyProtection="1">
      <alignment horizontal="center" wrapText="1"/>
      <protection locked="0"/>
    </xf>
    <xf numFmtId="0" fontId="4" fillId="0" borderId="6" xfId="1" applyFont="1" applyBorder="1" applyAlignment="1" applyProtection="1">
      <alignment horizontal="left" shrinkToFit="1"/>
      <protection locked="0"/>
    </xf>
    <xf numFmtId="166" fontId="4" fillId="0" borderId="6" xfId="2" applyNumberFormat="1" applyFont="1" applyBorder="1" applyAlignment="1">
      <alignment horizontal="right"/>
    </xf>
    <xf numFmtId="164" fontId="3" fillId="0" borderId="1" xfId="1" applyNumberFormat="1" applyFont="1" applyBorder="1" applyAlignment="1" applyProtection="1">
      <alignment horizontal="left"/>
      <protection locked="0"/>
    </xf>
    <xf numFmtId="7" fontId="3" fillId="0" borderId="1" xfId="2" applyNumberFormat="1" applyFont="1" applyFill="1" applyBorder="1" applyAlignment="1" applyProtection="1">
      <alignment horizontal="right"/>
      <protection locked="0"/>
    </xf>
    <xf numFmtId="164" fontId="3" fillId="0" borderId="2" xfId="1" applyNumberFormat="1" applyFont="1" applyBorder="1" applyAlignment="1" applyProtection="1">
      <alignment horizontal="left"/>
      <protection locked="0"/>
    </xf>
    <xf numFmtId="8" fontId="4" fillId="0" borderId="3" xfId="1" applyNumberFormat="1" applyFont="1" applyBorder="1" applyAlignment="1">
      <alignment horizontal="center"/>
    </xf>
    <xf numFmtId="0" fontId="4" fillId="0" borderId="0" xfId="1" applyFont="1"/>
    <xf numFmtId="0" fontId="4" fillId="0" borderId="2" xfId="1" applyFont="1" applyBorder="1" applyAlignment="1" applyProtection="1">
      <alignment horizontal="left"/>
      <protection locked="0"/>
    </xf>
    <xf numFmtId="0" fontId="6" fillId="0" borderId="3" xfId="1" applyFont="1" applyBorder="1" applyAlignment="1" applyProtection="1">
      <alignment horizontal="left" vertical="top" wrapText="1"/>
      <protection locked="0"/>
    </xf>
    <xf numFmtId="0" fontId="6" fillId="0" borderId="0" xfId="1" applyFont="1" applyAlignment="1" applyProtection="1">
      <alignment horizontal="left" vertical="top" wrapText="1"/>
      <protection locked="0"/>
    </xf>
    <xf numFmtId="0" fontId="6" fillId="0" borderId="1" xfId="1" applyFont="1" applyBorder="1" applyAlignment="1" applyProtection="1">
      <alignment horizontal="left" vertical="top" wrapText="1"/>
      <protection locked="0"/>
    </xf>
    <xf numFmtId="0" fontId="3" fillId="0" borderId="4" xfId="1" applyFont="1" applyBorder="1" applyAlignment="1">
      <alignment horizontal="center" wrapText="1"/>
    </xf>
    <xf numFmtId="0" fontId="3" fillId="0" borderId="2" xfId="1" applyFont="1" applyBorder="1" applyAlignment="1">
      <alignment horizontal="center" wrapText="1"/>
    </xf>
    <xf numFmtId="0" fontId="4" fillId="0" borderId="2" xfId="1" applyFont="1" applyBorder="1" applyAlignment="1">
      <alignment horizontal="center" wrapText="1"/>
    </xf>
    <xf numFmtId="0" fontId="4" fillId="0" borderId="5" xfId="1" applyFont="1" applyBorder="1" applyAlignment="1">
      <alignment horizontal="center" wrapText="1"/>
    </xf>
    <xf numFmtId="0" fontId="4" fillId="0" borderId="5" xfId="1" applyFont="1" applyBorder="1" applyAlignment="1">
      <alignment wrapText="1"/>
    </xf>
    <xf numFmtId="0" fontId="4" fillId="0" borderId="6" xfId="1" applyFont="1" applyBorder="1" applyAlignment="1" applyProtection="1">
      <alignment horizontal="left" wrapText="1" shrinkToFit="1"/>
      <protection locked="0"/>
    </xf>
    <xf numFmtId="0" fontId="4" fillId="0" borderId="4" xfId="1" applyFont="1" applyBorder="1" applyAlignment="1" applyProtection="1">
      <alignment horizontal="left" shrinkToFit="1"/>
      <protection locked="0"/>
    </xf>
    <xf numFmtId="0" fontId="4" fillId="0" borderId="2" xfId="1" applyFont="1" applyBorder="1" applyAlignment="1" applyProtection="1">
      <alignment horizontal="left" shrinkToFit="1"/>
      <protection locked="0"/>
    </xf>
    <xf numFmtId="0" fontId="4" fillId="0" borderId="5" xfId="1" applyFont="1" applyBorder="1" applyAlignment="1" applyProtection="1">
      <alignment horizontal="left" shrinkToFit="1"/>
      <protection locked="0"/>
    </xf>
    <xf numFmtId="166" fontId="4" fillId="0" borderId="4" xfId="2" applyNumberFormat="1" applyFont="1" applyBorder="1" applyAlignment="1">
      <alignment horizontal="right"/>
    </xf>
    <xf numFmtId="166" fontId="4" fillId="0" borderId="5" xfId="2" applyNumberFormat="1" applyFont="1" applyBorder="1" applyAlignment="1">
      <alignment horizontal="right"/>
    </xf>
    <xf numFmtId="8" fontId="3" fillId="0" borderId="1" xfId="1" applyNumberFormat="1" applyFont="1" applyBorder="1" applyAlignment="1" applyProtection="1">
      <alignment horizontal="center"/>
      <protection locked="0"/>
    </xf>
    <xf numFmtId="0" fontId="4" fillId="0" borderId="1" xfId="1" applyFont="1" applyBorder="1" applyAlignment="1" applyProtection="1">
      <alignment horizontal="left"/>
      <protection locked="0"/>
    </xf>
    <xf numFmtId="0" fontId="8" fillId="0" borderId="2" xfId="1" applyFont="1" applyBorder="1" applyAlignment="1" applyProtection="1">
      <alignment horizontal="center"/>
      <protection locked="0"/>
    </xf>
    <xf numFmtId="0" fontId="3" fillId="0" borderId="3" xfId="1" applyFont="1" applyBorder="1" applyAlignment="1">
      <alignment horizontal="left" wrapText="1"/>
    </xf>
    <xf numFmtId="0" fontId="3" fillId="0" borderId="0" xfId="1" applyFont="1" applyAlignment="1">
      <alignment horizontal="left" wrapText="1"/>
    </xf>
    <xf numFmtId="0" fontId="4" fillId="0" borderId="1" xfId="1" applyFont="1" applyBorder="1" applyAlignment="1" applyProtection="1">
      <alignment horizontal="center"/>
      <protection locked="0"/>
    </xf>
    <xf numFmtId="0" fontId="4" fillId="0" borderId="3" xfId="1" applyFont="1" applyBorder="1" applyAlignment="1">
      <alignment horizontal="center"/>
    </xf>
    <xf numFmtId="0" fontId="4" fillId="0" borderId="1" xfId="1" applyFont="1" applyBorder="1" applyAlignment="1">
      <alignment horizontal="left"/>
    </xf>
  </cellXfs>
  <cellStyles count="3">
    <cellStyle name="Currency 2" xfId="2" xr:uid="{0E209658-639C-4219-B680-D15972D1ED8C}"/>
    <cellStyle name="Normal" xfId="0" builtinId="0"/>
    <cellStyle name="Normal 2" xfId="1" xr:uid="{59A9052F-DC16-44D9-A0E0-B8CCA8EC37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271871</xdr:colOff>
      <xdr:row>0</xdr:row>
      <xdr:rowOff>38100</xdr:rowOff>
    </xdr:from>
    <xdr:to>
      <xdr:col>9</xdr:col>
      <xdr:colOff>2572</xdr:colOff>
      <xdr:row>2</xdr:row>
      <xdr:rowOff>1179</xdr:rowOff>
    </xdr:to>
    <xdr:sp macro="" textlink="">
      <xdr:nvSpPr>
        <xdr:cNvPr id="2" name="TextBox 1">
          <a:extLst>
            <a:ext uri="{FF2B5EF4-FFF2-40B4-BE49-F238E27FC236}">
              <a16:creationId xmlns:a16="http://schemas.microsoft.com/office/drawing/2014/main" id="{BBB0254F-9B1F-4A3B-A41C-EAA97F26BA58}"/>
            </a:ext>
          </a:extLst>
        </xdr:cNvPr>
        <xdr:cNvSpPr txBox="1"/>
      </xdr:nvSpPr>
      <xdr:spPr>
        <a:xfrm>
          <a:off x="6207851" y="38100"/>
          <a:ext cx="896561" cy="283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defRPr sz="1000"/>
          </a:pPr>
          <a:r>
            <a:rPr lang="en-US" sz="900" b="0" i="0" strike="noStrike">
              <a:solidFill>
                <a:srgbClr val="000000"/>
              </a:solidFill>
              <a:latin typeface="Arial"/>
              <a:ea typeface="Arial"/>
              <a:cs typeface="Arial"/>
            </a:rPr>
            <a:t>ACT-32</a:t>
          </a:r>
        </a:p>
        <a:p>
          <a:pPr algn="ctr" rtl="0">
            <a:defRPr sz="1000"/>
          </a:pPr>
          <a:endParaRPr lang="en-US" sz="900" b="0" i="0" strike="noStrike">
            <a:solidFill>
              <a:srgbClr val="000000"/>
            </a:solidFill>
            <a:latin typeface="Arial"/>
            <a:ea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2A/Carreteras/Pastor%20EWO%2002/EW%2002%20ESS/AC113A,AC113,%20AC32%20EWO%2002%20AC-200024%20.xlsx" TargetMode="External"/><Relationship Id="rId2" Type="http://schemas.openxmlformats.org/officeDocument/2006/relationships/externalLinkPath" Target="file:///G:\My%20Drive\M2A\Carreteras\Pastor%20EWO%2002\EW%2002%20ESS\AC113A,AC113,%20AC32%20EWO%2002%20AC-200024%20.xlsx" TargetMode="External"/><Relationship Id="rId1" Type="http://schemas.openxmlformats.org/officeDocument/2006/relationships/externalLinkPath" Target="/My%20Drive/M2A/Carreteras/Pastor%20EWO%2002/EW%2002%20ESS/AC113A,AC113,%20AC32%20EWO%2002%20AC-200024%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CT-113A"/>
      <sheetName val="ACT-113"/>
      <sheetName val="ACT-113 Back"/>
      <sheetName val="ACT-32 (pag1)"/>
      <sheetName val="ACT-32 (pag2)"/>
      <sheetName val="ACT-32 (pag3)"/>
      <sheetName val="Instrucciones"/>
    </sheetNames>
    <sheetDataSet>
      <sheetData sheetId="0"/>
      <sheetData sheetId="1"/>
      <sheetData sheetId="2"/>
      <sheetData sheetId="3">
        <row r="38">
          <cell r="F38">
            <v>1</v>
          </cell>
          <cell r="G38">
            <v>3010.11</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4FDE-B568-40A0-BE68-9C16808F74BF}">
  <sheetPr>
    <pageSetUpPr fitToPage="1"/>
  </sheetPr>
  <dimension ref="A1:K263"/>
  <sheetViews>
    <sheetView tabSelected="1" view="pageBreakPreview" zoomScaleNormal="150" zoomScaleSheetLayoutView="100" zoomScalePageLayoutView="75" workbookViewId="0">
      <selection activeCell="B59" sqref="B59:E59"/>
    </sheetView>
  </sheetViews>
  <sheetFormatPr defaultColWidth="9.33203125" defaultRowHeight="12" x14ac:dyDescent="0.25"/>
  <cols>
    <col min="1" max="1" width="27.44140625" style="1" customWidth="1"/>
    <col min="2" max="2" width="8.33203125" style="1" customWidth="1"/>
    <col min="3" max="3" width="7.33203125" style="1" customWidth="1"/>
    <col min="4" max="4" width="9.44140625" style="1" customWidth="1"/>
    <col min="5" max="5" width="11.33203125" style="1" customWidth="1"/>
    <col min="6" max="6" width="12.109375" style="1" customWidth="1"/>
    <col min="7" max="7" width="10.5546875" style="1" bestFit="1" customWidth="1"/>
    <col min="8" max="8" width="8.6640625" style="1" customWidth="1"/>
    <col min="9" max="9" width="8.33203125" style="1" customWidth="1"/>
    <col min="10" max="10" width="2.44140625" style="1" customWidth="1"/>
    <col min="11" max="16" width="9.33203125" style="1"/>
    <col min="17" max="17" width="7.6640625" style="1" customWidth="1"/>
    <col min="18" max="16384" width="9.33203125" style="1"/>
  </cols>
  <sheetData>
    <row r="1" spans="1:9" ht="12.75" customHeight="1" x14ac:dyDescent="0.25">
      <c r="A1" s="47" t="s">
        <v>0</v>
      </c>
      <c r="B1" s="47"/>
      <c r="C1" s="47"/>
      <c r="D1" s="47"/>
      <c r="E1" s="47"/>
      <c r="F1" s="47"/>
      <c r="G1" s="47"/>
      <c r="H1" s="47"/>
      <c r="I1" s="47"/>
    </row>
    <row r="2" spans="1:9" ht="12.75" customHeight="1" x14ac:dyDescent="0.25">
      <c r="A2" s="47" t="s">
        <v>1</v>
      </c>
      <c r="B2" s="47"/>
      <c r="C2" s="47"/>
      <c r="D2" s="47"/>
      <c r="E2" s="47"/>
      <c r="F2" s="47"/>
      <c r="G2" s="47"/>
      <c r="H2" s="47"/>
      <c r="I2" s="47"/>
    </row>
    <row r="3" spans="1:9" ht="12.75" customHeight="1" x14ac:dyDescent="0.25">
      <c r="A3" s="48" t="s">
        <v>2</v>
      </c>
      <c r="B3" s="48"/>
      <c r="C3" s="48"/>
      <c r="D3" s="48"/>
      <c r="E3" s="48"/>
      <c r="F3" s="48"/>
      <c r="G3" s="48"/>
      <c r="H3" s="48"/>
      <c r="I3" s="48"/>
    </row>
    <row r="4" spans="1:9" ht="9" customHeight="1" x14ac:dyDescent="0.25"/>
    <row r="5" spans="1:9" ht="13.5" customHeight="1" x14ac:dyDescent="0.25">
      <c r="A5" s="3" t="s">
        <v>3</v>
      </c>
      <c r="B5" s="3"/>
      <c r="C5" s="3"/>
      <c r="D5" s="3"/>
      <c r="E5" s="3"/>
      <c r="F5" s="3"/>
      <c r="G5" s="3"/>
      <c r="H5" s="3"/>
      <c r="I5" s="3"/>
    </row>
    <row r="6" spans="1:9" ht="9" customHeight="1" x14ac:dyDescent="0.25"/>
    <row r="7" spans="1:9" ht="13.5" customHeight="1" x14ac:dyDescent="0.3">
      <c r="A7" s="4" t="s">
        <v>4</v>
      </c>
      <c r="B7" s="5"/>
      <c r="C7" s="5"/>
      <c r="D7" s="5"/>
      <c r="E7" s="5"/>
      <c r="F7" s="5"/>
      <c r="G7" s="5"/>
      <c r="H7" s="49" t="s">
        <v>5</v>
      </c>
      <c r="I7" s="49"/>
    </row>
    <row r="8" spans="1:9" ht="9" customHeight="1" x14ac:dyDescent="0.25"/>
    <row r="9" spans="1:9" ht="13.5" customHeight="1" x14ac:dyDescent="0.25">
      <c r="A9" s="5" t="s">
        <v>6</v>
      </c>
      <c r="B9" s="50" t="s">
        <v>7</v>
      </c>
      <c r="C9" s="50"/>
      <c r="D9" s="50"/>
      <c r="E9" s="50"/>
      <c r="F9" s="50"/>
      <c r="G9" s="50"/>
      <c r="H9" s="50"/>
      <c r="I9" s="50"/>
    </row>
    <row r="10" spans="1:9" ht="13.5" customHeight="1" x14ac:dyDescent="0.25">
      <c r="A10" s="5" t="s">
        <v>8</v>
      </c>
      <c r="B10" s="46" t="s">
        <v>9</v>
      </c>
      <c r="C10" s="46"/>
      <c r="D10" s="46"/>
      <c r="E10" s="5"/>
      <c r="F10" s="5"/>
      <c r="G10" s="5"/>
      <c r="H10" s="5"/>
      <c r="I10" s="5"/>
    </row>
    <row r="11" spans="1:9" ht="13.5" customHeight="1" x14ac:dyDescent="0.25">
      <c r="A11" s="5" t="s">
        <v>10</v>
      </c>
      <c r="B11" s="5"/>
      <c r="C11" s="7" t="s">
        <v>11</v>
      </c>
      <c r="D11" s="8" t="str">
        <f>IF(H11="N/A","","X")</f>
        <v>X</v>
      </c>
      <c r="E11" s="7" t="s">
        <v>12</v>
      </c>
      <c r="F11" s="9" t="str">
        <f>IF(H11="N/A","X","")</f>
        <v/>
      </c>
      <c r="G11" s="7" t="s">
        <v>13</v>
      </c>
      <c r="H11" s="51" t="s">
        <v>14</v>
      </c>
      <c r="I11" s="51"/>
    </row>
    <row r="12" spans="1:9" ht="8.25" customHeight="1" x14ac:dyDescent="0.25"/>
    <row r="13" spans="1:9" ht="13.5" customHeight="1" x14ac:dyDescent="0.25">
      <c r="A13" s="5" t="s">
        <v>15</v>
      </c>
      <c r="B13" s="46" t="s">
        <v>16</v>
      </c>
      <c r="C13" s="46"/>
      <c r="D13" s="46"/>
      <c r="E13" s="5"/>
      <c r="F13" s="7" t="s">
        <v>17</v>
      </c>
      <c r="G13" s="51" t="s">
        <v>18</v>
      </c>
      <c r="H13" s="51"/>
      <c r="I13" s="51"/>
    </row>
    <row r="14" spans="1:9" ht="13.5" customHeight="1" x14ac:dyDescent="0.25">
      <c r="A14" s="5" t="s">
        <v>19</v>
      </c>
      <c r="B14" s="52" t="s">
        <v>20</v>
      </c>
      <c r="C14" s="52"/>
      <c r="D14" s="52"/>
      <c r="E14" s="5"/>
      <c r="F14" s="7" t="s">
        <v>21</v>
      </c>
      <c r="G14" s="53" t="s">
        <v>22</v>
      </c>
      <c r="H14" s="53"/>
      <c r="I14" s="53"/>
    </row>
    <row r="15" spans="1:9" ht="13.5" customHeight="1" x14ac:dyDescent="0.25">
      <c r="A15" s="5" t="s">
        <v>23</v>
      </c>
      <c r="B15" s="52" t="s">
        <v>24</v>
      </c>
      <c r="C15" s="52"/>
      <c r="D15" s="52"/>
      <c r="E15" s="5"/>
      <c r="F15" s="5"/>
      <c r="G15" s="54"/>
      <c r="H15" s="54"/>
      <c r="I15" s="54"/>
    </row>
    <row r="16" spans="1:9" ht="9" customHeight="1" x14ac:dyDescent="0.25"/>
    <row r="17" spans="1:9" ht="13.5" customHeight="1" x14ac:dyDescent="0.25">
      <c r="A17" s="5" t="s">
        <v>25</v>
      </c>
      <c r="B17" s="57">
        <v>44866</v>
      </c>
      <c r="C17" s="57"/>
      <c r="D17" s="57"/>
      <c r="E17" s="5"/>
      <c r="F17" s="7" t="s">
        <v>26</v>
      </c>
      <c r="G17" s="58">
        <v>927200</v>
      </c>
      <c r="H17" s="58"/>
      <c r="I17" s="5"/>
    </row>
    <row r="18" spans="1:9" ht="13.5" customHeight="1" x14ac:dyDescent="0.25">
      <c r="A18" s="5" t="s">
        <v>27</v>
      </c>
      <c r="B18" s="59">
        <v>45375</v>
      </c>
      <c r="C18" s="59"/>
      <c r="D18" s="59"/>
      <c r="E18" s="5"/>
      <c r="F18" s="7" t="s">
        <v>28</v>
      </c>
      <c r="G18" s="58">
        <v>4727961.09</v>
      </c>
      <c r="H18" s="58"/>
      <c r="I18" s="5"/>
    </row>
    <row r="19" spans="1:9" ht="13.5" customHeight="1" x14ac:dyDescent="0.25">
      <c r="A19" s="5" t="s">
        <v>29</v>
      </c>
      <c r="B19" s="59">
        <v>45797</v>
      </c>
      <c r="C19" s="59"/>
      <c r="D19" s="59"/>
      <c r="E19" s="5"/>
      <c r="F19" s="5"/>
      <c r="G19" s="60"/>
      <c r="H19" s="60"/>
      <c r="I19" s="5"/>
    </row>
    <row r="20" spans="1:9" ht="9" customHeight="1" x14ac:dyDescent="0.25"/>
    <row r="21" spans="1:9" ht="13.5" customHeight="1" x14ac:dyDescent="0.25">
      <c r="A21" s="7" t="s">
        <v>30</v>
      </c>
      <c r="B21" s="9"/>
      <c r="C21" s="5"/>
      <c r="D21" s="7" t="s">
        <v>31</v>
      </c>
      <c r="E21" s="9" t="s">
        <v>32</v>
      </c>
      <c r="F21" s="5"/>
      <c r="G21" s="5"/>
      <c r="H21" s="5"/>
      <c r="I21" s="5"/>
    </row>
    <row r="22" spans="1:9" ht="8.25" customHeight="1" x14ac:dyDescent="0.25"/>
    <row r="23" spans="1:9" ht="13.5" customHeight="1" x14ac:dyDescent="0.25">
      <c r="A23" s="4" t="s">
        <v>33</v>
      </c>
      <c r="B23" s="61"/>
      <c r="C23" s="61"/>
      <c r="D23" s="61"/>
      <c r="E23" s="61"/>
      <c r="F23" s="61"/>
      <c r="G23" s="61"/>
      <c r="H23" s="61"/>
      <c r="I23" s="61"/>
    </row>
    <row r="24" spans="1:9" ht="13.5" customHeight="1" x14ac:dyDescent="0.25">
      <c r="A24" s="62" t="s">
        <v>34</v>
      </c>
      <c r="B24" s="62"/>
      <c r="C24" s="62"/>
      <c r="D24" s="62"/>
      <c r="E24" s="62"/>
      <c r="F24" s="62"/>
      <c r="G24" s="62"/>
      <c r="H24" s="62"/>
      <c r="I24" s="62"/>
    </row>
    <row r="25" spans="1:9" ht="8.25" customHeight="1" x14ac:dyDescent="0.25">
      <c r="A25" s="63" t="s">
        <v>35</v>
      </c>
      <c r="B25" s="63"/>
      <c r="C25" s="63"/>
      <c r="D25" s="63"/>
      <c r="E25" s="63"/>
      <c r="F25" s="63"/>
      <c r="G25" s="63"/>
      <c r="H25" s="63"/>
      <c r="I25" s="63"/>
    </row>
    <row r="26" spans="1:9" ht="13.5" customHeight="1" x14ac:dyDescent="0.25">
      <c r="A26" s="64"/>
      <c r="B26" s="64"/>
      <c r="C26" s="64"/>
      <c r="D26" s="64"/>
      <c r="E26" s="64"/>
      <c r="F26" s="64"/>
      <c r="G26" s="64"/>
      <c r="H26" s="64"/>
      <c r="I26" s="64"/>
    </row>
    <row r="27" spans="1:9" ht="12.75" customHeight="1" x14ac:dyDescent="0.25">
      <c r="A27" s="64"/>
      <c r="B27" s="64"/>
      <c r="C27" s="64"/>
      <c r="D27" s="64"/>
      <c r="E27" s="64"/>
      <c r="F27" s="64"/>
      <c r="G27" s="64"/>
      <c r="H27" s="64"/>
      <c r="I27" s="64"/>
    </row>
    <row r="28" spans="1:9" ht="12.75" customHeight="1" x14ac:dyDescent="0.25">
      <c r="A28" s="64"/>
      <c r="B28" s="64"/>
      <c r="C28" s="64"/>
      <c r="D28" s="64"/>
      <c r="E28" s="64"/>
      <c r="F28" s="64"/>
      <c r="G28" s="64"/>
      <c r="H28" s="64"/>
      <c r="I28" s="64"/>
    </row>
    <row r="29" spans="1:9" ht="12.75" customHeight="1" x14ac:dyDescent="0.25">
      <c r="A29" s="64"/>
      <c r="B29" s="64"/>
      <c r="C29" s="64"/>
      <c r="D29" s="64"/>
      <c r="E29" s="64"/>
      <c r="F29" s="64"/>
      <c r="G29" s="64"/>
      <c r="H29" s="64"/>
      <c r="I29" s="64"/>
    </row>
    <row r="30" spans="1:9" ht="12.75" customHeight="1" x14ac:dyDescent="0.25">
      <c r="A30" s="64"/>
      <c r="B30" s="64"/>
      <c r="C30" s="64"/>
      <c r="D30" s="64"/>
      <c r="E30" s="64"/>
      <c r="F30" s="64"/>
      <c r="G30" s="64"/>
      <c r="H30" s="64"/>
      <c r="I30" s="64"/>
    </row>
    <row r="31" spans="1:9" ht="12.75" customHeight="1" x14ac:dyDescent="0.25">
      <c r="A31" s="64"/>
      <c r="B31" s="64"/>
      <c r="C31" s="64"/>
      <c r="D31" s="64"/>
      <c r="E31" s="64"/>
      <c r="F31" s="64"/>
      <c r="G31" s="64"/>
      <c r="H31" s="64"/>
      <c r="I31" s="64"/>
    </row>
    <row r="32" spans="1:9" ht="12.75" customHeight="1" x14ac:dyDescent="0.25">
      <c r="A32" s="64"/>
      <c r="B32" s="64"/>
      <c r="C32" s="64"/>
      <c r="D32" s="64"/>
      <c r="E32" s="64"/>
      <c r="F32" s="64"/>
      <c r="G32" s="64"/>
      <c r="H32" s="64"/>
      <c r="I32" s="64"/>
    </row>
    <row r="33" spans="1:9" ht="12.75" customHeight="1" x14ac:dyDescent="0.25">
      <c r="A33" s="64"/>
      <c r="B33" s="64"/>
      <c r="C33" s="64"/>
      <c r="D33" s="64"/>
      <c r="E33" s="64"/>
      <c r="F33" s="64"/>
      <c r="G33" s="64"/>
      <c r="H33" s="64"/>
      <c r="I33" s="64"/>
    </row>
    <row r="34" spans="1:9" ht="12.75" customHeight="1" x14ac:dyDescent="0.25">
      <c r="A34" s="64"/>
      <c r="B34" s="64"/>
      <c r="C34" s="64"/>
      <c r="D34" s="64"/>
      <c r="E34" s="64"/>
      <c r="F34" s="64"/>
      <c r="G34" s="64"/>
      <c r="H34" s="64"/>
      <c r="I34" s="64"/>
    </row>
    <row r="35" spans="1:9" ht="59.25" customHeight="1" x14ac:dyDescent="0.25">
      <c r="A35" s="64"/>
      <c r="B35" s="64"/>
      <c r="C35" s="64"/>
      <c r="D35" s="64"/>
      <c r="E35" s="64"/>
      <c r="F35" s="64"/>
      <c r="G35" s="64"/>
      <c r="H35" s="64"/>
      <c r="I35" s="64"/>
    </row>
    <row r="36" spans="1:9" ht="59.25" customHeight="1" x14ac:dyDescent="0.25">
      <c r="A36" s="64"/>
      <c r="B36" s="64"/>
      <c r="C36" s="64"/>
      <c r="D36" s="64"/>
      <c r="E36" s="64"/>
      <c r="F36" s="64"/>
      <c r="G36" s="64"/>
      <c r="H36" s="64"/>
      <c r="I36" s="64"/>
    </row>
    <row r="37" spans="1:9" ht="18" customHeight="1" x14ac:dyDescent="0.25">
      <c r="A37" s="65"/>
      <c r="B37" s="65"/>
      <c r="C37" s="65"/>
      <c r="D37" s="65"/>
      <c r="E37" s="65"/>
      <c r="F37" s="65"/>
      <c r="G37" s="65"/>
      <c r="H37" s="65"/>
      <c r="I37" s="65"/>
    </row>
    <row r="38" spans="1:9" ht="12.75" customHeight="1" x14ac:dyDescent="0.25">
      <c r="A38" s="66" t="s">
        <v>36</v>
      </c>
      <c r="B38" s="67"/>
      <c r="C38" s="68"/>
      <c r="D38" s="69"/>
      <c r="E38" s="10" t="s">
        <v>37</v>
      </c>
      <c r="F38" s="10" t="s">
        <v>38</v>
      </c>
      <c r="G38" s="10" t="s">
        <v>39</v>
      </c>
      <c r="H38" s="66" t="s">
        <v>40</v>
      </c>
      <c r="I38" s="70"/>
    </row>
    <row r="39" spans="1:9" ht="12.75" customHeight="1" x14ac:dyDescent="0.25">
      <c r="A39" s="55" t="s">
        <v>41</v>
      </c>
      <c r="B39" s="55"/>
      <c r="C39" s="55"/>
      <c r="D39" s="55"/>
      <c r="E39" s="11" t="s">
        <v>42</v>
      </c>
      <c r="F39" s="12">
        <v>1</v>
      </c>
      <c r="G39" s="13">
        <v>3010.11</v>
      </c>
      <c r="H39" s="56">
        <f>+(_UP1*_QTY1)</f>
        <v>3010.11</v>
      </c>
      <c r="I39" s="56"/>
    </row>
    <row r="40" spans="1:9" ht="12.75" customHeight="1" x14ac:dyDescent="0.25">
      <c r="A40" s="71" t="s">
        <v>43</v>
      </c>
      <c r="B40" s="55"/>
      <c r="C40" s="55"/>
      <c r="D40" s="55"/>
      <c r="E40" s="11" t="s">
        <v>42</v>
      </c>
      <c r="F40" s="12">
        <v>11</v>
      </c>
      <c r="G40" s="14">
        <v>116196.65</v>
      </c>
      <c r="H40" s="56">
        <f>+(F40*G40)</f>
        <v>1278163.1499999999</v>
      </c>
      <c r="I40" s="56"/>
    </row>
    <row r="41" spans="1:9" ht="12.75" customHeight="1" x14ac:dyDescent="0.25">
      <c r="A41" s="71" t="s">
        <v>44</v>
      </c>
      <c r="B41" s="55"/>
      <c r="C41" s="55"/>
      <c r="D41" s="55"/>
      <c r="E41" s="11" t="s">
        <v>42</v>
      </c>
      <c r="F41" s="12">
        <v>55</v>
      </c>
      <c r="G41" s="13">
        <v>3500</v>
      </c>
      <c r="H41" s="56">
        <f>+(F41*G41)</f>
        <v>192500</v>
      </c>
      <c r="I41" s="56"/>
    </row>
    <row r="42" spans="1:9" ht="12.75" customHeight="1" x14ac:dyDescent="0.25">
      <c r="A42" s="55" t="s">
        <v>45</v>
      </c>
      <c r="B42" s="55"/>
      <c r="C42" s="55"/>
      <c r="D42" s="55"/>
      <c r="E42" s="11" t="s">
        <v>46</v>
      </c>
      <c r="F42" s="12">
        <v>33550</v>
      </c>
      <c r="G42" s="15">
        <v>14.5</v>
      </c>
      <c r="H42" s="56">
        <f>+(F42*G42)</f>
        <v>486475</v>
      </c>
      <c r="I42" s="56"/>
    </row>
    <row r="43" spans="1:9" ht="12.75" customHeight="1" x14ac:dyDescent="0.25">
      <c r="A43" s="55" t="s">
        <v>47</v>
      </c>
      <c r="B43" s="55"/>
      <c r="C43" s="55"/>
      <c r="D43" s="55"/>
      <c r="E43" s="11" t="s">
        <v>42</v>
      </c>
      <c r="F43" s="12">
        <v>11</v>
      </c>
      <c r="G43" s="15">
        <v>4529.5600000000004</v>
      </c>
      <c r="H43" s="56">
        <f>+(F43*G43)</f>
        <v>49825.16</v>
      </c>
      <c r="I43" s="56"/>
    </row>
    <row r="44" spans="1:9" ht="12.75" customHeight="1" x14ac:dyDescent="0.25">
      <c r="A44" s="55" t="s">
        <v>48</v>
      </c>
      <c r="B44" s="55"/>
      <c r="C44" s="55"/>
      <c r="D44" s="55"/>
      <c r="E44" s="11" t="s">
        <v>49</v>
      </c>
      <c r="F44" s="12">
        <v>159</v>
      </c>
      <c r="G44" s="13">
        <v>585.6</v>
      </c>
      <c r="H44" s="56">
        <f t="shared" ref="H44:H46" si="0">+(F44*G44)</f>
        <v>93110.400000000009</v>
      </c>
      <c r="I44" s="56"/>
    </row>
    <row r="45" spans="1:9" ht="12.75" customHeight="1" x14ac:dyDescent="0.25">
      <c r="A45" s="55" t="s">
        <v>50</v>
      </c>
      <c r="B45" s="55"/>
      <c r="C45" s="55"/>
      <c r="D45" s="55"/>
      <c r="E45" s="11" t="s">
        <v>49</v>
      </c>
      <c r="F45" s="12">
        <v>100</v>
      </c>
      <c r="G45" s="13">
        <v>2500</v>
      </c>
      <c r="H45" s="56">
        <f t="shared" si="0"/>
        <v>250000</v>
      </c>
      <c r="I45" s="56"/>
    </row>
    <row r="46" spans="1:9" ht="10.95" customHeight="1" x14ac:dyDescent="0.25">
      <c r="A46" s="72" t="s">
        <v>51</v>
      </c>
      <c r="B46" s="73"/>
      <c r="C46" s="73"/>
      <c r="D46" s="74"/>
      <c r="E46" s="11" t="s">
        <v>52</v>
      </c>
      <c r="F46" s="12">
        <v>100</v>
      </c>
      <c r="G46" s="13">
        <v>200</v>
      </c>
      <c r="H46" s="75">
        <f t="shared" si="0"/>
        <v>20000</v>
      </c>
      <c r="I46" s="76"/>
    </row>
    <row r="47" spans="1:9" ht="13.5" customHeight="1" x14ac:dyDescent="0.25">
      <c r="A47" s="4" t="s">
        <v>53</v>
      </c>
      <c r="B47" s="77">
        <f>SUM(H39:I46)</f>
        <v>2373083.8199999998</v>
      </c>
      <c r="C47" s="77"/>
      <c r="D47" s="16"/>
      <c r="E47" s="5"/>
      <c r="F47" s="17" t="s">
        <v>54</v>
      </c>
      <c r="G47" s="18">
        <v>422</v>
      </c>
      <c r="H47" s="5"/>
      <c r="I47" s="5"/>
    </row>
    <row r="48" spans="1:9" ht="13.5" customHeight="1" x14ac:dyDescent="0.25">
      <c r="A48" s="5"/>
      <c r="B48" s="5"/>
      <c r="C48" s="5"/>
      <c r="D48" s="5"/>
      <c r="E48" s="5"/>
      <c r="F48" s="17" t="s">
        <v>55</v>
      </c>
      <c r="G48" s="5"/>
      <c r="H48" s="5"/>
      <c r="I48" s="5"/>
    </row>
    <row r="49" spans="1:9" ht="13.5" customHeight="1" x14ac:dyDescent="0.25">
      <c r="A49" s="4" t="s">
        <v>56</v>
      </c>
      <c r="B49" s="5"/>
      <c r="C49" s="5"/>
      <c r="D49" s="5"/>
      <c r="E49" s="5"/>
      <c r="F49" s="5"/>
      <c r="G49" s="5"/>
      <c r="H49" s="5"/>
      <c r="I49" s="5"/>
    </row>
    <row r="50" spans="1:9" ht="13.5" customHeight="1" x14ac:dyDescent="0.25">
      <c r="A50" s="78"/>
      <c r="B50" s="78"/>
      <c r="C50" s="78"/>
      <c r="D50" s="78"/>
      <c r="E50" s="78"/>
      <c r="F50" s="78"/>
      <c r="G50" s="78"/>
      <c r="H50" s="78"/>
      <c r="I50" s="78"/>
    </row>
    <row r="51" spans="1:9" ht="13.5" customHeight="1" x14ac:dyDescent="0.25">
      <c r="A51" s="79"/>
      <c r="B51" s="79"/>
      <c r="C51" s="79"/>
      <c r="D51" s="79"/>
      <c r="E51" s="79"/>
      <c r="F51" s="79"/>
      <c r="G51" s="79"/>
      <c r="H51" s="79"/>
      <c r="I51" s="79"/>
    </row>
    <row r="52" spans="1:9" ht="13.5" customHeight="1" x14ac:dyDescent="0.25">
      <c r="A52" s="62"/>
      <c r="B52" s="62"/>
      <c r="C52" s="62"/>
      <c r="D52" s="62"/>
      <c r="E52" s="62"/>
      <c r="F52" s="62"/>
      <c r="G52" s="62"/>
      <c r="H52" s="62"/>
      <c r="I52" s="62"/>
    </row>
    <row r="53" spans="1:9" ht="13.5" customHeight="1" x14ac:dyDescent="0.25">
      <c r="A53" s="62"/>
      <c r="B53" s="62"/>
      <c r="C53" s="62"/>
      <c r="D53" s="62"/>
      <c r="E53" s="62"/>
      <c r="F53" s="62"/>
      <c r="G53" s="62"/>
      <c r="H53" s="62"/>
      <c r="I53" s="62"/>
    </row>
    <row r="54" spans="1:9" ht="13.5" customHeight="1" x14ac:dyDescent="0.25">
      <c r="A54" s="62"/>
      <c r="B54" s="62"/>
      <c r="C54" s="62"/>
      <c r="D54" s="62"/>
      <c r="E54" s="62"/>
      <c r="F54" s="62"/>
      <c r="G54" s="62"/>
      <c r="H54" s="62"/>
      <c r="I54" s="62"/>
    </row>
    <row r="55" spans="1:9" ht="8.25" customHeight="1" x14ac:dyDescent="0.25">
      <c r="F55" s="80" t="s">
        <v>57</v>
      </c>
    </row>
    <row r="56" spans="1:9" ht="8.25" customHeight="1" x14ac:dyDescent="0.25">
      <c r="F56" s="81"/>
    </row>
    <row r="57" spans="1:9" ht="13.5" customHeight="1" x14ac:dyDescent="0.25">
      <c r="A57" s="4" t="s">
        <v>23</v>
      </c>
      <c r="B57" s="46" t="str">
        <f>B15</f>
        <v>Ing. Luis R. Pastor Reyes</v>
      </c>
      <c r="C57" s="46"/>
      <c r="D57" s="46"/>
      <c r="E57" s="46"/>
      <c r="F57" s="81"/>
      <c r="G57" s="46" t="str">
        <f>B14</f>
        <v>Ing. Carlos Céspedes Gómez</v>
      </c>
      <c r="H57" s="46"/>
      <c r="I57" s="46"/>
    </row>
    <row r="58" spans="1:9" ht="13.5" customHeight="1" x14ac:dyDescent="0.25"/>
    <row r="59" spans="1:9" ht="13.5" customHeight="1" x14ac:dyDescent="0.25">
      <c r="A59" s="4" t="s">
        <v>58</v>
      </c>
      <c r="B59" s="46" t="str">
        <f>B13</f>
        <v>Ing. Eduardo F. Ruiz Vélez</v>
      </c>
      <c r="C59" s="46"/>
      <c r="D59" s="46"/>
      <c r="E59" s="46"/>
      <c r="F59" s="5"/>
      <c r="G59" s="5"/>
      <c r="H59" s="5"/>
      <c r="I59" s="5"/>
    </row>
    <row r="60" spans="1:9" ht="8.25" customHeight="1" x14ac:dyDescent="0.25"/>
    <row r="61" spans="1:9" ht="13.5" customHeight="1" x14ac:dyDescent="0.25">
      <c r="A61" s="4" t="s">
        <v>56</v>
      </c>
      <c r="B61" s="5"/>
      <c r="C61" s="5"/>
      <c r="D61" s="5"/>
      <c r="E61" s="5"/>
      <c r="F61" s="5"/>
      <c r="G61" s="5"/>
      <c r="H61" s="5"/>
      <c r="I61" s="5"/>
    </row>
    <row r="62" spans="1:9" ht="13.5" customHeight="1" x14ac:dyDescent="0.25">
      <c r="A62" s="78"/>
      <c r="B62" s="78"/>
      <c r="C62" s="78"/>
      <c r="D62" s="78"/>
      <c r="E62" s="78"/>
      <c r="F62" s="78"/>
      <c r="G62" s="78"/>
      <c r="H62" s="78"/>
      <c r="I62" s="78"/>
    </row>
    <row r="63" spans="1:9" ht="13.5" customHeight="1" x14ac:dyDescent="0.25">
      <c r="A63" s="62"/>
      <c r="B63" s="62"/>
      <c r="C63" s="62"/>
      <c r="D63" s="62"/>
      <c r="E63" s="62"/>
      <c r="F63" s="62"/>
      <c r="G63" s="62"/>
      <c r="H63" s="62"/>
      <c r="I63" s="62"/>
    </row>
    <row r="64" spans="1:9" ht="13.5" customHeight="1" x14ac:dyDescent="0.25">
      <c r="A64" s="62"/>
      <c r="B64" s="62"/>
      <c r="C64" s="62"/>
      <c r="D64" s="62"/>
      <c r="E64" s="62"/>
      <c r="F64" s="62"/>
      <c r="G64" s="62"/>
      <c r="H64" s="62"/>
      <c r="I64" s="62"/>
    </row>
    <row r="65" spans="1:9" ht="8.25" customHeight="1" x14ac:dyDescent="0.25"/>
    <row r="66" spans="1:9" ht="13.5" customHeight="1" x14ac:dyDescent="0.25">
      <c r="A66" s="4" t="s">
        <v>59</v>
      </c>
      <c r="B66" s="19"/>
      <c r="C66" s="5"/>
      <c r="D66" s="20"/>
      <c r="E66" s="5"/>
      <c r="F66" s="82"/>
      <c r="G66" s="82"/>
      <c r="H66" s="82"/>
      <c r="I66" s="5"/>
    </row>
    <row r="67" spans="1:9" ht="13.5" customHeight="1" x14ac:dyDescent="0.25">
      <c r="A67" s="5"/>
      <c r="B67" s="21" t="s">
        <v>60</v>
      </c>
      <c r="C67" s="5"/>
      <c r="D67" s="21" t="s">
        <v>12</v>
      </c>
      <c r="E67" s="5"/>
      <c r="F67" s="83" t="s">
        <v>61</v>
      </c>
      <c r="G67" s="83"/>
      <c r="H67" s="83"/>
      <c r="I67" s="5"/>
    </row>
    <row r="68" spans="1:9" ht="8.25" customHeight="1" x14ac:dyDescent="0.25"/>
    <row r="69" spans="1:9" ht="13.5" customHeight="1" x14ac:dyDescent="0.25">
      <c r="A69" s="4" t="s">
        <v>62</v>
      </c>
      <c r="B69" s="5"/>
      <c r="C69" s="5"/>
      <c r="D69" s="5"/>
      <c r="E69" s="5"/>
      <c r="F69" s="5"/>
      <c r="G69" s="5"/>
      <c r="H69" s="5"/>
      <c r="I69" s="5"/>
    </row>
    <row r="70" spans="1:9" ht="13.5" customHeight="1" x14ac:dyDescent="0.25">
      <c r="A70" s="78"/>
      <c r="B70" s="78"/>
      <c r="C70" s="78"/>
      <c r="D70" s="78"/>
      <c r="E70" s="78"/>
      <c r="F70" s="78"/>
      <c r="G70" s="78"/>
      <c r="H70" s="78"/>
      <c r="I70" s="78"/>
    </row>
    <row r="71" spans="1:9" ht="13.5" customHeight="1" x14ac:dyDescent="0.25">
      <c r="A71" s="62"/>
      <c r="B71" s="62"/>
      <c r="C71" s="62"/>
      <c r="D71" s="62"/>
      <c r="E71" s="62"/>
      <c r="F71" s="62"/>
      <c r="G71" s="62"/>
      <c r="H71" s="62"/>
      <c r="I71" s="62"/>
    </row>
    <row r="72" spans="1:9" ht="13.5" customHeight="1" x14ac:dyDescent="0.25">
      <c r="A72" s="4" t="s">
        <v>63</v>
      </c>
      <c r="B72" s="5"/>
      <c r="C72" s="5"/>
      <c r="D72" s="5"/>
      <c r="E72" s="5"/>
      <c r="F72" s="5" t="s">
        <v>64</v>
      </c>
      <c r="G72" s="5"/>
      <c r="H72" s="5"/>
      <c r="I72" s="5"/>
    </row>
    <row r="73" spans="1:9" ht="13.5" customHeight="1" x14ac:dyDescent="0.25">
      <c r="A73" s="4"/>
      <c r="B73" s="5"/>
      <c r="C73" s="5"/>
      <c r="D73" s="5"/>
      <c r="E73" s="5"/>
      <c r="F73" s="5"/>
      <c r="G73" s="5"/>
      <c r="H73" s="5"/>
      <c r="I73" s="5"/>
    </row>
    <row r="74" spans="1:9" ht="13.5" customHeight="1" x14ac:dyDescent="0.25">
      <c r="A74" s="84"/>
      <c r="B74" s="84"/>
      <c r="C74" s="84"/>
      <c r="D74" s="84"/>
      <c r="E74" s="5"/>
      <c r="F74" s="22"/>
      <c r="G74" s="23"/>
      <c r="H74" s="23"/>
      <c r="I74" s="24"/>
    </row>
    <row r="75" spans="1:9" ht="13.5" customHeight="1" x14ac:dyDescent="0.25">
      <c r="A75" s="5" t="s">
        <v>65</v>
      </c>
      <c r="B75" s="5"/>
      <c r="C75" s="5"/>
      <c r="D75" s="5"/>
      <c r="E75" s="5"/>
      <c r="F75" s="5" t="s">
        <v>66</v>
      </c>
      <c r="G75" s="5"/>
      <c r="H75" s="5"/>
      <c r="I75" s="5"/>
    </row>
    <row r="76" spans="1:9" ht="13.5" customHeight="1" x14ac:dyDescent="0.25">
      <c r="F76" s="25" t="s">
        <v>67</v>
      </c>
    </row>
    <row r="77" spans="1:9" ht="13.5" customHeight="1" x14ac:dyDescent="0.25">
      <c r="A77" s="78"/>
      <c r="B77" s="78"/>
      <c r="C77" s="78"/>
      <c r="D77" s="78"/>
      <c r="E77" s="5"/>
      <c r="F77" s="7"/>
      <c r="G77" s="26"/>
      <c r="H77" s="26"/>
      <c r="I77" s="5"/>
    </row>
    <row r="78" spans="1:9" ht="13.5" customHeight="1" x14ac:dyDescent="0.25">
      <c r="A78" s="5" t="s">
        <v>68</v>
      </c>
      <c r="B78" s="5"/>
      <c r="C78" s="5"/>
      <c r="D78" s="5"/>
      <c r="E78" s="5"/>
      <c r="F78" s="7"/>
      <c r="G78" s="5"/>
      <c r="H78" s="5"/>
      <c r="I78" s="5"/>
    </row>
    <row r="79" spans="1:9" ht="13.5" customHeight="1" x14ac:dyDescent="0.25">
      <c r="A79" s="5"/>
      <c r="B79" s="5"/>
      <c r="C79" s="5"/>
      <c r="D79" s="5"/>
      <c r="E79" s="5"/>
      <c r="F79" s="7"/>
      <c r="G79" s="5"/>
      <c r="H79" s="5"/>
      <c r="I79" s="5"/>
    </row>
    <row r="80" spans="1:9" ht="13.5" customHeight="1" x14ac:dyDescent="0.25">
      <c r="A80" s="78"/>
      <c r="B80" s="78"/>
      <c r="C80" s="78"/>
      <c r="D80" s="78"/>
      <c r="E80" s="5"/>
      <c r="F80" s="7"/>
      <c r="G80" s="26"/>
      <c r="H80" s="26"/>
      <c r="I80" s="5"/>
    </row>
    <row r="81" spans="1:9" ht="13.5" customHeight="1" x14ac:dyDescent="0.25">
      <c r="A81" s="5" t="s">
        <v>69</v>
      </c>
      <c r="B81" s="5"/>
      <c r="C81" s="5"/>
      <c r="D81" s="5"/>
      <c r="E81" s="5"/>
      <c r="F81" s="7"/>
      <c r="G81" s="5"/>
      <c r="H81" s="5"/>
      <c r="I81" s="5"/>
    </row>
    <row r="82" spans="1:9" ht="13.5" customHeight="1" x14ac:dyDescent="0.25">
      <c r="A82" s="5"/>
      <c r="B82" s="5"/>
      <c r="C82" s="5"/>
      <c r="D82" s="5"/>
      <c r="E82" s="5"/>
      <c r="F82" s="7"/>
      <c r="G82" s="5"/>
      <c r="H82" s="5"/>
      <c r="I82" s="5"/>
    </row>
    <row r="83" spans="1:9" ht="13.5" customHeight="1" x14ac:dyDescent="0.25">
      <c r="A83" s="78"/>
      <c r="B83" s="78"/>
      <c r="C83" s="78"/>
      <c r="D83" s="78"/>
      <c r="E83" s="5"/>
      <c r="F83" s="7"/>
      <c r="G83" s="26"/>
      <c r="H83" s="26"/>
      <c r="I83" s="5"/>
    </row>
    <row r="84" spans="1:9" ht="13.5" customHeight="1" x14ac:dyDescent="0.25">
      <c r="A84" s="5" t="s">
        <v>70</v>
      </c>
      <c r="B84" s="5"/>
      <c r="C84" s="5"/>
      <c r="D84" s="5"/>
      <c r="E84" s="5"/>
      <c r="F84" s="5"/>
      <c r="G84" s="5"/>
      <c r="H84" s="5"/>
      <c r="I84" s="5"/>
    </row>
    <row r="85" spans="1:9" ht="13.5" customHeight="1" x14ac:dyDescent="0.3">
      <c r="A85"/>
      <c r="B85"/>
      <c r="C85"/>
      <c r="D85"/>
      <c r="E85"/>
      <c r="F85"/>
      <c r="G85"/>
      <c r="H85"/>
      <c r="I85"/>
    </row>
    <row r="86" spans="1:9" ht="13.5" customHeight="1" x14ac:dyDescent="0.3">
      <c r="A86" s="78"/>
      <c r="B86" s="78"/>
      <c r="C86" s="78"/>
      <c r="D86" s="78"/>
      <c r="E86"/>
      <c r="F86"/>
      <c r="G86"/>
      <c r="H86"/>
      <c r="I86"/>
    </row>
    <row r="87" spans="1:9" ht="13.5" customHeight="1" x14ac:dyDescent="0.3">
      <c r="A87" s="5" t="s">
        <v>71</v>
      </c>
      <c r="B87" s="5"/>
      <c r="C87" s="5"/>
      <c r="D87" s="5"/>
      <c r="E87"/>
      <c r="F87"/>
      <c r="G87"/>
      <c r="H87"/>
      <c r="I87"/>
    </row>
    <row r="88" spans="1:9" ht="12.75" customHeight="1" x14ac:dyDescent="0.25">
      <c r="A88" s="2"/>
      <c r="B88" s="2"/>
      <c r="C88" s="2"/>
      <c r="D88" s="2"/>
      <c r="E88" s="2"/>
      <c r="F88" s="2"/>
      <c r="G88" s="2"/>
      <c r="H88" s="2"/>
      <c r="I88" s="2"/>
    </row>
    <row r="89" spans="1:9" ht="12.75" customHeight="1" x14ac:dyDescent="0.25"/>
    <row r="90" spans="1:9" ht="12.75" customHeight="1" x14ac:dyDescent="0.25"/>
    <row r="91" spans="1:9" ht="9" customHeight="1" x14ac:dyDescent="0.25"/>
    <row r="92" spans="1:9" ht="13.5" customHeight="1" x14ac:dyDescent="0.25"/>
    <row r="93" spans="1:9" ht="9" customHeight="1" x14ac:dyDescent="0.25"/>
    <row r="94" spans="1:9" ht="13.5" customHeight="1" x14ac:dyDescent="0.25"/>
    <row r="95" spans="1:9" ht="9" customHeight="1" x14ac:dyDescent="0.25"/>
    <row r="96" spans="1:9" ht="13.5" customHeight="1" x14ac:dyDescent="0.25"/>
    <row r="97" ht="13.5" customHeight="1" x14ac:dyDescent="0.25"/>
    <row r="98" ht="13.5" customHeight="1" x14ac:dyDescent="0.25"/>
    <row r="99" ht="8.25" customHeight="1" x14ac:dyDescent="0.25"/>
    <row r="100" ht="13.5" customHeight="1" x14ac:dyDescent="0.25"/>
    <row r="101" ht="13.5" customHeight="1" x14ac:dyDescent="0.25"/>
    <row r="102" ht="13.5" customHeight="1" x14ac:dyDescent="0.25"/>
    <row r="103" ht="9" customHeight="1" x14ac:dyDescent="0.25"/>
    <row r="104" ht="13.5" customHeight="1" x14ac:dyDescent="0.25"/>
    <row r="105" ht="13.5" customHeight="1" x14ac:dyDescent="0.25"/>
    <row r="106" ht="13.5" customHeight="1" x14ac:dyDescent="0.25"/>
    <row r="107" ht="9" customHeight="1" x14ac:dyDescent="0.25"/>
    <row r="108" ht="13.5" customHeight="1" x14ac:dyDescent="0.25"/>
    <row r="109" ht="8.25" customHeight="1" x14ac:dyDescent="0.25"/>
    <row r="110" ht="13.5" customHeight="1" x14ac:dyDescent="0.25"/>
    <row r="111" ht="13.5" customHeight="1" x14ac:dyDescent="0.25"/>
    <row r="112" ht="13.5" customHeight="1" x14ac:dyDescent="0.25"/>
    <row r="113" ht="8.25" customHeight="1" x14ac:dyDescent="0.25"/>
    <row r="114" ht="13.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8.25" customHeight="1" x14ac:dyDescent="0.25"/>
    <row r="123" ht="18" customHeight="1" x14ac:dyDescent="0.25"/>
    <row r="124" ht="12.75" customHeight="1" x14ac:dyDescent="0.25"/>
    <row r="125" ht="12.75" customHeight="1" x14ac:dyDescent="0.25"/>
    <row r="126" ht="12.75" customHeight="1" x14ac:dyDescent="0.25"/>
    <row r="127" ht="12.75" customHeight="1" x14ac:dyDescent="0.25"/>
    <row r="128" ht="13.95" customHeight="1" x14ac:dyDescent="0.25"/>
    <row r="129" ht="12.75" customHeight="1" x14ac:dyDescent="0.25"/>
    <row r="130" ht="12.75" customHeight="1" x14ac:dyDescent="0.25"/>
    <row r="131" ht="12.75" customHeight="1" x14ac:dyDescent="0.25"/>
    <row r="132" ht="12.75" customHeight="1" x14ac:dyDescent="0.25"/>
    <row r="133" ht="11.7"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7.7" customHeight="1" x14ac:dyDescent="0.25"/>
    <row r="142" ht="8.25" customHeight="1" x14ac:dyDescent="0.25"/>
    <row r="143" ht="19.2" customHeight="1" x14ac:dyDescent="0.25"/>
    <row r="144" ht="13.5" customHeight="1" x14ac:dyDescent="0.25"/>
    <row r="145" ht="13.5" customHeight="1" x14ac:dyDescent="0.25"/>
    <row r="146" ht="13.5" customHeight="1" x14ac:dyDescent="0.25"/>
    <row r="147" ht="8.25" customHeight="1" x14ac:dyDescent="0.25"/>
    <row r="148" ht="13.5" customHeight="1" x14ac:dyDescent="0.25"/>
    <row r="149" ht="13.5" customHeight="1" x14ac:dyDescent="0.25"/>
    <row r="150" ht="13.5" customHeight="1" x14ac:dyDescent="0.25"/>
    <row r="151" ht="15" customHeight="1" x14ac:dyDescent="0.25"/>
    <row r="152" ht="10.199999999999999" customHeight="1" x14ac:dyDescent="0.25"/>
    <row r="153" ht="13.5" customHeight="1" x14ac:dyDescent="0.25"/>
    <row r="154" ht="13.5" customHeight="1" x14ac:dyDescent="0.25"/>
    <row r="155" ht="8.25" customHeight="1" x14ac:dyDescent="0.25"/>
    <row r="156" ht="13.5" customHeight="1" x14ac:dyDescent="0.25"/>
    <row r="157" ht="13.5" customHeight="1" x14ac:dyDescent="0.25"/>
    <row r="158" ht="13.5" customHeight="1" x14ac:dyDescent="0.25"/>
    <row r="159" ht="8.25" customHeight="1" x14ac:dyDescent="0.25"/>
    <row r="160" ht="13.5" customHeight="1" x14ac:dyDescent="0.25"/>
    <row r="161" spans="1:9" ht="13.5" customHeight="1" x14ac:dyDescent="0.25"/>
    <row r="162" spans="1:9" ht="13.5" customHeight="1" x14ac:dyDescent="0.25"/>
    <row r="163" spans="1:9" ht="13.5" customHeight="1" x14ac:dyDescent="0.25"/>
    <row r="164" spans="1:9" ht="13.5" customHeight="1" x14ac:dyDescent="0.25"/>
    <row r="165" spans="1:9" ht="13.5" customHeight="1" x14ac:dyDescent="0.25"/>
    <row r="166" spans="1:9" ht="13.5" customHeight="1" x14ac:dyDescent="0.25"/>
    <row r="167" spans="1:9" ht="13.5" customHeight="1" x14ac:dyDescent="0.25"/>
    <row r="168" spans="1:9" ht="13.5" customHeight="1" x14ac:dyDescent="0.25"/>
    <row r="169" spans="1:9" ht="13.5" customHeight="1" x14ac:dyDescent="0.25"/>
    <row r="170" spans="1:9" ht="13.5" customHeight="1" x14ac:dyDescent="0.25"/>
    <row r="171" spans="1:9" ht="13.5" customHeight="1" x14ac:dyDescent="0.25"/>
    <row r="172" spans="1:9" ht="13.5" customHeight="1" x14ac:dyDescent="0.25"/>
    <row r="173" spans="1:9" ht="13.5" customHeight="1" x14ac:dyDescent="0.25"/>
    <row r="174" spans="1:9" ht="13.5" customHeight="1" x14ac:dyDescent="0.3">
      <c r="A174" s="27"/>
      <c r="B174" s="27"/>
      <c r="C174" s="27"/>
      <c r="D174" s="27"/>
      <c r="E174"/>
      <c r="F174"/>
      <c r="G174"/>
      <c r="H174"/>
      <c r="I174"/>
    </row>
    <row r="175" spans="1:9" ht="13.5" customHeight="1" x14ac:dyDescent="0.3">
      <c r="A175" s="5"/>
      <c r="B175" s="5"/>
      <c r="C175" s="5"/>
      <c r="D175" s="5"/>
      <c r="E175"/>
      <c r="F175"/>
      <c r="G175"/>
      <c r="H175"/>
      <c r="I175"/>
    </row>
    <row r="176" spans="1:9" ht="12.75" customHeight="1" x14ac:dyDescent="0.25">
      <c r="A176" s="2"/>
      <c r="B176" s="2"/>
      <c r="C176" s="2"/>
      <c r="D176" s="2"/>
      <c r="E176" s="2"/>
      <c r="F176" s="2"/>
      <c r="G176" s="2"/>
      <c r="H176" s="2"/>
      <c r="I176" s="2"/>
    </row>
    <row r="177" spans="1:11" ht="12.75" customHeight="1" x14ac:dyDescent="0.3">
      <c r="A177" s="2"/>
      <c r="B177" s="2"/>
      <c r="C177" s="2"/>
      <c r="D177" s="2"/>
      <c r="E177" s="2"/>
      <c r="F177" s="2"/>
      <c r="G177" s="2"/>
      <c r="H177" s="2"/>
      <c r="I177" s="2"/>
      <c r="K177" s="28"/>
    </row>
    <row r="178" spans="1:11" ht="12.75" customHeight="1" x14ac:dyDescent="0.25">
      <c r="A178" s="2"/>
      <c r="B178" s="2"/>
      <c r="C178" s="2"/>
      <c r="D178" s="2"/>
      <c r="E178" s="2"/>
      <c r="F178" s="2"/>
      <c r="G178" s="2"/>
      <c r="H178" s="2"/>
      <c r="I178" s="2"/>
    </row>
    <row r="179" spans="1:11" ht="9" customHeight="1" x14ac:dyDescent="0.25"/>
    <row r="180" spans="1:11" ht="13.5" customHeight="1" x14ac:dyDescent="0.25">
      <c r="A180" s="29"/>
      <c r="B180" s="29"/>
      <c r="C180" s="29"/>
      <c r="D180" s="29"/>
      <c r="E180" s="29"/>
      <c r="F180" s="29"/>
      <c r="G180" s="29"/>
      <c r="H180" s="29"/>
      <c r="I180" s="29"/>
    </row>
    <row r="181" spans="1:11" ht="9" customHeight="1" x14ac:dyDescent="0.25"/>
    <row r="182" spans="1:11" ht="13.5" customHeight="1" x14ac:dyDescent="0.3">
      <c r="A182" s="4"/>
      <c r="B182" s="5"/>
      <c r="C182" s="5"/>
      <c r="D182" s="5"/>
      <c r="E182" s="5"/>
      <c r="F182" s="5"/>
      <c r="G182" s="5"/>
      <c r="H182" s="6"/>
      <c r="I182" s="6"/>
    </row>
    <row r="183" spans="1:11" ht="9" customHeight="1" x14ac:dyDescent="0.25"/>
    <row r="184" spans="1:11" ht="13.5" customHeight="1" x14ac:dyDescent="0.25">
      <c r="A184" s="5"/>
      <c r="B184" s="30"/>
      <c r="C184" s="30"/>
      <c r="D184" s="30"/>
      <c r="E184" s="30"/>
      <c r="F184" s="30"/>
      <c r="G184" s="30"/>
      <c r="H184" s="30"/>
      <c r="I184" s="30"/>
    </row>
    <row r="185" spans="1:11" ht="13.5" customHeight="1" x14ac:dyDescent="0.25">
      <c r="A185" s="5"/>
      <c r="B185" s="30"/>
      <c r="C185" s="30"/>
      <c r="D185" s="30"/>
      <c r="E185" s="5"/>
      <c r="F185" s="5"/>
      <c r="G185" s="5"/>
      <c r="H185" s="5"/>
      <c r="I185" s="5"/>
    </row>
    <row r="186" spans="1:11" ht="13.5" customHeight="1" x14ac:dyDescent="0.25">
      <c r="A186" s="5"/>
      <c r="B186" s="5"/>
      <c r="C186" s="7"/>
      <c r="D186" s="31"/>
      <c r="E186" s="7"/>
      <c r="F186" s="31"/>
      <c r="G186" s="7"/>
      <c r="H186" s="31"/>
      <c r="I186" s="31"/>
    </row>
    <row r="187" spans="1:11" ht="8.25" customHeight="1" x14ac:dyDescent="0.25"/>
    <row r="188" spans="1:11" ht="13.5" customHeight="1" x14ac:dyDescent="0.25">
      <c r="A188" s="5"/>
      <c r="B188" s="30"/>
      <c r="C188" s="30"/>
      <c r="D188" s="30"/>
      <c r="E188" s="5"/>
      <c r="F188" s="7"/>
      <c r="G188" s="30"/>
      <c r="H188" s="30"/>
      <c r="I188" s="30"/>
    </row>
    <row r="189" spans="1:11" ht="13.5" customHeight="1" x14ac:dyDescent="0.25">
      <c r="A189" s="5"/>
      <c r="B189" s="32"/>
      <c r="C189" s="30"/>
      <c r="D189" s="30"/>
      <c r="E189" s="5"/>
      <c r="F189" s="7"/>
      <c r="G189" s="32"/>
      <c r="H189" s="30"/>
      <c r="I189" s="30"/>
    </row>
    <row r="190" spans="1:11" ht="13.5" customHeight="1" x14ac:dyDescent="0.25">
      <c r="A190" s="5"/>
      <c r="B190" s="32"/>
      <c r="C190" s="30"/>
      <c r="D190" s="30"/>
      <c r="E190" s="5"/>
      <c r="F190" s="5"/>
      <c r="G190" s="5"/>
      <c r="H190" s="5"/>
      <c r="I190" s="5"/>
    </row>
    <row r="191" spans="1:11" ht="9" customHeight="1" x14ac:dyDescent="0.25"/>
    <row r="192" spans="1:11" ht="13.5" customHeight="1" x14ac:dyDescent="0.25">
      <c r="A192" s="5"/>
      <c r="B192" s="33"/>
      <c r="C192" s="33"/>
      <c r="D192" s="33"/>
      <c r="E192" s="5"/>
      <c r="F192" s="7"/>
      <c r="G192" s="34"/>
      <c r="H192" s="34"/>
      <c r="I192" s="5"/>
    </row>
    <row r="193" spans="1:9" ht="13.5" customHeight="1" x14ac:dyDescent="0.25">
      <c r="A193" s="5"/>
      <c r="B193" s="33"/>
      <c r="C193" s="33"/>
      <c r="D193" s="33"/>
      <c r="E193" s="5"/>
      <c r="F193" s="7"/>
      <c r="G193" s="35"/>
      <c r="H193" s="34"/>
      <c r="I193" s="5"/>
    </row>
    <row r="194" spans="1:9" ht="13.5" customHeight="1" x14ac:dyDescent="0.25">
      <c r="A194" s="5"/>
      <c r="B194" s="33"/>
      <c r="C194" s="33"/>
      <c r="D194" s="33"/>
      <c r="E194" s="5"/>
      <c r="F194" s="5"/>
      <c r="G194" s="5"/>
      <c r="H194" s="5"/>
      <c r="I194" s="5"/>
    </row>
    <row r="195" spans="1:9" ht="9" customHeight="1" x14ac:dyDescent="0.25"/>
    <row r="196" spans="1:9" ht="13.5" customHeight="1" x14ac:dyDescent="0.25">
      <c r="A196" s="7"/>
      <c r="B196" s="31"/>
      <c r="C196" s="5"/>
      <c r="D196" s="7"/>
      <c r="E196" s="31"/>
      <c r="F196" s="5"/>
      <c r="G196" s="5"/>
      <c r="H196" s="5"/>
      <c r="I196" s="5"/>
    </row>
    <row r="197" spans="1:9" ht="8.25" customHeight="1" x14ac:dyDescent="0.25"/>
    <row r="198" spans="1:9" ht="13.5" customHeight="1" x14ac:dyDescent="0.25">
      <c r="A198" s="4"/>
      <c r="B198" s="5"/>
      <c r="C198" s="5"/>
      <c r="D198" s="5"/>
      <c r="E198" s="5"/>
      <c r="F198" s="5"/>
      <c r="G198" s="5"/>
      <c r="H198" s="5"/>
      <c r="I198" s="5"/>
    </row>
    <row r="199" spans="1:9" ht="13.5" customHeight="1" x14ac:dyDescent="0.25">
      <c r="A199" s="27"/>
      <c r="B199" s="27"/>
      <c r="C199" s="27"/>
      <c r="D199" s="27"/>
      <c r="E199" s="27"/>
      <c r="F199" s="27"/>
      <c r="G199" s="27"/>
      <c r="H199" s="27"/>
      <c r="I199" s="27"/>
    </row>
    <row r="200" spans="1:9" ht="13.5" customHeight="1" x14ac:dyDescent="0.25">
      <c r="A200" s="27"/>
      <c r="B200" s="27"/>
      <c r="C200" s="27"/>
      <c r="D200" s="27"/>
      <c r="E200" s="27"/>
      <c r="F200" s="27"/>
      <c r="G200" s="27"/>
      <c r="H200" s="27"/>
      <c r="I200" s="27"/>
    </row>
    <row r="201" spans="1:9" ht="8.25" customHeight="1" x14ac:dyDescent="0.25"/>
    <row r="202" spans="1:9" ht="13.5" customHeight="1" x14ac:dyDescent="0.25">
      <c r="A202" s="4"/>
      <c r="B202" s="5"/>
      <c r="C202" s="5"/>
      <c r="D202" s="5"/>
      <c r="E202" s="5"/>
      <c r="F202" s="5"/>
      <c r="G202" s="5"/>
      <c r="H202" s="5"/>
      <c r="I202" s="5"/>
    </row>
    <row r="203" spans="1:9" ht="12.75" customHeight="1" x14ac:dyDescent="0.25">
      <c r="A203" s="36"/>
      <c r="B203" s="36"/>
      <c r="C203" s="36"/>
      <c r="D203" s="36"/>
      <c r="E203" s="36"/>
      <c r="F203" s="36"/>
      <c r="G203" s="36"/>
      <c r="H203" s="36"/>
      <c r="I203" s="36"/>
    </row>
    <row r="204" spans="1:9" ht="12.75" customHeight="1" x14ac:dyDescent="0.25">
      <c r="A204" s="36"/>
      <c r="B204" s="36"/>
      <c r="C204" s="36"/>
      <c r="D204" s="36"/>
      <c r="E204" s="36"/>
      <c r="F204" s="36"/>
      <c r="G204" s="36"/>
      <c r="H204" s="36"/>
      <c r="I204" s="36"/>
    </row>
    <row r="205" spans="1:9" ht="12.75" customHeight="1" x14ac:dyDescent="0.25">
      <c r="A205" s="37"/>
      <c r="B205" s="37"/>
      <c r="C205" s="37"/>
      <c r="D205" s="37"/>
      <c r="E205" s="37"/>
      <c r="F205" s="37"/>
      <c r="G205" s="37"/>
      <c r="H205" s="37"/>
      <c r="I205" s="37"/>
    </row>
    <row r="206" spans="1:9" ht="12.75" customHeight="1" x14ac:dyDescent="0.25">
      <c r="A206" s="27"/>
      <c r="B206" s="27"/>
      <c r="C206" s="27"/>
      <c r="D206" s="27"/>
      <c r="E206" s="27"/>
      <c r="F206" s="27"/>
      <c r="G206" s="27"/>
      <c r="H206" s="27"/>
      <c r="I206" s="27"/>
    </row>
    <row r="207" spans="1:9" ht="12.75" customHeight="1" x14ac:dyDescent="0.25">
      <c r="A207" s="27"/>
      <c r="B207" s="27"/>
      <c r="C207" s="27"/>
      <c r="D207" s="27"/>
      <c r="E207" s="27"/>
      <c r="F207" s="27"/>
      <c r="G207" s="27"/>
      <c r="H207" s="27"/>
      <c r="I207" s="27"/>
    </row>
    <row r="208" spans="1:9" ht="12.75" customHeight="1" x14ac:dyDescent="0.25">
      <c r="A208" s="27"/>
      <c r="B208" s="27"/>
      <c r="C208" s="27"/>
      <c r="D208" s="27"/>
      <c r="E208" s="27"/>
      <c r="F208" s="27"/>
      <c r="G208" s="27"/>
      <c r="H208" s="27"/>
      <c r="I208" s="27"/>
    </row>
    <row r="209" spans="1:9" ht="12.75" customHeight="1" x14ac:dyDescent="0.25">
      <c r="A209" s="27"/>
      <c r="B209" s="27"/>
      <c r="C209" s="27"/>
      <c r="D209" s="27"/>
      <c r="E209" s="27"/>
      <c r="F209" s="27"/>
      <c r="G209" s="27"/>
      <c r="H209" s="27"/>
      <c r="I209" s="27"/>
    </row>
    <row r="210" spans="1:9" ht="8.25" customHeight="1" x14ac:dyDescent="0.25"/>
    <row r="211" spans="1:9" ht="8.25" customHeight="1" x14ac:dyDescent="0.25"/>
    <row r="212" spans="1:9" ht="12.75" customHeight="1" x14ac:dyDescent="0.25">
      <c r="A212" s="29"/>
      <c r="B212" s="29"/>
      <c r="C212" s="21"/>
      <c r="D212" s="21"/>
      <c r="E212" s="29"/>
      <c r="F212" s="29"/>
      <c r="G212" s="29"/>
      <c r="H212" s="29"/>
      <c r="I212" s="5"/>
    </row>
    <row r="213" spans="1:9" ht="12.75" customHeight="1" x14ac:dyDescent="0.25">
      <c r="A213" s="38"/>
      <c r="B213" s="38"/>
      <c r="C213" s="38"/>
      <c r="D213" s="38"/>
      <c r="E213" s="26"/>
      <c r="F213" s="39"/>
      <c r="G213" s="40"/>
      <c r="H213" s="41"/>
      <c r="I213" s="41"/>
    </row>
    <row r="214" spans="1:9" ht="12.75" customHeight="1" x14ac:dyDescent="0.25">
      <c r="A214" s="38"/>
      <c r="B214" s="38"/>
      <c r="C214" s="38"/>
      <c r="D214" s="38"/>
      <c r="E214" s="26"/>
      <c r="F214" s="39"/>
      <c r="G214" s="40"/>
      <c r="H214" s="41"/>
      <c r="I214" s="41"/>
    </row>
    <row r="215" spans="1:9" ht="12.75" customHeight="1" x14ac:dyDescent="0.25">
      <c r="A215" s="38"/>
      <c r="B215" s="38"/>
      <c r="C215" s="38"/>
      <c r="D215" s="38"/>
      <c r="E215" s="26"/>
      <c r="F215" s="39"/>
      <c r="G215" s="40"/>
      <c r="H215" s="41"/>
      <c r="I215" s="41"/>
    </row>
    <row r="216" spans="1:9" ht="12.75" customHeight="1" x14ac:dyDescent="0.25">
      <c r="A216" s="38"/>
      <c r="B216" s="38"/>
      <c r="C216" s="38"/>
      <c r="D216" s="38"/>
      <c r="E216" s="26"/>
      <c r="F216" s="39"/>
      <c r="G216" s="40"/>
      <c r="H216" s="41"/>
      <c r="I216" s="41"/>
    </row>
    <row r="217" spans="1:9" ht="12.75" customHeight="1" x14ac:dyDescent="0.25">
      <c r="A217" s="38"/>
      <c r="B217" s="38"/>
      <c r="C217" s="38"/>
      <c r="D217" s="38"/>
      <c r="E217" s="26"/>
      <c r="F217" s="39"/>
      <c r="G217" s="40"/>
      <c r="H217" s="41"/>
      <c r="I217" s="41"/>
    </row>
    <row r="218" spans="1:9" ht="12.75" customHeight="1" x14ac:dyDescent="0.25">
      <c r="A218" s="38"/>
      <c r="B218" s="38"/>
      <c r="C218" s="38"/>
      <c r="D218" s="38"/>
      <c r="E218" s="26"/>
      <c r="F218" s="39"/>
      <c r="G218" s="40"/>
      <c r="H218" s="41"/>
      <c r="I218" s="41"/>
    </row>
    <row r="219" spans="1:9" ht="12.75" customHeight="1" x14ac:dyDescent="0.25">
      <c r="A219" s="38"/>
      <c r="B219" s="38"/>
      <c r="C219" s="38"/>
      <c r="D219" s="38"/>
      <c r="E219" s="26"/>
      <c r="F219" s="39"/>
      <c r="G219" s="40"/>
      <c r="H219" s="41"/>
      <c r="I219" s="41"/>
    </row>
    <row r="220" spans="1:9" ht="12.75" customHeight="1" x14ac:dyDescent="0.25">
      <c r="A220" s="38"/>
      <c r="B220" s="38"/>
      <c r="C220" s="38"/>
      <c r="D220" s="38"/>
      <c r="E220" s="26"/>
      <c r="F220" s="39"/>
      <c r="G220" s="40"/>
      <c r="H220" s="41"/>
      <c r="I220" s="41"/>
    </row>
    <row r="221" spans="1:9" ht="8.25" customHeight="1" x14ac:dyDescent="0.25"/>
    <row r="222" spans="1:9" ht="13.5" customHeight="1" x14ac:dyDescent="0.25">
      <c r="A222" s="5"/>
      <c r="B222" s="42"/>
      <c r="C222" s="42"/>
      <c r="D222" s="16"/>
      <c r="E222" s="5"/>
      <c r="F222" s="17"/>
      <c r="G222" s="43"/>
      <c r="H222" s="5"/>
      <c r="I222" s="5"/>
    </row>
    <row r="223" spans="1:9" ht="13.5" customHeight="1" x14ac:dyDescent="0.25">
      <c r="A223" s="5"/>
      <c r="B223" s="5"/>
      <c r="C223" s="5"/>
      <c r="D223" s="5"/>
      <c r="E223" s="5"/>
      <c r="F223" s="17"/>
      <c r="G223" s="5"/>
      <c r="H223" s="5"/>
      <c r="I223" s="5"/>
    </row>
    <row r="224" spans="1:9" ht="13.5" customHeight="1" x14ac:dyDescent="0.25">
      <c r="A224" s="4"/>
      <c r="B224" s="5"/>
      <c r="C224" s="5"/>
      <c r="D224" s="5"/>
      <c r="E224" s="5"/>
      <c r="F224" s="5"/>
      <c r="G224" s="5"/>
      <c r="H224" s="5"/>
      <c r="I224" s="5"/>
    </row>
    <row r="225" spans="1:9" ht="13.5" customHeight="1" x14ac:dyDescent="0.25">
      <c r="A225" s="27"/>
      <c r="B225" s="27"/>
      <c r="C225" s="27"/>
      <c r="D225" s="27"/>
      <c r="E225" s="27"/>
      <c r="F225" s="27"/>
      <c r="G225" s="27"/>
      <c r="H225" s="27"/>
      <c r="I225" s="27"/>
    </row>
    <row r="226" spans="1:9" ht="13.5" customHeight="1" x14ac:dyDescent="0.25">
      <c r="A226" s="37"/>
      <c r="B226" s="37"/>
      <c r="C226" s="37"/>
      <c r="D226" s="37"/>
      <c r="E226" s="37"/>
      <c r="F226" s="37"/>
      <c r="G226" s="37"/>
      <c r="H226" s="37"/>
      <c r="I226" s="37"/>
    </row>
    <row r="227" spans="1:9" ht="13.5" customHeight="1" x14ac:dyDescent="0.25">
      <c r="A227" s="27"/>
      <c r="B227" s="27"/>
      <c r="C227" s="27"/>
      <c r="D227" s="27"/>
      <c r="E227" s="27"/>
      <c r="F227" s="27"/>
      <c r="G227" s="27"/>
      <c r="H227" s="27"/>
      <c r="I227" s="27"/>
    </row>
    <row r="228" spans="1:9" ht="13.5" customHeight="1" x14ac:dyDescent="0.25">
      <c r="A228" s="27"/>
      <c r="B228" s="27"/>
      <c r="C228" s="27"/>
      <c r="D228" s="27"/>
      <c r="E228" s="27"/>
      <c r="F228" s="27"/>
      <c r="G228" s="27"/>
      <c r="H228" s="27"/>
      <c r="I228" s="27"/>
    </row>
    <row r="229" spans="1:9" ht="13.5" customHeight="1" x14ac:dyDescent="0.25">
      <c r="A229" s="27"/>
      <c r="B229" s="27"/>
      <c r="C229" s="27"/>
      <c r="D229" s="27"/>
      <c r="E229" s="27"/>
      <c r="F229" s="27"/>
      <c r="G229" s="27"/>
      <c r="H229" s="27"/>
      <c r="I229" s="27"/>
    </row>
    <row r="230" spans="1:9" ht="8.25" customHeight="1" x14ac:dyDescent="0.25">
      <c r="F230" s="44"/>
    </row>
    <row r="231" spans="1:9" ht="8.25" customHeight="1" x14ac:dyDescent="0.25">
      <c r="F231" s="44"/>
    </row>
    <row r="232" spans="1:9" ht="13.5" customHeight="1" x14ac:dyDescent="0.25">
      <c r="A232" s="4"/>
      <c r="B232" s="32"/>
      <c r="C232" s="30"/>
      <c r="D232" s="30"/>
      <c r="E232" s="30"/>
      <c r="F232" s="44"/>
      <c r="G232" s="32"/>
      <c r="H232" s="30"/>
      <c r="I232" s="30"/>
    </row>
    <row r="233" spans="1:9" ht="13.5" customHeight="1" x14ac:dyDescent="0.25"/>
    <row r="234" spans="1:9" ht="13.5" customHeight="1" x14ac:dyDescent="0.25">
      <c r="A234" s="4"/>
      <c r="B234" s="30"/>
      <c r="C234" s="30"/>
      <c r="D234" s="30"/>
      <c r="E234" s="30"/>
      <c r="F234" s="5"/>
      <c r="G234" s="5"/>
      <c r="H234" s="5"/>
      <c r="I234" s="5"/>
    </row>
    <row r="235" spans="1:9" ht="8.25" customHeight="1" x14ac:dyDescent="0.25"/>
    <row r="236" spans="1:9" ht="13.5" customHeight="1" x14ac:dyDescent="0.25">
      <c r="A236" s="4"/>
      <c r="B236" s="5"/>
      <c r="C236" s="5"/>
      <c r="D236" s="5"/>
      <c r="E236" s="5"/>
      <c r="F236" s="5"/>
      <c r="G236" s="5"/>
      <c r="H236" s="5"/>
      <c r="I236" s="5"/>
    </row>
    <row r="237" spans="1:9" ht="13.5" customHeight="1" x14ac:dyDescent="0.25">
      <c r="A237" s="27"/>
      <c r="B237" s="27"/>
      <c r="C237" s="27"/>
      <c r="D237" s="27"/>
      <c r="E237" s="27"/>
      <c r="F237" s="27"/>
      <c r="G237" s="27"/>
      <c r="H237" s="27"/>
      <c r="I237" s="27"/>
    </row>
    <row r="238" spans="1:9" ht="13.5" customHeight="1" x14ac:dyDescent="0.25">
      <c r="A238" s="27"/>
      <c r="B238" s="27"/>
      <c r="C238" s="27"/>
      <c r="D238" s="27"/>
      <c r="E238" s="27"/>
      <c r="F238" s="27"/>
      <c r="G238" s="27"/>
      <c r="H238" s="27"/>
      <c r="I238" s="27"/>
    </row>
    <row r="239" spans="1:9" ht="13.5" customHeight="1" x14ac:dyDescent="0.25">
      <c r="A239" s="27"/>
      <c r="B239" s="27"/>
      <c r="C239" s="27"/>
      <c r="D239" s="27"/>
      <c r="E239" s="27"/>
      <c r="F239" s="27"/>
      <c r="G239" s="27"/>
      <c r="H239" s="27"/>
      <c r="I239" s="27"/>
    </row>
    <row r="240" spans="1:9" ht="8.25" customHeight="1" x14ac:dyDescent="0.25"/>
    <row r="241" spans="1:9" ht="13.5" customHeight="1" x14ac:dyDescent="0.25">
      <c r="A241" s="4"/>
      <c r="B241" s="45"/>
      <c r="C241" s="5"/>
      <c r="D241" s="26"/>
      <c r="E241" s="5"/>
      <c r="F241" s="26"/>
      <c r="G241" s="26"/>
      <c r="H241" s="26"/>
      <c r="I241" s="5"/>
    </row>
    <row r="242" spans="1:9" ht="13.5" customHeight="1" x14ac:dyDescent="0.25">
      <c r="A242" s="5"/>
      <c r="B242" s="21"/>
      <c r="C242" s="5"/>
      <c r="D242" s="21"/>
      <c r="E242" s="5"/>
      <c r="F242" s="21"/>
      <c r="G242" s="21"/>
      <c r="H242" s="21"/>
      <c r="I242" s="5"/>
    </row>
    <row r="243" spans="1:9" ht="8.25" customHeight="1" x14ac:dyDescent="0.25"/>
    <row r="244" spans="1:9" ht="13.5" customHeight="1" x14ac:dyDescent="0.25">
      <c r="A244" s="4"/>
      <c r="B244" s="5"/>
      <c r="C244" s="5"/>
      <c r="D244" s="5"/>
      <c r="E244" s="5"/>
      <c r="F244" s="5"/>
      <c r="G244" s="5"/>
      <c r="H244" s="5"/>
      <c r="I244" s="5"/>
    </row>
    <row r="245" spans="1:9" ht="13.5" customHeight="1" x14ac:dyDescent="0.25">
      <c r="A245" s="27"/>
      <c r="B245" s="27"/>
      <c r="C245" s="27"/>
      <c r="D245" s="27"/>
      <c r="E245" s="27"/>
      <c r="F245" s="27"/>
      <c r="G245" s="27"/>
      <c r="H245" s="27"/>
      <c r="I245" s="27"/>
    </row>
    <row r="246" spans="1:9" ht="13.5" customHeight="1" x14ac:dyDescent="0.25">
      <c r="A246" s="27"/>
      <c r="B246" s="27"/>
      <c r="C246" s="27"/>
      <c r="D246" s="27"/>
      <c r="E246" s="27"/>
      <c r="F246" s="27"/>
      <c r="G246" s="27"/>
      <c r="H246" s="27"/>
      <c r="I246" s="27"/>
    </row>
    <row r="247" spans="1:9" ht="8.25" customHeight="1" x14ac:dyDescent="0.25"/>
    <row r="248" spans="1:9" ht="13.5" customHeight="1" x14ac:dyDescent="0.25">
      <c r="A248" s="4"/>
      <c r="B248" s="5"/>
      <c r="C248" s="5"/>
      <c r="D248" s="5"/>
      <c r="E248" s="5"/>
      <c r="F248" s="5"/>
      <c r="G248" s="5"/>
      <c r="H248" s="5"/>
      <c r="I248" s="5"/>
    </row>
    <row r="249" spans="1:9" ht="13.5" customHeight="1" x14ac:dyDescent="0.25">
      <c r="A249" s="4"/>
      <c r="B249" s="5"/>
      <c r="C249" s="5"/>
      <c r="D249" s="5"/>
      <c r="E249" s="5"/>
      <c r="F249" s="5"/>
      <c r="G249" s="5"/>
      <c r="H249" s="5"/>
      <c r="I249" s="5"/>
    </row>
    <row r="250" spans="1:9" ht="13.5" customHeight="1" x14ac:dyDescent="0.25">
      <c r="A250" s="44"/>
      <c r="B250" s="44"/>
      <c r="C250" s="44"/>
      <c r="D250" s="44"/>
      <c r="E250" s="5"/>
      <c r="F250" s="7"/>
      <c r="G250" s="21"/>
      <c r="H250" s="21"/>
      <c r="I250" s="5"/>
    </row>
    <row r="251" spans="1:9" ht="13.5" customHeight="1" x14ac:dyDescent="0.25">
      <c r="A251" s="5"/>
      <c r="B251" s="5"/>
      <c r="C251" s="5"/>
      <c r="D251" s="5"/>
      <c r="E251" s="5"/>
      <c r="F251" s="5"/>
      <c r="G251" s="5"/>
      <c r="H251" s="5"/>
      <c r="I251" s="5"/>
    </row>
    <row r="252" spans="1:9" ht="13.5" customHeight="1" x14ac:dyDescent="0.25">
      <c r="F252" s="25"/>
    </row>
    <row r="253" spans="1:9" ht="13.5" customHeight="1" x14ac:dyDescent="0.25">
      <c r="A253" s="27"/>
      <c r="B253" s="27"/>
      <c r="C253" s="27"/>
      <c r="D253" s="27"/>
      <c r="E253" s="5"/>
      <c r="F253" s="7"/>
      <c r="G253" s="26"/>
      <c r="H253" s="26"/>
      <c r="I253" s="5"/>
    </row>
    <row r="254" spans="1:9" ht="13.5" customHeight="1" x14ac:dyDescent="0.25">
      <c r="A254" s="5"/>
      <c r="B254" s="5"/>
      <c r="C254" s="5"/>
      <c r="D254" s="5"/>
      <c r="E254" s="5"/>
      <c r="F254" s="7"/>
      <c r="G254" s="5"/>
      <c r="H254" s="5"/>
      <c r="I254" s="5"/>
    </row>
    <row r="255" spans="1:9" ht="13.5" customHeight="1" x14ac:dyDescent="0.25">
      <c r="A255" s="5"/>
      <c r="B255" s="5"/>
      <c r="C255" s="5"/>
      <c r="D255" s="5"/>
      <c r="E255" s="5"/>
      <c r="F255" s="7"/>
      <c r="G255" s="5"/>
      <c r="H255" s="5"/>
      <c r="I255" s="5"/>
    </row>
    <row r="256" spans="1:9" ht="13.5" customHeight="1" x14ac:dyDescent="0.25">
      <c r="A256" s="27"/>
      <c r="B256" s="27"/>
      <c r="C256" s="27"/>
      <c r="D256" s="27"/>
      <c r="E256" s="5"/>
      <c r="F256" s="7"/>
      <c r="G256" s="26"/>
      <c r="H256" s="26"/>
      <c r="I256" s="5"/>
    </row>
    <row r="257" spans="1:9" ht="13.5" customHeight="1" x14ac:dyDescent="0.25">
      <c r="A257" s="5"/>
      <c r="B257" s="5"/>
      <c r="C257" s="5"/>
      <c r="D257" s="5"/>
      <c r="E257" s="5"/>
      <c r="F257" s="7"/>
      <c r="G257" s="5"/>
      <c r="H257" s="5"/>
      <c r="I257" s="5"/>
    </row>
    <row r="258" spans="1:9" ht="13.5" customHeight="1" x14ac:dyDescent="0.25">
      <c r="A258" s="5"/>
      <c r="B258" s="5"/>
      <c r="C258" s="5"/>
      <c r="D258" s="5"/>
      <c r="E258" s="5"/>
      <c r="F258" s="7"/>
      <c r="G258" s="5"/>
      <c r="H258" s="5"/>
      <c r="I258" s="5"/>
    </row>
    <row r="259" spans="1:9" ht="13.5" customHeight="1" x14ac:dyDescent="0.25">
      <c r="A259" s="27"/>
      <c r="B259" s="27"/>
      <c r="C259" s="27"/>
      <c r="D259" s="27"/>
      <c r="E259" s="5"/>
      <c r="F259" s="7"/>
      <c r="G259" s="26"/>
      <c r="H259" s="26"/>
      <c r="I259" s="5"/>
    </row>
    <row r="260" spans="1:9" ht="13.5" customHeight="1" x14ac:dyDescent="0.25">
      <c r="A260" s="5"/>
      <c r="B260" s="5"/>
      <c r="C260" s="5"/>
      <c r="D260" s="5"/>
      <c r="E260" s="5"/>
      <c r="F260" s="5"/>
      <c r="G260" s="5"/>
      <c r="H260" s="5"/>
      <c r="I260" s="5"/>
    </row>
    <row r="261" spans="1:9" ht="13.5" customHeight="1" x14ac:dyDescent="0.3">
      <c r="A261"/>
      <c r="B261"/>
      <c r="C261"/>
      <c r="D261"/>
      <c r="E261"/>
      <c r="F261"/>
      <c r="G261"/>
      <c r="H261"/>
      <c r="I261"/>
    </row>
    <row r="262" spans="1:9" ht="13.5" customHeight="1" x14ac:dyDescent="0.3">
      <c r="A262" s="27"/>
      <c r="B262" s="27"/>
      <c r="C262" s="27"/>
      <c r="D262" s="27"/>
      <c r="E262"/>
      <c r="F262"/>
      <c r="G262"/>
      <c r="H262"/>
      <c r="I262"/>
    </row>
    <row r="263" spans="1:9" ht="13.5" customHeight="1" x14ac:dyDescent="0.3">
      <c r="A263" s="5"/>
      <c r="B263" s="5"/>
      <c r="C263" s="5"/>
      <c r="D263" s="5"/>
      <c r="E263"/>
      <c r="F263"/>
      <c r="G263"/>
      <c r="H263"/>
      <c r="I263"/>
    </row>
  </sheetData>
  <mergeCells count="61">
    <mergeCell ref="A86:D86"/>
    <mergeCell ref="A62:I62"/>
    <mergeCell ref="A63:I63"/>
    <mergeCell ref="A64:I64"/>
    <mergeCell ref="F66:H66"/>
    <mergeCell ref="F67:H67"/>
    <mergeCell ref="A70:I70"/>
    <mergeCell ref="A71:I71"/>
    <mergeCell ref="A74:D74"/>
    <mergeCell ref="A77:D77"/>
    <mergeCell ref="A80:D80"/>
    <mergeCell ref="A83:D83"/>
    <mergeCell ref="B59:E59"/>
    <mergeCell ref="A46:D46"/>
    <mergeCell ref="H46:I46"/>
    <mergeCell ref="B47:C47"/>
    <mergeCell ref="A50:I50"/>
    <mergeCell ref="A51:I51"/>
    <mergeCell ref="A52:I52"/>
    <mergeCell ref="A53:I53"/>
    <mergeCell ref="A54:I54"/>
    <mergeCell ref="F55:F57"/>
    <mergeCell ref="B57:E57"/>
    <mergeCell ref="G57:I57"/>
    <mergeCell ref="A43:D43"/>
    <mergeCell ref="H43:I43"/>
    <mergeCell ref="A44:D44"/>
    <mergeCell ref="H44:I44"/>
    <mergeCell ref="A45:D45"/>
    <mergeCell ref="H45:I45"/>
    <mergeCell ref="A40:D40"/>
    <mergeCell ref="H40:I40"/>
    <mergeCell ref="A41:D41"/>
    <mergeCell ref="H41:I41"/>
    <mergeCell ref="A42:D42"/>
    <mergeCell ref="H42:I42"/>
    <mergeCell ref="A39:D39"/>
    <mergeCell ref="H39:I39"/>
    <mergeCell ref="B17:D17"/>
    <mergeCell ref="G17:H17"/>
    <mergeCell ref="B18:D18"/>
    <mergeCell ref="G18:H18"/>
    <mergeCell ref="B19:D19"/>
    <mergeCell ref="G19:H19"/>
    <mergeCell ref="B23:I23"/>
    <mergeCell ref="A24:I24"/>
    <mergeCell ref="A25:I37"/>
    <mergeCell ref="A38:D38"/>
    <mergeCell ref="H38:I38"/>
    <mergeCell ref="H11:I11"/>
    <mergeCell ref="B13:D13"/>
    <mergeCell ref="G13:I13"/>
    <mergeCell ref="B14:D14"/>
    <mergeCell ref="G14:I15"/>
    <mergeCell ref="B15:D15"/>
    <mergeCell ref="B10:D10"/>
    <mergeCell ref="A1:I1"/>
    <mergeCell ref="A2:I2"/>
    <mergeCell ref="A3:I3"/>
    <mergeCell ref="H7:I7"/>
    <mergeCell ref="B9:I9"/>
  </mergeCells>
  <printOptions horizontalCentered="1" verticalCentered="1"/>
  <pageMargins left="0" right="0" top="0" bottom="0" header="0" footer="0.3"/>
  <pageSetup paperSize="5" scale="77" fitToWidth="0" orientation="portrait" r:id="rId1"/>
  <rowBreaks count="1" manualBreakCount="1">
    <brk id="8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ACT-32 (pag1)</vt:lpstr>
      <vt:lpstr>DOCTOTAL1</vt:lpstr>
      <vt:lpstr>NEWTOTAL1</vt:lpstr>
      <vt:lpstr>ORIGCOST</vt:lpstr>
      <vt:lpstr>'ACT-32 (pag1)'!Print_Area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Saavedra</dc:creator>
  <cp:lastModifiedBy>Enrique Saavedra</cp:lastModifiedBy>
  <dcterms:created xsi:type="dcterms:W3CDTF">2025-03-13T18:15:48Z</dcterms:created>
  <dcterms:modified xsi:type="dcterms:W3CDTF">2026-05-03T20:42:26Z</dcterms:modified>
</cp:coreProperties>
</file>