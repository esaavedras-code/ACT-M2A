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Proyectos ACT\PAL_PC Files\"/>
    </mc:Choice>
  </mc:AlternateContent>
  <xr:revisionPtr revIDLastSave="0" documentId="13_ncr:1_{B1F40ED9-DEDB-40F5-A27B-4C6179732057}" xr6:coauthVersionLast="47" xr6:coauthVersionMax="47" xr10:uidLastSave="{00000000-0000-0000-0000-000000000000}"/>
  <bookViews>
    <workbookView xWindow="-110" yWindow="-110" windowWidth="20740" windowHeight="13180" xr2:uid="{00000000-000D-0000-FFFF-FFFF00000000}"/>
  </bookViews>
  <sheets>
    <sheet name="Información Force Account" sheetId="1" r:id="rId1"/>
    <sheet name="Empleados Contratista" sheetId="129" r:id="rId2"/>
    <sheet name="Equipo Contratista" sheetId="130" r:id="rId3"/>
    <sheet name="Resumen FA (Anual)" sheetId="132" r:id="rId4"/>
    <sheet name="Resumen FA (Mensual)" sheetId="2" r:id="rId5"/>
    <sheet name="Inf. Diario" sheetId="4" r:id="rId6"/>
    <sheet name="Equipo FA" sheetId="3" r:id="rId7"/>
    <sheet name="DBPCFA" sheetId="131" state="veryHidden" r:id="rId8"/>
  </sheets>
  <definedNames>
    <definedName name="_xlnm._FilterDatabase" localSheetId="1" hidden="1">'Empleados Contratista'!$A$1:$E$1</definedName>
    <definedName name="DB_EQ">DBPCFA!$L:$S</definedName>
    <definedName name="DB_MS">DBPCFA!$V:$AD</definedName>
    <definedName name="DB_PC">DBPCFA!$A:$I</definedName>
    <definedName name="DBSize_CO">DBPCFA!$AJ$1</definedName>
    <definedName name="DBSize_EQ">DBPCFA!$T$1</definedName>
    <definedName name="DBSize_MS">DBPCFA!$AE$1</definedName>
    <definedName name="DBSize_MY">DBPCFA!$AN$1</definedName>
    <definedName name="DBSize_PC">DBPCFA!$J$1</definedName>
    <definedName name="Desc_EQ">DBPCFA!$Q:$Q</definedName>
    <definedName name="Desc_Equipos">'Inf. Diario'!$AC$3:$AC$152</definedName>
    <definedName name="Desc_MS">DBPCFA!$Z:$Z</definedName>
    <definedName name="Descripción">OFFSET(Desc_Equipos,0,0,'Inf. Diario'!$AC$1,1)</definedName>
    <definedName name="Dia_ID">OFFSET('Inf. Diario'!$T$2:$T$34,0,0,'Inf. Diario'!$U$2,1)</definedName>
    <definedName name="EQ_Cont">'Equipo Contratista'!$A:$K</definedName>
    <definedName name="EQ_HAct">DBPCFA!$R:$R</definedName>
    <definedName name="EQ_HInac">DBPCFA!$S:$S</definedName>
    <definedName name="Equipos">'Equipo Contratista'!$A$2:$K$151</definedName>
    <definedName name="Fecha_Inf_EQ">DBPCFA!$O:$O</definedName>
    <definedName name="Fecha_Inf_MS">DBPCFA!$X:$X</definedName>
    <definedName name="Fecha_Inf_PC">DBPCFA!$C:$C</definedName>
    <definedName name="Loc_EQ">DBPCFA!$L:$L</definedName>
    <definedName name="Loc_MS">DBPCFA!$V:$V</definedName>
    <definedName name="Loc_PC">DBPCFA!$A:$A</definedName>
    <definedName name="Mes_FA_EQ">DBPCFA!$P:$P</definedName>
    <definedName name="Mes_FA_MS">DBPCFA!$Y:$Y</definedName>
    <definedName name="Mes_FA_PC">DBPCFA!$D:$D</definedName>
    <definedName name="MY_FA">DBPCFA!$AL:$AL</definedName>
    <definedName name="Nombre_Apellidos">'Empleados Contratista'!$A$2:$A$51</definedName>
    <definedName name="Nombre_y_Apellidos">'Inf. Diario'!$AB$3:$AB$52</definedName>
    <definedName name="Nombres">OFFSET(Nombre_y_Apellidos,0,0,'Inf. Diario'!$AB$1,1)</definedName>
    <definedName name="Pag_CO">DBPCFA!$AG:$AG</definedName>
    <definedName name="Pag_EQ">DBPCFA!$N:$N</definedName>
    <definedName name="Pag_Loc_EQ">DBPCFA!$M:$M</definedName>
    <definedName name="Pag_MS">DBPCFA!$W:$W</definedName>
    <definedName name="Pag_PC">DBPCFA!$B:$B</definedName>
    <definedName name="_xlnm.Print_Area" localSheetId="6">'Equipo FA'!$B$1:$AK$48,'Equipo FA'!$B$51:$AK$98,'Equipo FA'!$B$101:$AK$148</definedName>
    <definedName name="_xlnm.Print_Area" localSheetId="5">'Inf. Diario'!$B$2:$L$87,'Inf. Diario'!$B$91:$L$172</definedName>
    <definedName name="_xlnm.Print_Area" localSheetId="3">'Resumen FA (Anual)'!$B$1:$AL$60</definedName>
    <definedName name="_xlnm.Print_Area" localSheetId="4">'Resumen FA (Mensual)'!$A$1:$R$53,'Resumen FA (Mensual)'!$A$63:$R$124</definedName>
    <definedName name="Total_MS">DBPCFA!$AD:$AD</definedName>
    <definedName name="Total_PC">DBPCFA!$H:$H</definedName>
    <definedName name="Union_PC">DBPCFA!$I:$I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30" i="132" l="1"/>
  <c r="R18" i="132"/>
  <c r="Y18" i="132"/>
  <c r="AF18" i="132"/>
  <c r="R19" i="132"/>
  <c r="Y19" i="132"/>
  <c r="AF19" i="132"/>
  <c r="R20" i="132"/>
  <c r="Y20" i="132"/>
  <c r="AF20" i="132"/>
  <c r="R21" i="132"/>
  <c r="Y21" i="132"/>
  <c r="AF21" i="132"/>
  <c r="R22" i="132"/>
  <c r="Y22" i="132"/>
  <c r="AF22" i="132"/>
  <c r="R23" i="132"/>
  <c r="Y23" i="132"/>
  <c r="AF23" i="132"/>
  <c r="R24" i="132"/>
  <c r="Y24" i="132"/>
  <c r="AF24" i="132"/>
  <c r="R25" i="132"/>
  <c r="Y25" i="132"/>
  <c r="AF25" i="132"/>
  <c r="R26" i="132"/>
  <c r="Y26" i="132"/>
  <c r="AF26" i="132"/>
  <c r="R27" i="132"/>
  <c r="Y27" i="132"/>
  <c r="AF27" i="132"/>
  <c r="R28" i="132"/>
  <c r="Y28" i="132"/>
  <c r="AF28" i="132"/>
  <c r="R17" i="132"/>
  <c r="Y17" i="132"/>
  <c r="AF17" i="132"/>
  <c r="K18" i="132"/>
  <c r="K19" i="132"/>
  <c r="K20" i="132"/>
  <c r="K21" i="132"/>
  <c r="K22" i="132"/>
  <c r="K23" i="132"/>
  <c r="K24" i="132"/>
  <c r="K25" i="132"/>
  <c r="K26" i="132"/>
  <c r="K27" i="132"/>
  <c r="K28" i="132"/>
  <c r="K17" i="132"/>
  <c r="C130" i="3"/>
  <c r="C128" i="3"/>
  <c r="C126" i="3"/>
  <c r="C124" i="3"/>
  <c r="C122" i="3"/>
  <c r="C120" i="3"/>
  <c r="C118" i="3"/>
  <c r="C116" i="3"/>
  <c r="C114" i="3"/>
  <c r="C112" i="3"/>
  <c r="C80" i="3"/>
  <c r="C78" i="3"/>
  <c r="C76" i="3"/>
  <c r="C74" i="3"/>
  <c r="C72" i="3"/>
  <c r="C70" i="3"/>
  <c r="C68" i="3"/>
  <c r="C66" i="3"/>
  <c r="C64" i="3"/>
  <c r="C62" i="3"/>
  <c r="C30" i="3"/>
  <c r="C28" i="3"/>
  <c r="C26" i="3"/>
  <c r="C24" i="3"/>
  <c r="C22" i="3"/>
  <c r="C20" i="3"/>
  <c r="C18" i="3"/>
  <c r="C16" i="3"/>
  <c r="C14" i="3"/>
  <c r="C12" i="3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C66" i="4"/>
  <c r="AC65" i="4"/>
  <c r="AC64" i="4"/>
  <c r="AC63" i="4"/>
  <c r="AC62" i="4"/>
  <c r="AC61" i="4"/>
  <c r="AC60" i="4"/>
  <c r="AC59" i="4"/>
  <c r="AC58" i="4"/>
  <c r="AC57" i="4"/>
  <c r="AC56" i="4"/>
  <c r="AC55" i="4"/>
  <c r="AC54" i="4"/>
  <c r="AC53" i="4"/>
  <c r="AC52" i="4"/>
  <c r="AC51" i="4"/>
  <c r="AC50" i="4"/>
  <c r="AC49" i="4"/>
  <c r="AC48" i="4"/>
  <c r="AC47" i="4"/>
  <c r="AC46" i="4"/>
  <c r="AC45" i="4"/>
  <c r="AC44" i="4"/>
  <c r="AC43" i="4"/>
  <c r="AC42" i="4"/>
  <c r="AC41" i="4"/>
  <c r="AC40" i="4"/>
  <c r="AC39" i="4"/>
  <c r="AC38" i="4"/>
  <c r="AC37" i="4"/>
  <c r="AC36" i="4"/>
  <c r="AC35" i="4"/>
  <c r="AC34" i="4"/>
  <c r="AC33" i="4"/>
  <c r="AC32" i="4"/>
  <c r="AC31" i="4"/>
  <c r="AC30" i="4"/>
  <c r="AC29" i="4"/>
  <c r="AC28" i="4"/>
  <c r="AC27" i="4"/>
  <c r="AC26" i="4"/>
  <c r="AC25" i="4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AC4" i="4"/>
  <c r="AC3" i="4"/>
  <c r="A2" i="130"/>
  <c r="A3" i="130"/>
  <c r="A4" i="130"/>
  <c r="A5" i="130"/>
  <c r="A6" i="130"/>
  <c r="A7" i="130"/>
  <c r="A8" i="130"/>
  <c r="A9" i="130"/>
  <c r="A10" i="130"/>
  <c r="A11" i="130"/>
  <c r="A12" i="130"/>
  <c r="A13" i="130"/>
  <c r="A14" i="130"/>
  <c r="A15" i="130"/>
  <c r="A16" i="130"/>
  <c r="A17" i="130"/>
  <c r="A18" i="130"/>
  <c r="A19" i="130"/>
  <c r="A20" i="130"/>
  <c r="A21" i="130"/>
  <c r="A22" i="130"/>
  <c r="A23" i="130"/>
  <c r="A24" i="130"/>
  <c r="A25" i="130"/>
  <c r="A26" i="130"/>
  <c r="A27" i="130"/>
  <c r="A28" i="130"/>
  <c r="A29" i="130"/>
  <c r="A30" i="130"/>
  <c r="A31" i="130"/>
  <c r="A32" i="130"/>
  <c r="A33" i="130"/>
  <c r="A34" i="130"/>
  <c r="A35" i="130"/>
  <c r="A36" i="130"/>
  <c r="A37" i="130"/>
  <c r="A38" i="130"/>
  <c r="A39" i="130"/>
  <c r="A40" i="130"/>
  <c r="A41" i="130"/>
  <c r="A42" i="130"/>
  <c r="A43" i="130"/>
  <c r="A44" i="130"/>
  <c r="A45" i="130"/>
  <c r="A46" i="130"/>
  <c r="A47" i="130"/>
  <c r="A48" i="130"/>
  <c r="A49" i="130"/>
  <c r="A50" i="130"/>
  <c r="A51" i="130"/>
  <c r="A52" i="130"/>
  <c r="A53" i="130"/>
  <c r="A54" i="130"/>
  <c r="A55" i="130"/>
  <c r="A56" i="130"/>
  <c r="A57" i="130"/>
  <c r="A58" i="130"/>
  <c r="A59" i="130"/>
  <c r="A60" i="130"/>
  <c r="A61" i="130"/>
  <c r="A62" i="130"/>
  <c r="A63" i="130"/>
  <c r="A64" i="130"/>
  <c r="A65" i="130"/>
  <c r="A66" i="130"/>
  <c r="A67" i="130"/>
  <c r="A68" i="130"/>
  <c r="A69" i="130"/>
  <c r="A70" i="130"/>
  <c r="A71" i="130"/>
  <c r="A72" i="130"/>
  <c r="A73" i="130"/>
  <c r="A74" i="130"/>
  <c r="A75" i="130"/>
  <c r="A76" i="130"/>
  <c r="A77" i="130"/>
  <c r="A78" i="130"/>
  <c r="A79" i="130"/>
  <c r="A80" i="130"/>
  <c r="A81" i="130"/>
  <c r="A82" i="130"/>
  <c r="A83" i="130"/>
  <c r="A84" i="130"/>
  <c r="A85" i="130"/>
  <c r="A86" i="130"/>
  <c r="A87" i="130"/>
  <c r="A88" i="130"/>
  <c r="A89" i="130"/>
  <c r="A90" i="130"/>
  <c r="A91" i="130"/>
  <c r="A92" i="130"/>
  <c r="A93" i="130"/>
  <c r="A94" i="130"/>
  <c r="A95" i="130"/>
  <c r="A96" i="130"/>
  <c r="A97" i="130"/>
  <c r="A98" i="130"/>
  <c r="A99" i="130"/>
  <c r="A100" i="130"/>
  <c r="A101" i="130"/>
  <c r="A102" i="130"/>
  <c r="A103" i="130"/>
  <c r="A104" i="130"/>
  <c r="A105" i="130"/>
  <c r="A106" i="130"/>
  <c r="A107" i="130"/>
  <c r="A108" i="130"/>
  <c r="A109" i="130"/>
  <c r="A110" i="130"/>
  <c r="A111" i="130"/>
  <c r="A112" i="130"/>
  <c r="A113" i="130"/>
  <c r="A114" i="130"/>
  <c r="A115" i="130"/>
  <c r="A116" i="130"/>
  <c r="A117" i="130"/>
  <c r="A118" i="130"/>
  <c r="A119" i="130"/>
  <c r="A120" i="130"/>
  <c r="A121" i="130"/>
  <c r="A122" i="130"/>
  <c r="A123" i="130"/>
  <c r="A124" i="130"/>
  <c r="A125" i="130"/>
  <c r="A126" i="130"/>
  <c r="A127" i="130"/>
  <c r="A128" i="130"/>
  <c r="A129" i="130"/>
  <c r="A130" i="130"/>
  <c r="A131" i="130"/>
  <c r="A132" i="130"/>
  <c r="A133" i="130"/>
  <c r="A134" i="130"/>
  <c r="A135" i="130"/>
  <c r="A136" i="130"/>
  <c r="A137" i="130"/>
  <c r="A138" i="130"/>
  <c r="A139" i="130"/>
  <c r="A140" i="130"/>
  <c r="A141" i="130"/>
  <c r="A142" i="130"/>
  <c r="A143" i="130"/>
  <c r="A144" i="130"/>
  <c r="A145" i="130"/>
  <c r="A146" i="130"/>
  <c r="A147" i="130"/>
  <c r="A148" i="130"/>
  <c r="A149" i="130"/>
  <c r="A150" i="130"/>
  <c r="A151" i="130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3" i="4"/>
  <c r="AA1" i="2"/>
  <c r="AN1" i="131"/>
  <c r="G11" i="132"/>
  <c r="K8" i="132"/>
  <c r="K7" i="132"/>
  <c r="AF7" i="132"/>
  <c r="W4" i="4"/>
  <c r="W3" i="4"/>
  <c r="W2" i="4" s="1"/>
  <c r="Q1" i="4"/>
  <c r="F53" i="4"/>
  <c r="D53" i="4"/>
  <c r="B53" i="4"/>
  <c r="U1" i="2"/>
  <c r="G17" i="2" s="1"/>
  <c r="M36" i="2"/>
  <c r="M37" i="2" s="1"/>
  <c r="M32" i="2"/>
  <c r="M34" i="2"/>
  <c r="M35" i="2" s="1"/>
  <c r="O162" i="4"/>
  <c r="Y106" i="3"/>
  <c r="T106" i="3"/>
  <c r="O106" i="3"/>
  <c r="Y56" i="3"/>
  <c r="T56" i="3"/>
  <c r="O56" i="3"/>
  <c r="O6" i="3"/>
  <c r="T6" i="3"/>
  <c r="Y6" i="3"/>
  <c r="AE108" i="3"/>
  <c r="AE107" i="3"/>
  <c r="AE58" i="3"/>
  <c r="AE57" i="3"/>
  <c r="E7" i="3"/>
  <c r="AE7" i="3"/>
  <c r="AE8" i="3"/>
  <c r="AJ1" i="131"/>
  <c r="K49" i="4"/>
  <c r="K47" i="4"/>
  <c r="K45" i="4"/>
  <c r="K43" i="4"/>
  <c r="K41" i="4"/>
  <c r="K39" i="4"/>
  <c r="K37" i="4"/>
  <c r="K35" i="4"/>
  <c r="K33" i="4"/>
  <c r="K31" i="4"/>
  <c r="K29" i="4"/>
  <c r="I27" i="4"/>
  <c r="J27" i="4"/>
  <c r="J28" i="4"/>
  <c r="K27" i="4"/>
  <c r="I25" i="4"/>
  <c r="J25" i="4" s="1"/>
  <c r="I26" i="4"/>
  <c r="J26" i="4"/>
  <c r="I23" i="4"/>
  <c r="J23" i="4" s="1"/>
  <c r="I24" i="4"/>
  <c r="J24" i="4"/>
  <c r="I21" i="4"/>
  <c r="J21" i="4" s="1"/>
  <c r="I22" i="4"/>
  <c r="J22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O121" i="2"/>
  <c r="H121" i="2"/>
  <c r="A121" i="2"/>
  <c r="J171" i="4"/>
  <c r="F171" i="4"/>
  <c r="B171" i="4"/>
  <c r="D11" i="4"/>
  <c r="L15" i="4"/>
  <c r="D15" i="4"/>
  <c r="K9" i="4"/>
  <c r="H9" i="4"/>
  <c r="E9" i="4"/>
  <c r="O7" i="2"/>
  <c r="J7" i="2"/>
  <c r="F7" i="2"/>
  <c r="C10" i="2"/>
  <c r="F8" i="2"/>
  <c r="AN101" i="3"/>
  <c r="AE1" i="131"/>
  <c r="O101" i="4"/>
  <c r="O103" i="4"/>
  <c r="O105" i="4"/>
  <c r="O107" i="4"/>
  <c r="O109" i="4"/>
  <c r="O111" i="4"/>
  <c r="O113" i="4"/>
  <c r="O115" i="4"/>
  <c r="O117" i="4"/>
  <c r="O119" i="4"/>
  <c r="O121" i="4"/>
  <c r="O123" i="4"/>
  <c r="O125" i="4"/>
  <c r="O127" i="4"/>
  <c r="O129" i="4"/>
  <c r="T1" i="131"/>
  <c r="J1" i="131"/>
  <c r="O61" i="4"/>
  <c r="O63" i="4"/>
  <c r="O65" i="4"/>
  <c r="O67" i="4"/>
  <c r="O69" i="4"/>
  <c r="O71" i="4"/>
  <c r="O73" i="4"/>
  <c r="O75" i="4"/>
  <c r="O77" i="4"/>
  <c r="O79" i="4"/>
  <c r="Q23" i="4"/>
  <c r="O23" i="4" s="1"/>
  <c r="Q25" i="4"/>
  <c r="O25" i="4" s="1"/>
  <c r="Q27" i="4"/>
  <c r="O27" i="4" s="1"/>
  <c r="Q29" i="4"/>
  <c r="O29" i="4" s="1"/>
  <c r="Q31" i="4"/>
  <c r="O31" i="4" s="1"/>
  <c r="Q33" i="4"/>
  <c r="O33" i="4" s="1"/>
  <c r="Q35" i="4"/>
  <c r="O35" i="4" s="1"/>
  <c r="Q37" i="4"/>
  <c r="O37" i="4" s="1"/>
  <c r="Q39" i="4"/>
  <c r="O39" i="4" s="1"/>
  <c r="Q41" i="4"/>
  <c r="O41" i="4" s="1"/>
  <c r="Q43" i="4"/>
  <c r="O43" i="4" s="1"/>
  <c r="Q45" i="4"/>
  <c r="O45" i="4" s="1"/>
  <c r="Q47" i="4"/>
  <c r="O47" i="4" s="1"/>
  <c r="Q49" i="4"/>
  <c r="O49" i="4" s="1"/>
  <c r="Q21" i="4"/>
  <c r="O21" i="4" s="1"/>
  <c r="L13" i="4"/>
  <c r="E49" i="4"/>
  <c r="E47" i="4"/>
  <c r="E45" i="4"/>
  <c r="E43" i="4"/>
  <c r="E41" i="4"/>
  <c r="E39" i="4"/>
  <c r="E37" i="4"/>
  <c r="E35" i="4"/>
  <c r="E33" i="4"/>
  <c r="E31" i="4"/>
  <c r="E29" i="4"/>
  <c r="E27" i="4"/>
  <c r="E25" i="4"/>
  <c r="E23" i="4"/>
  <c r="B50" i="4"/>
  <c r="B48" i="4"/>
  <c r="B46" i="4"/>
  <c r="B44" i="4"/>
  <c r="B42" i="4"/>
  <c r="B40" i="4"/>
  <c r="B38" i="4"/>
  <c r="B36" i="4"/>
  <c r="B34" i="4"/>
  <c r="B32" i="4"/>
  <c r="B30" i="4"/>
  <c r="B28" i="4"/>
  <c r="B26" i="4"/>
  <c r="B24" i="4"/>
  <c r="N2" i="130"/>
  <c r="N3" i="130"/>
  <c r="N4" i="130"/>
  <c r="N5" i="130"/>
  <c r="N6" i="130"/>
  <c r="N7" i="130"/>
  <c r="N8" i="130"/>
  <c r="N9" i="130"/>
  <c r="N10" i="130"/>
  <c r="N11" i="130"/>
  <c r="N12" i="130"/>
  <c r="N13" i="130"/>
  <c r="N14" i="130"/>
  <c r="N15" i="130"/>
  <c r="N16" i="130"/>
  <c r="N17" i="130"/>
  <c r="N18" i="130"/>
  <c r="N19" i="130"/>
  <c r="N20" i="130"/>
  <c r="N21" i="130"/>
  <c r="N22" i="130"/>
  <c r="N23" i="130"/>
  <c r="N24" i="130"/>
  <c r="N25" i="130"/>
  <c r="N26" i="130"/>
  <c r="N27" i="130"/>
  <c r="N28" i="130"/>
  <c r="N29" i="130"/>
  <c r="N30" i="130"/>
  <c r="N31" i="130"/>
  <c r="N32" i="130"/>
  <c r="N33" i="130"/>
  <c r="N34" i="130"/>
  <c r="N35" i="130"/>
  <c r="N36" i="130"/>
  <c r="N37" i="130"/>
  <c r="N38" i="130"/>
  <c r="N39" i="130"/>
  <c r="N40" i="130"/>
  <c r="N41" i="130"/>
  <c r="N42" i="130"/>
  <c r="N43" i="130"/>
  <c r="N44" i="130"/>
  <c r="N45" i="130"/>
  <c r="N46" i="130"/>
  <c r="N47" i="130"/>
  <c r="N48" i="130"/>
  <c r="N49" i="130"/>
  <c r="N50" i="130"/>
  <c r="N51" i="130"/>
  <c r="N52" i="130"/>
  <c r="N53" i="130"/>
  <c r="N54" i="130"/>
  <c r="N55" i="130"/>
  <c r="N56" i="130"/>
  <c r="N57" i="130"/>
  <c r="N58" i="130"/>
  <c r="N59" i="130"/>
  <c r="N60" i="130"/>
  <c r="N61" i="130"/>
  <c r="N62" i="130"/>
  <c r="N63" i="130"/>
  <c r="N64" i="130"/>
  <c r="N65" i="130"/>
  <c r="N66" i="130"/>
  <c r="N67" i="130"/>
  <c r="N68" i="130"/>
  <c r="N69" i="130"/>
  <c r="N70" i="130"/>
  <c r="N71" i="130"/>
  <c r="N72" i="130"/>
  <c r="N73" i="130"/>
  <c r="N74" i="130"/>
  <c r="N75" i="130"/>
  <c r="N76" i="130"/>
  <c r="N77" i="130"/>
  <c r="N78" i="130"/>
  <c r="N79" i="130"/>
  <c r="N80" i="130"/>
  <c r="N81" i="130"/>
  <c r="N82" i="130"/>
  <c r="N83" i="130"/>
  <c r="N84" i="130"/>
  <c r="N85" i="130"/>
  <c r="N86" i="130"/>
  <c r="N87" i="130"/>
  <c r="N88" i="130"/>
  <c r="N89" i="130"/>
  <c r="N90" i="130"/>
  <c r="N91" i="130"/>
  <c r="N92" i="130"/>
  <c r="N93" i="130"/>
  <c r="N94" i="130"/>
  <c r="N95" i="130"/>
  <c r="N96" i="130"/>
  <c r="N97" i="130"/>
  <c r="N98" i="130"/>
  <c r="N99" i="130"/>
  <c r="N100" i="130"/>
  <c r="N101" i="130"/>
  <c r="N102" i="130"/>
  <c r="N103" i="130"/>
  <c r="N104" i="130"/>
  <c r="N105" i="130"/>
  <c r="N106" i="130"/>
  <c r="N107" i="130"/>
  <c r="N108" i="130"/>
  <c r="N109" i="130"/>
  <c r="N110" i="130"/>
  <c r="N111" i="130"/>
  <c r="N112" i="130"/>
  <c r="N113" i="130"/>
  <c r="N114" i="130"/>
  <c r="N115" i="130"/>
  <c r="N116" i="130"/>
  <c r="N117" i="130"/>
  <c r="N118" i="130"/>
  <c r="N119" i="130"/>
  <c r="N120" i="130"/>
  <c r="N121" i="130"/>
  <c r="N122" i="130"/>
  <c r="N123" i="130"/>
  <c r="N124" i="130"/>
  <c r="N125" i="130"/>
  <c r="N126" i="130"/>
  <c r="N127" i="130"/>
  <c r="N128" i="130"/>
  <c r="N129" i="130"/>
  <c r="N130" i="130"/>
  <c r="N131" i="130"/>
  <c r="N132" i="130"/>
  <c r="N133" i="130"/>
  <c r="N134" i="130"/>
  <c r="N135" i="130"/>
  <c r="N136" i="130"/>
  <c r="N137" i="130"/>
  <c r="N138" i="130"/>
  <c r="N139" i="130"/>
  <c r="N140" i="130"/>
  <c r="N141" i="130"/>
  <c r="N142" i="130"/>
  <c r="N143" i="130"/>
  <c r="N144" i="130"/>
  <c r="N145" i="130"/>
  <c r="N146" i="130"/>
  <c r="N147" i="130"/>
  <c r="N148" i="130"/>
  <c r="N149" i="130"/>
  <c r="N150" i="130"/>
  <c r="N151" i="130"/>
  <c r="H1" i="129"/>
  <c r="B22" i="4"/>
  <c r="E21" i="4"/>
  <c r="K132" i="4"/>
  <c r="M9" i="2"/>
  <c r="C48" i="2"/>
  <c r="G19" i="2"/>
  <c r="R60" i="3" s="1"/>
  <c r="M18" i="2"/>
  <c r="AA10" i="3" s="1"/>
  <c r="A17" i="2" l="1"/>
  <c r="A70" i="2" s="1"/>
  <c r="A22" i="2"/>
  <c r="K10" i="3" s="1"/>
  <c r="K25" i="4"/>
  <c r="AM69" i="3"/>
  <c r="I73" i="4"/>
  <c r="F69" i="4"/>
  <c r="AM125" i="3"/>
  <c r="I65" i="4"/>
  <c r="AM21" i="3"/>
  <c r="E63" i="4"/>
  <c r="E79" i="4"/>
  <c r="AM29" i="3"/>
  <c r="AM13" i="3"/>
  <c r="AM77" i="3"/>
  <c r="AM117" i="3"/>
  <c r="F61" i="4"/>
  <c r="D65" i="4"/>
  <c r="H67" i="4"/>
  <c r="E71" i="4"/>
  <c r="H75" i="4"/>
  <c r="N1" i="130"/>
  <c r="AB1" i="4"/>
  <c r="K23" i="4"/>
  <c r="AC1" i="4"/>
  <c r="F77" i="4"/>
  <c r="D73" i="4"/>
  <c r="K21" i="4"/>
  <c r="T24" i="4"/>
  <c r="O81" i="4"/>
  <c r="G72" i="2"/>
  <c r="G20" i="2"/>
  <c r="S10" i="3" s="1"/>
  <c r="M23" i="2"/>
  <c r="AF10" i="3" s="1"/>
  <c r="M17" i="2"/>
  <c r="M70" i="2" s="1"/>
  <c r="T21" i="4"/>
  <c r="O51" i="4"/>
  <c r="G70" i="2"/>
  <c r="P10" i="3"/>
  <c r="F10" i="3"/>
  <c r="M20" i="2"/>
  <c r="AC110" i="3" s="1"/>
  <c r="G22" i="2"/>
  <c r="U60" i="3" s="1"/>
  <c r="A24" i="2"/>
  <c r="M110" i="3" s="1"/>
  <c r="M25" i="2"/>
  <c r="AH10" i="3" s="1"/>
  <c r="AH11" i="3" s="1"/>
  <c r="M21" i="2"/>
  <c r="AD60" i="3" s="1"/>
  <c r="M19" i="2"/>
  <c r="AB60" i="3" s="1"/>
  <c r="A21" i="2"/>
  <c r="A74" i="2" s="1"/>
  <c r="T17" i="4"/>
  <c r="T30" i="4"/>
  <c r="T19" i="4"/>
  <c r="T13" i="4"/>
  <c r="T5" i="4"/>
  <c r="T22" i="4"/>
  <c r="P110" i="3"/>
  <c r="P60" i="3"/>
  <c r="I79" i="4"/>
  <c r="F79" i="4"/>
  <c r="D79" i="4"/>
  <c r="H77" i="4"/>
  <c r="E77" i="4"/>
  <c r="I75" i="4"/>
  <c r="F75" i="4"/>
  <c r="D75" i="4"/>
  <c r="H73" i="4"/>
  <c r="E73" i="4"/>
  <c r="I71" i="4"/>
  <c r="F71" i="4"/>
  <c r="D71" i="4"/>
  <c r="H69" i="4"/>
  <c r="E69" i="4"/>
  <c r="I67" i="4"/>
  <c r="F67" i="4"/>
  <c r="D67" i="4"/>
  <c r="H65" i="4"/>
  <c r="E65" i="4"/>
  <c r="I63" i="4"/>
  <c r="F63" i="4"/>
  <c r="D63" i="4"/>
  <c r="H61" i="4"/>
  <c r="D61" i="4"/>
  <c r="AM131" i="3"/>
  <c r="AM127" i="3"/>
  <c r="AM123" i="3"/>
  <c r="AM119" i="3"/>
  <c r="AM115" i="3"/>
  <c r="AM79" i="3"/>
  <c r="AM75" i="3"/>
  <c r="AM71" i="3"/>
  <c r="AM67" i="3"/>
  <c r="AM63" i="3"/>
  <c r="AM15" i="3"/>
  <c r="AM19" i="3"/>
  <c r="AM23" i="3"/>
  <c r="AM27" i="3"/>
  <c r="AM31" i="3"/>
  <c r="AA110" i="3"/>
  <c r="M71" i="2"/>
  <c r="AA60" i="3"/>
  <c r="K110" i="3"/>
  <c r="A75" i="2"/>
  <c r="K60" i="3"/>
  <c r="AF60" i="3"/>
  <c r="F60" i="3"/>
  <c r="F110" i="3"/>
  <c r="R110" i="3"/>
  <c r="R10" i="3"/>
  <c r="M26" i="2"/>
  <c r="E8" i="3"/>
  <c r="Z1" i="2"/>
  <c r="A19" i="2"/>
  <c r="G25" i="2"/>
  <c r="A23" i="2"/>
  <c r="G21" i="2"/>
  <c r="A25" i="2"/>
  <c r="G23" i="2"/>
  <c r="M27" i="2"/>
  <c r="M80" i="2" s="1"/>
  <c r="A18" i="2"/>
  <c r="A20" i="2"/>
  <c r="A26" i="2"/>
  <c r="G18" i="2"/>
  <c r="G24" i="2"/>
  <c r="G26" i="2"/>
  <c r="M22" i="2"/>
  <c r="M24" i="2"/>
  <c r="T12" i="4"/>
  <c r="T8" i="4"/>
  <c r="T28" i="4"/>
  <c r="T32" i="4"/>
  <c r="T20" i="4"/>
  <c r="T4" i="4"/>
  <c r="T26" i="4"/>
  <c r="T15" i="4"/>
  <c r="O131" i="4"/>
  <c r="AM25" i="3"/>
  <c r="AM17" i="3"/>
  <c r="AM65" i="3"/>
  <c r="AM73" i="3"/>
  <c r="AM81" i="3"/>
  <c r="AM113" i="3"/>
  <c r="AM121" i="3"/>
  <c r="AM129" i="3"/>
  <c r="E61" i="4"/>
  <c r="I61" i="4"/>
  <c r="H63" i="4"/>
  <c r="F65" i="4"/>
  <c r="E67" i="4"/>
  <c r="D69" i="4"/>
  <c r="I69" i="4"/>
  <c r="H71" i="4"/>
  <c r="F73" i="4"/>
  <c r="E75" i="4"/>
  <c r="D77" i="4"/>
  <c r="I77" i="4"/>
  <c r="H79" i="4"/>
  <c r="M33" i="2"/>
  <c r="M38" i="2" s="1"/>
  <c r="T31" i="4"/>
  <c r="T11" i="4"/>
  <c r="T33" i="4"/>
  <c r="T9" i="4"/>
  <c r="T7" i="4"/>
  <c r="T29" i="4"/>
  <c r="T10" i="4"/>
  <c r="T3" i="4"/>
  <c r="T16" i="4"/>
  <c r="T6" i="4"/>
  <c r="T14" i="4"/>
  <c r="T25" i="4"/>
  <c r="T23" i="4"/>
  <c r="T27" i="4"/>
  <c r="T18" i="4"/>
  <c r="M73" i="2" l="1"/>
  <c r="Q5" i="4"/>
  <c r="K54" i="4"/>
  <c r="J60" i="3"/>
  <c r="G73" i="2"/>
  <c r="AC60" i="3"/>
  <c r="Z60" i="3"/>
  <c r="M78" i="2"/>
  <c r="U10" i="3"/>
  <c r="Z10" i="3"/>
  <c r="S60" i="3"/>
  <c r="M74" i="2"/>
  <c r="M76" i="2"/>
  <c r="AH110" i="3"/>
  <c r="AH111" i="3" s="1"/>
  <c r="AF110" i="3"/>
  <c r="AD10" i="3"/>
  <c r="Z110" i="3"/>
  <c r="M60" i="3"/>
  <c r="S110" i="3"/>
  <c r="A77" i="2"/>
  <c r="J10" i="3"/>
  <c r="J110" i="3"/>
  <c r="AD110" i="3"/>
  <c r="M10" i="3"/>
  <c r="AC10" i="3"/>
  <c r="M72" i="2"/>
  <c r="AH60" i="3"/>
  <c r="AH61" i="3" s="1"/>
  <c r="AB110" i="3"/>
  <c r="AB10" i="3"/>
  <c r="G75" i="2"/>
  <c r="U110" i="3"/>
  <c r="AE10" i="3"/>
  <c r="AE60" i="3"/>
  <c r="AE110" i="3"/>
  <c r="M75" i="2"/>
  <c r="W10" i="3"/>
  <c r="W110" i="3"/>
  <c r="G77" i="2"/>
  <c r="W60" i="3"/>
  <c r="O10" i="3"/>
  <c r="O60" i="3"/>
  <c r="O110" i="3"/>
  <c r="A79" i="2"/>
  <c r="G10" i="3"/>
  <c r="G60" i="3"/>
  <c r="G110" i="3"/>
  <c r="A71" i="2"/>
  <c r="V60" i="3"/>
  <c r="V110" i="3"/>
  <c r="V10" i="3"/>
  <c r="G76" i="2"/>
  <c r="T110" i="3"/>
  <c r="T60" i="3"/>
  <c r="T10" i="3"/>
  <c r="G74" i="2"/>
  <c r="X110" i="3"/>
  <c r="X60" i="3"/>
  <c r="G78" i="2"/>
  <c r="X10" i="3"/>
  <c r="O71" i="2"/>
  <c r="O72" i="2"/>
  <c r="O73" i="2"/>
  <c r="O74" i="2"/>
  <c r="O75" i="2"/>
  <c r="O76" i="2"/>
  <c r="O77" i="2"/>
  <c r="O78" i="2"/>
  <c r="O79" i="2"/>
  <c r="O80" i="2"/>
  <c r="I71" i="2"/>
  <c r="I72" i="2"/>
  <c r="I73" i="2"/>
  <c r="I74" i="2"/>
  <c r="I75" i="2"/>
  <c r="I76" i="2"/>
  <c r="I77" i="2"/>
  <c r="I78" i="2"/>
  <c r="I79" i="2"/>
  <c r="C71" i="2"/>
  <c r="C72" i="2"/>
  <c r="C73" i="2"/>
  <c r="C74" i="2"/>
  <c r="C75" i="2"/>
  <c r="C76" i="2"/>
  <c r="C77" i="2"/>
  <c r="C78" i="2"/>
  <c r="C79" i="2"/>
  <c r="Q70" i="2"/>
  <c r="K70" i="2"/>
  <c r="E70" i="2"/>
  <c r="O18" i="2"/>
  <c r="O20" i="2"/>
  <c r="O22" i="2"/>
  <c r="O24" i="2"/>
  <c r="O26" i="2"/>
  <c r="I18" i="2"/>
  <c r="I20" i="2"/>
  <c r="I22" i="2"/>
  <c r="I24" i="2"/>
  <c r="I26" i="2"/>
  <c r="C19" i="2"/>
  <c r="C21" i="2"/>
  <c r="C23" i="2"/>
  <c r="C25" i="2"/>
  <c r="O17" i="2"/>
  <c r="C17" i="2"/>
  <c r="AN1" i="3"/>
  <c r="Q71" i="2"/>
  <c r="Q73" i="2"/>
  <c r="Q75" i="2"/>
  <c r="Q77" i="2"/>
  <c r="Q79" i="2"/>
  <c r="K71" i="2"/>
  <c r="K73" i="2"/>
  <c r="K75" i="2"/>
  <c r="K77" i="2"/>
  <c r="K79" i="2"/>
  <c r="E72" i="2"/>
  <c r="E74" i="2"/>
  <c r="E76" i="2"/>
  <c r="E78" i="2"/>
  <c r="O70" i="2"/>
  <c r="C70" i="2"/>
  <c r="O21" i="2"/>
  <c r="O25" i="2"/>
  <c r="I19" i="2"/>
  <c r="I23" i="2"/>
  <c r="C18" i="2"/>
  <c r="C22" i="2"/>
  <c r="C26" i="2"/>
  <c r="Q72" i="2"/>
  <c r="Q74" i="2"/>
  <c r="Q76" i="2"/>
  <c r="Q78" i="2"/>
  <c r="Q80" i="2"/>
  <c r="K72" i="2"/>
  <c r="K74" i="2"/>
  <c r="K76" i="2"/>
  <c r="K78" i="2"/>
  <c r="E71" i="2"/>
  <c r="E73" i="2"/>
  <c r="E75" i="2"/>
  <c r="E77" i="2"/>
  <c r="E79" i="2"/>
  <c r="I70" i="2"/>
  <c r="O19" i="2"/>
  <c r="O23" i="2"/>
  <c r="O27" i="2"/>
  <c r="I21" i="2"/>
  <c r="I25" i="2"/>
  <c r="C20" i="2"/>
  <c r="C24" i="2"/>
  <c r="I17" i="2"/>
  <c r="AJ110" i="3"/>
  <c r="AJ111" i="3" s="1"/>
  <c r="AJ10" i="3"/>
  <c r="AJ11" i="3" s="1"/>
  <c r="AI10" i="3"/>
  <c r="AI11" i="3" s="1"/>
  <c r="AI110" i="3"/>
  <c r="AI111" i="3" s="1"/>
  <c r="AI60" i="3"/>
  <c r="AI61" i="3" s="1"/>
  <c r="M79" i="2"/>
  <c r="AJ60" i="3"/>
  <c r="AJ61" i="3" s="1"/>
  <c r="AG60" i="3"/>
  <c r="AG10" i="3"/>
  <c r="M77" i="2"/>
  <c r="AG110" i="3"/>
  <c r="G79" i="2"/>
  <c r="Y110" i="3"/>
  <c r="Y10" i="3"/>
  <c r="Y60" i="3"/>
  <c r="G71" i="2"/>
  <c r="Q110" i="3"/>
  <c r="Q60" i="3"/>
  <c r="Q10" i="3"/>
  <c r="A73" i="2"/>
  <c r="I110" i="3"/>
  <c r="I60" i="3"/>
  <c r="I10" i="3"/>
  <c r="N10" i="3"/>
  <c r="N110" i="3"/>
  <c r="A78" i="2"/>
  <c r="N60" i="3"/>
  <c r="L60" i="3"/>
  <c r="A76" i="2"/>
  <c r="L10" i="3"/>
  <c r="L110" i="3"/>
  <c r="H10" i="3"/>
  <c r="H60" i="3"/>
  <c r="H110" i="3"/>
  <c r="A72" i="2"/>
  <c r="E58" i="3"/>
  <c r="E108" i="3"/>
  <c r="U2" i="4"/>
  <c r="I81" i="2" l="1"/>
  <c r="C81" i="2"/>
  <c r="I28" i="2"/>
  <c r="O28" i="2"/>
  <c r="K81" i="2"/>
  <c r="O81" i="2"/>
  <c r="C28" i="2"/>
  <c r="E81" i="2"/>
  <c r="Q81" i="2"/>
  <c r="Y46" i="132"/>
  <c r="Y47" i="132"/>
  <c r="Y36" i="132"/>
  <c r="Y45" i="132"/>
  <c r="O82" i="2" l="1"/>
  <c r="Q82" i="2"/>
  <c r="K21" i="3"/>
  <c r="J21" i="3"/>
  <c r="M21" i="3"/>
  <c r="X21" i="3"/>
  <c r="AE20" i="3"/>
  <c r="Q20" i="3"/>
  <c r="AD20" i="3"/>
  <c r="H20" i="3"/>
  <c r="F21" i="3"/>
  <c r="H21" i="3"/>
  <c r="M20" i="3"/>
  <c r="AF20" i="3"/>
  <c r="AD21" i="3"/>
  <c r="S20" i="3"/>
  <c r="F20" i="3"/>
  <c r="AB20" i="3"/>
  <c r="AJ21" i="3"/>
  <c r="AH21" i="3"/>
  <c r="W20" i="3"/>
  <c r="N20" i="3"/>
  <c r="W21" i="3"/>
  <c r="AF21" i="3"/>
  <c r="N21" i="3"/>
  <c r="U20" i="3"/>
  <c r="AI20" i="3"/>
  <c r="G20" i="3"/>
  <c r="X20" i="3"/>
  <c r="O21" i="3"/>
  <c r="AJ20" i="3"/>
  <c r="U21" i="3"/>
  <c r="T20" i="3"/>
  <c r="AC20" i="3"/>
  <c r="L20" i="3"/>
  <c r="AA21" i="3"/>
  <c r="Z21" i="3"/>
  <c r="AC21" i="3"/>
  <c r="O20" i="3"/>
  <c r="L21" i="3"/>
  <c r="AG20" i="3"/>
  <c r="J20" i="3"/>
  <c r="G21" i="3"/>
  <c r="I21" i="3"/>
  <c r="AA20" i="3"/>
  <c r="V20" i="3"/>
  <c r="AE21" i="3"/>
  <c r="AG21" i="3"/>
  <c r="AB21" i="3"/>
  <c r="R20" i="3"/>
  <c r="AI21" i="3"/>
  <c r="C41" i="3"/>
  <c r="F41" i="3"/>
  <c r="I20" i="3"/>
  <c r="Z20" i="3"/>
  <c r="Y21" i="3"/>
  <c r="AH20" i="3"/>
  <c r="T21" i="3"/>
  <c r="P20" i="3"/>
  <c r="R21" i="3"/>
  <c r="Y20" i="3"/>
  <c r="K20" i="3"/>
  <c r="Z41" i="3"/>
  <c r="S21" i="3"/>
  <c r="P21" i="3"/>
  <c r="V21" i="3"/>
  <c r="Q21" i="3"/>
  <c r="N115" i="3"/>
  <c r="Q115" i="3"/>
  <c r="X115" i="3"/>
  <c r="T115" i="3"/>
  <c r="S114" i="3"/>
  <c r="R114" i="3"/>
  <c r="U114" i="3"/>
  <c r="X114" i="3"/>
  <c r="U115" i="3"/>
  <c r="AB115" i="3"/>
  <c r="V114" i="3"/>
  <c r="AB114" i="3"/>
  <c r="AC115" i="3"/>
  <c r="S115" i="3"/>
  <c r="AD114" i="3"/>
  <c r="AI114" i="3"/>
  <c r="F115" i="3"/>
  <c r="H115" i="3"/>
  <c r="K114" i="3"/>
  <c r="M114" i="3"/>
  <c r="AH115" i="3"/>
  <c r="F114" i="3"/>
  <c r="M115" i="3"/>
  <c r="N114" i="3"/>
  <c r="AJ115" i="3"/>
  <c r="G115" i="3"/>
  <c r="AC114" i="3"/>
  <c r="I114" i="3"/>
  <c r="Q114" i="3"/>
  <c r="K115" i="3"/>
  <c r="AF114" i="3"/>
  <c r="J115" i="3"/>
  <c r="AJ114" i="3"/>
  <c r="AD115" i="3"/>
  <c r="AG115" i="3"/>
  <c r="W115" i="3"/>
  <c r="AA115" i="3"/>
  <c r="Z138" i="3"/>
  <c r="AH114" i="3"/>
  <c r="H114" i="3"/>
  <c r="R115" i="3"/>
  <c r="AF115" i="3"/>
  <c r="W114" i="3"/>
  <c r="Y114" i="3"/>
  <c r="Z115" i="3"/>
  <c r="O115" i="3"/>
  <c r="AE114" i="3"/>
  <c r="AG114" i="3"/>
  <c r="AI115" i="3"/>
  <c r="I115" i="3"/>
  <c r="C138" i="3"/>
  <c r="J114" i="3"/>
  <c r="P114" i="3"/>
  <c r="AE115" i="3"/>
  <c r="L114" i="3"/>
  <c r="L115" i="3"/>
  <c r="T114" i="3"/>
  <c r="V115" i="3"/>
  <c r="AA114" i="3"/>
  <c r="F138" i="3"/>
  <c r="P115" i="3"/>
  <c r="Y115" i="3"/>
  <c r="Z114" i="3"/>
  <c r="G114" i="3"/>
  <c r="O114" i="3"/>
  <c r="P27" i="3"/>
  <c r="S27" i="3"/>
  <c r="R27" i="3"/>
  <c r="U27" i="3"/>
  <c r="Q27" i="3"/>
  <c r="W26" i="3"/>
  <c r="F26" i="3"/>
  <c r="R26" i="3"/>
  <c r="AB27" i="3"/>
  <c r="AE27" i="3"/>
  <c r="AD27" i="3"/>
  <c r="Q26" i="3"/>
  <c r="AC27" i="3"/>
  <c r="Z44" i="3"/>
  <c r="AD26" i="3"/>
  <c r="AI26" i="3"/>
  <c r="H27" i="3"/>
  <c r="J27" i="3"/>
  <c r="AC26" i="3"/>
  <c r="X26" i="3"/>
  <c r="T27" i="3"/>
  <c r="V27" i="3"/>
  <c r="AG27" i="3"/>
  <c r="N26" i="3"/>
  <c r="AI27" i="3"/>
  <c r="M26" i="3"/>
  <c r="AH26" i="3"/>
  <c r="Y26" i="3"/>
  <c r="AJ27" i="3"/>
  <c r="Z27" i="3"/>
  <c r="V26" i="3"/>
  <c r="I27" i="3"/>
  <c r="T26" i="3"/>
  <c r="AF27" i="3"/>
  <c r="C44" i="3"/>
  <c r="AH27" i="3"/>
  <c r="U26" i="3"/>
  <c r="G26" i="3"/>
  <c r="H26" i="3"/>
  <c r="L26" i="3"/>
  <c r="L27" i="3"/>
  <c r="O27" i="3"/>
  <c r="N27" i="3"/>
  <c r="F44" i="3"/>
  <c r="AG26" i="3"/>
  <c r="S26" i="3"/>
  <c r="AF26" i="3"/>
  <c r="J26" i="3"/>
  <c r="AJ26" i="3"/>
  <c r="K27" i="3"/>
  <c r="Y27" i="3"/>
  <c r="O26" i="3"/>
  <c r="AB26" i="3"/>
  <c r="W27" i="3"/>
  <c r="I26" i="3"/>
  <c r="AA26" i="3"/>
  <c r="Z26" i="3"/>
  <c r="AA27" i="3"/>
  <c r="AE26" i="3"/>
  <c r="F27" i="3"/>
  <c r="P26" i="3"/>
  <c r="X27" i="3"/>
  <c r="M27" i="3"/>
  <c r="G27" i="3"/>
  <c r="K26" i="3"/>
  <c r="I75" i="3"/>
  <c r="L75" i="3"/>
  <c r="Q75" i="3"/>
  <c r="AA75" i="3"/>
  <c r="W75" i="3"/>
  <c r="M74" i="3"/>
  <c r="P74" i="3"/>
  <c r="S74" i="3"/>
  <c r="R74" i="3"/>
  <c r="U75" i="3"/>
  <c r="X75" i="3"/>
  <c r="Z75" i="3"/>
  <c r="F75" i="3"/>
  <c r="Y74" i="3"/>
  <c r="AB74" i="3"/>
  <c r="AE74" i="3"/>
  <c r="AD74" i="3"/>
  <c r="AJ75" i="3"/>
  <c r="R75" i="3"/>
  <c r="U74" i="3"/>
  <c r="AA74" i="3"/>
  <c r="AC75" i="3"/>
  <c r="F93" i="3"/>
  <c r="AG74" i="3"/>
  <c r="F74" i="3"/>
  <c r="K75" i="3"/>
  <c r="AD75" i="3"/>
  <c r="K74" i="3"/>
  <c r="M75" i="3"/>
  <c r="J75" i="3"/>
  <c r="Q74" i="3"/>
  <c r="W74" i="3"/>
  <c r="AJ74" i="3"/>
  <c r="Y75" i="3"/>
  <c r="AB75" i="3"/>
  <c r="T75" i="3"/>
  <c r="AH75" i="3"/>
  <c r="N75" i="3"/>
  <c r="AC74" i="3"/>
  <c r="AF74" i="3"/>
  <c r="Z93" i="3"/>
  <c r="AH74" i="3"/>
  <c r="H75" i="3"/>
  <c r="S75" i="3"/>
  <c r="O75" i="3"/>
  <c r="I74" i="3"/>
  <c r="L74" i="3"/>
  <c r="O74" i="3"/>
  <c r="N74" i="3"/>
  <c r="AI75" i="3"/>
  <c r="AG75" i="3"/>
  <c r="C93" i="3"/>
  <c r="X74" i="3"/>
  <c r="Z74" i="3"/>
  <c r="AF75" i="3"/>
  <c r="V75" i="3"/>
  <c r="G74" i="3"/>
  <c r="AI74" i="3"/>
  <c r="G75" i="3"/>
  <c r="H74" i="3"/>
  <c r="J74" i="3"/>
  <c r="P75" i="3"/>
  <c r="AE75" i="3"/>
  <c r="T74" i="3"/>
  <c r="V74" i="3"/>
  <c r="U81" i="3"/>
  <c r="T81" i="3"/>
  <c r="R81" i="3"/>
  <c r="F81" i="3"/>
  <c r="W80" i="3"/>
  <c r="V80" i="3"/>
  <c r="Y80" i="3"/>
  <c r="AB80" i="3"/>
  <c r="C96" i="3"/>
  <c r="X80" i="3"/>
  <c r="X81" i="3"/>
  <c r="N81" i="3"/>
  <c r="Z80" i="3"/>
  <c r="AF80" i="3"/>
  <c r="AD81" i="3"/>
  <c r="AI81" i="3"/>
  <c r="AC81" i="3"/>
  <c r="AH81" i="3"/>
  <c r="AE80" i="3"/>
  <c r="AG80" i="3"/>
  <c r="S80" i="3"/>
  <c r="S81" i="3"/>
  <c r="M80" i="3"/>
  <c r="Z96" i="3"/>
  <c r="M81" i="3"/>
  <c r="O80" i="3"/>
  <c r="J81" i="3"/>
  <c r="J80" i="3"/>
  <c r="AJ80" i="3"/>
  <c r="N80" i="3"/>
  <c r="P80" i="3"/>
  <c r="T80" i="3"/>
  <c r="H80" i="3"/>
  <c r="F96" i="3"/>
  <c r="K81" i="3"/>
  <c r="O81" i="3"/>
  <c r="G80" i="3"/>
  <c r="F80" i="3"/>
  <c r="I80" i="3"/>
  <c r="L80" i="3"/>
  <c r="P81" i="3"/>
  <c r="R80" i="3"/>
  <c r="Y81" i="3"/>
  <c r="Z81" i="3"/>
  <c r="AA80" i="3"/>
  <c r="AC80" i="3"/>
  <c r="AF81" i="3"/>
  <c r="AH80" i="3"/>
  <c r="AJ81" i="3"/>
  <c r="AB81" i="3"/>
  <c r="V81" i="3"/>
  <c r="AD80" i="3"/>
  <c r="Q81" i="3"/>
  <c r="I81" i="3"/>
  <c r="K80" i="3"/>
  <c r="AG81" i="3"/>
  <c r="AI80" i="3"/>
  <c r="AA81" i="3"/>
  <c r="Q80" i="3"/>
  <c r="H81" i="3"/>
  <c r="G81" i="3"/>
  <c r="L81" i="3"/>
  <c r="U80" i="3"/>
  <c r="AE81" i="3"/>
  <c r="W81" i="3"/>
  <c r="I69" i="3"/>
  <c r="L69" i="3"/>
  <c r="O69" i="3"/>
  <c r="F90" i="3"/>
  <c r="AC68" i="3"/>
  <c r="O68" i="3"/>
  <c r="AB68" i="3"/>
  <c r="AF68" i="3"/>
  <c r="AC69" i="3"/>
  <c r="C90" i="3"/>
  <c r="AD69" i="3"/>
  <c r="H68" i="3"/>
  <c r="X69" i="3"/>
  <c r="I68" i="3"/>
  <c r="AA68" i="3"/>
  <c r="V68" i="3"/>
  <c r="AJ68" i="3"/>
  <c r="G69" i="3"/>
  <c r="U68" i="3"/>
  <c r="L68" i="3"/>
  <c r="M69" i="3"/>
  <c r="AG68" i="3"/>
  <c r="H69" i="3"/>
  <c r="K68" i="3"/>
  <c r="AI68" i="3"/>
  <c r="W69" i="3"/>
  <c r="R68" i="3"/>
  <c r="S68" i="3"/>
  <c r="T68" i="3"/>
  <c r="V69" i="3"/>
  <c r="N68" i="3"/>
  <c r="F68" i="3"/>
  <c r="AJ69" i="3"/>
  <c r="Y69" i="3"/>
  <c r="AB69" i="3"/>
  <c r="AE69" i="3"/>
  <c r="M68" i="3"/>
  <c r="N69" i="3"/>
  <c r="AE68" i="3"/>
  <c r="AH68" i="3"/>
  <c r="AD68" i="3"/>
  <c r="AF69" i="3"/>
  <c r="Q68" i="3"/>
  <c r="Z90" i="3"/>
  <c r="U69" i="3"/>
  <c r="AA69" i="3"/>
  <c r="AH69" i="3"/>
  <c r="Z68" i="3"/>
  <c r="AI69" i="3"/>
  <c r="AG69" i="3"/>
  <c r="J69" i="3"/>
  <c r="G68" i="3"/>
  <c r="P68" i="3"/>
  <c r="S69" i="3"/>
  <c r="J68" i="3"/>
  <c r="Z69" i="3"/>
  <c r="X68" i="3"/>
  <c r="Q69" i="3"/>
  <c r="R69" i="3"/>
  <c r="P69" i="3"/>
  <c r="K69" i="3"/>
  <c r="T69" i="3"/>
  <c r="W68" i="3"/>
  <c r="F69" i="3"/>
  <c r="Y68" i="3"/>
  <c r="K71" i="3"/>
  <c r="C91" i="3"/>
  <c r="AH71" i="3"/>
  <c r="F91" i="3"/>
  <c r="X71" i="3"/>
  <c r="H70" i="3"/>
  <c r="K70" i="3"/>
  <c r="N70" i="3"/>
  <c r="O71" i="3"/>
  <c r="N71" i="3"/>
  <c r="Q71" i="3"/>
  <c r="AF71" i="3"/>
  <c r="Q70" i="3"/>
  <c r="T70" i="3"/>
  <c r="W70" i="3"/>
  <c r="Z70" i="3"/>
  <c r="AI71" i="3"/>
  <c r="M71" i="3"/>
  <c r="M70" i="3"/>
  <c r="S70" i="3"/>
  <c r="W71" i="3"/>
  <c r="Y71" i="3"/>
  <c r="Y70" i="3"/>
  <c r="AE70" i="3"/>
  <c r="AJ71" i="3"/>
  <c r="Z71" i="3"/>
  <c r="AB71" i="3"/>
  <c r="AF70" i="3"/>
  <c r="G71" i="3"/>
  <c r="I71" i="3"/>
  <c r="I70" i="3"/>
  <c r="O70" i="3"/>
  <c r="AI70" i="3"/>
  <c r="AA71" i="3"/>
  <c r="R71" i="3"/>
  <c r="U71" i="3"/>
  <c r="G70" i="3"/>
  <c r="U70" i="3"/>
  <c r="X70" i="3"/>
  <c r="AA70" i="3"/>
  <c r="AD70" i="3"/>
  <c r="AE71" i="3"/>
  <c r="AD71" i="3"/>
  <c r="AG71" i="3"/>
  <c r="H71" i="3"/>
  <c r="AG70" i="3"/>
  <c r="F70" i="3"/>
  <c r="J70" i="3"/>
  <c r="AJ70" i="3"/>
  <c r="J71" i="3"/>
  <c r="P71" i="3"/>
  <c r="P70" i="3"/>
  <c r="V70" i="3"/>
  <c r="V71" i="3"/>
  <c r="L71" i="3"/>
  <c r="AB70" i="3"/>
  <c r="AH70" i="3"/>
  <c r="S71" i="3"/>
  <c r="AC71" i="3"/>
  <c r="AC70" i="3"/>
  <c r="Z91" i="3"/>
  <c r="F71" i="3"/>
  <c r="T71" i="3"/>
  <c r="L70" i="3"/>
  <c r="R70" i="3"/>
  <c r="U17" i="3"/>
  <c r="T17" i="3"/>
  <c r="W17" i="3"/>
  <c r="G16" i="3"/>
  <c r="J17" i="3"/>
  <c r="Y16" i="3"/>
  <c r="P16" i="3"/>
  <c r="T16" i="3"/>
  <c r="AG17" i="3"/>
  <c r="AF17" i="3"/>
  <c r="C39" i="3"/>
  <c r="S16" i="3"/>
  <c r="V17" i="3"/>
  <c r="J16" i="3"/>
  <c r="F16" i="3"/>
  <c r="AJ16" i="3"/>
  <c r="M17" i="3"/>
  <c r="O17" i="3"/>
  <c r="AE16" i="3"/>
  <c r="AH16" i="3"/>
  <c r="Y17" i="3"/>
  <c r="AA17" i="3"/>
  <c r="Z17" i="3"/>
  <c r="X16" i="3"/>
  <c r="AI17" i="3"/>
  <c r="AB17" i="3"/>
  <c r="O16" i="3"/>
  <c r="AG16" i="3"/>
  <c r="I17" i="3"/>
  <c r="K17" i="3"/>
  <c r="AA16" i="3"/>
  <c r="Z16" i="3"/>
  <c r="AJ17" i="3"/>
  <c r="F39" i="3"/>
  <c r="G17" i="3"/>
  <c r="R17" i="3"/>
  <c r="W16" i="3"/>
  <c r="I16" i="3"/>
  <c r="R16" i="3"/>
  <c r="N16" i="3"/>
  <c r="Q17" i="3"/>
  <c r="P17" i="3"/>
  <c r="S17" i="3"/>
  <c r="AD17" i="3"/>
  <c r="Z39" i="3"/>
  <c r="U16" i="3"/>
  <c r="H16" i="3"/>
  <c r="L16" i="3"/>
  <c r="AI16" i="3"/>
  <c r="L17" i="3"/>
  <c r="N17" i="3"/>
  <c r="Q16" i="3"/>
  <c r="AD16" i="3"/>
  <c r="X17" i="3"/>
  <c r="K16" i="3"/>
  <c r="AC16" i="3"/>
  <c r="AB16" i="3"/>
  <c r="AC17" i="3"/>
  <c r="AE17" i="3"/>
  <c r="F17" i="3"/>
  <c r="AF16" i="3"/>
  <c r="H17" i="3"/>
  <c r="AH17" i="3"/>
  <c r="M16" i="3"/>
  <c r="V16" i="3"/>
  <c r="M13" i="3"/>
  <c r="L13" i="3"/>
  <c r="K13" i="3"/>
  <c r="N13" i="3"/>
  <c r="AE12" i="3"/>
  <c r="Q12" i="3"/>
  <c r="AD12" i="3"/>
  <c r="H12" i="3"/>
  <c r="H13" i="3"/>
  <c r="R13" i="3"/>
  <c r="M12" i="3"/>
  <c r="AH12" i="3"/>
  <c r="P13" i="3"/>
  <c r="AD13" i="3"/>
  <c r="U12" i="3"/>
  <c r="P12" i="3"/>
  <c r="AI12" i="3"/>
  <c r="AC13" i="3"/>
  <c r="AB13" i="3"/>
  <c r="AA13" i="3"/>
  <c r="O12" i="3"/>
  <c r="F13" i="3"/>
  <c r="AG12" i="3"/>
  <c r="J12" i="3"/>
  <c r="I13" i="3"/>
  <c r="G13" i="3"/>
  <c r="AA12" i="3"/>
  <c r="V12" i="3"/>
  <c r="Q13" i="3"/>
  <c r="O13" i="3"/>
  <c r="Z37" i="3"/>
  <c r="L12" i="3"/>
  <c r="AJ13" i="3"/>
  <c r="C37" i="3"/>
  <c r="AH13" i="3"/>
  <c r="F37" i="3"/>
  <c r="W12" i="3"/>
  <c r="I12" i="3"/>
  <c r="N12" i="3"/>
  <c r="Z12" i="3"/>
  <c r="Y13" i="3"/>
  <c r="W13" i="3"/>
  <c r="Z13" i="3"/>
  <c r="AB12" i="3"/>
  <c r="AG13" i="3"/>
  <c r="AE13" i="3"/>
  <c r="V13" i="3"/>
  <c r="R12" i="3"/>
  <c r="AJ12" i="3"/>
  <c r="U13" i="3"/>
  <c r="T13" i="3"/>
  <c r="S13" i="3"/>
  <c r="G12" i="3"/>
  <c r="J13" i="3"/>
  <c r="Y12" i="3"/>
  <c r="T12" i="3"/>
  <c r="X12" i="3"/>
  <c r="X13" i="3"/>
  <c r="K12" i="3"/>
  <c r="AC12" i="3"/>
  <c r="AF12" i="3"/>
  <c r="AF13" i="3"/>
  <c r="S12" i="3"/>
  <c r="F12" i="3"/>
  <c r="AI13" i="3"/>
  <c r="X65" i="3"/>
  <c r="Z65" i="3"/>
  <c r="Y65" i="3"/>
  <c r="V64" i="3"/>
  <c r="AE65" i="3"/>
  <c r="Z88" i="3"/>
  <c r="V65" i="3"/>
  <c r="N64" i="3"/>
  <c r="AA65" i="3"/>
  <c r="AE64" i="3"/>
  <c r="U64" i="3"/>
  <c r="I65" i="3"/>
  <c r="Q64" i="3"/>
  <c r="AH64" i="3"/>
  <c r="T65" i="3"/>
  <c r="AJ64" i="3"/>
  <c r="P65" i="3"/>
  <c r="S65" i="3"/>
  <c r="R65" i="3"/>
  <c r="I64" i="3"/>
  <c r="AC65" i="3"/>
  <c r="W64" i="3"/>
  <c r="F64" i="3"/>
  <c r="R64" i="3"/>
  <c r="O65" i="3"/>
  <c r="AG65" i="3"/>
  <c r="S64" i="3"/>
  <c r="J64" i="3"/>
  <c r="F65" i="3"/>
  <c r="AC64" i="3"/>
  <c r="P64" i="3"/>
  <c r="AI64" i="3"/>
  <c r="H65" i="3"/>
  <c r="J65" i="3"/>
  <c r="AG64" i="3"/>
  <c r="X64" i="3"/>
  <c r="AB65" i="3"/>
  <c r="F88" i="3"/>
  <c r="W65" i="3"/>
  <c r="AA64" i="3"/>
  <c r="AI65" i="3"/>
  <c r="AF65" i="3"/>
  <c r="C88" i="3"/>
  <c r="AH65" i="3"/>
  <c r="Y64" i="3"/>
  <c r="G64" i="3"/>
  <c r="H64" i="3"/>
  <c r="L64" i="3"/>
  <c r="L65" i="3"/>
  <c r="N65" i="3"/>
  <c r="M65" i="3"/>
  <c r="AF64" i="3"/>
  <c r="G65" i="3"/>
  <c r="U65" i="3"/>
  <c r="K64" i="3"/>
  <c r="T64" i="3"/>
  <c r="AJ65" i="3"/>
  <c r="K65" i="3"/>
  <c r="Q65" i="3"/>
  <c r="O64" i="3"/>
  <c r="AB64" i="3"/>
  <c r="AD65" i="3"/>
  <c r="AD64" i="3"/>
  <c r="M64" i="3"/>
  <c r="Z64" i="3"/>
  <c r="F123" i="3"/>
  <c r="I123" i="3"/>
  <c r="H123" i="3"/>
  <c r="K123" i="3"/>
  <c r="K122" i="3"/>
  <c r="J122" i="3"/>
  <c r="M122" i="3"/>
  <c r="P122" i="3"/>
  <c r="Z123" i="3"/>
  <c r="AB123" i="3"/>
  <c r="AE122" i="3"/>
  <c r="AG122" i="3"/>
  <c r="U123" i="3"/>
  <c r="W123" i="3"/>
  <c r="V122" i="3"/>
  <c r="AB122" i="3"/>
  <c r="AI123" i="3"/>
  <c r="Y123" i="3"/>
  <c r="AA123" i="3"/>
  <c r="Z122" i="3"/>
  <c r="AF122" i="3"/>
  <c r="AE123" i="3"/>
  <c r="R123" i="3"/>
  <c r="W122" i="3"/>
  <c r="AJ123" i="3"/>
  <c r="V123" i="3"/>
  <c r="X123" i="3"/>
  <c r="AA122" i="3"/>
  <c r="AC122" i="3"/>
  <c r="AC123" i="3"/>
  <c r="AD122" i="3"/>
  <c r="T123" i="3"/>
  <c r="Y122" i="3"/>
  <c r="AD123" i="3"/>
  <c r="AG123" i="3"/>
  <c r="AF123" i="3"/>
  <c r="C142" i="3"/>
  <c r="Z142" i="3"/>
  <c r="AH122" i="3"/>
  <c r="H122" i="3"/>
  <c r="J123" i="3"/>
  <c r="L123" i="3"/>
  <c r="O122" i="3"/>
  <c r="Q122" i="3"/>
  <c r="AH123" i="3"/>
  <c r="G123" i="3"/>
  <c r="F122" i="3"/>
  <c r="L122" i="3"/>
  <c r="AI122" i="3"/>
  <c r="N123" i="3"/>
  <c r="Q123" i="3"/>
  <c r="P123" i="3"/>
  <c r="S123" i="3"/>
  <c r="S122" i="3"/>
  <c r="R122" i="3"/>
  <c r="U122" i="3"/>
  <c r="X122" i="3"/>
  <c r="M123" i="3"/>
  <c r="O123" i="3"/>
  <c r="N122" i="3"/>
  <c r="T122" i="3"/>
  <c r="F142" i="3"/>
  <c r="G122" i="3"/>
  <c r="I122" i="3"/>
  <c r="AJ122" i="3"/>
  <c r="AD119" i="3"/>
  <c r="L119" i="3"/>
  <c r="U119" i="3"/>
  <c r="R119" i="3"/>
  <c r="Q119" i="3"/>
  <c r="AA119" i="3"/>
  <c r="G118" i="3"/>
  <c r="F118" i="3"/>
  <c r="I118" i="3"/>
  <c r="L118" i="3"/>
  <c r="S118" i="3"/>
  <c r="U118" i="3"/>
  <c r="K118" i="3"/>
  <c r="M118" i="3"/>
  <c r="AI119" i="3"/>
  <c r="N119" i="3"/>
  <c r="AG119" i="3"/>
  <c r="X119" i="3"/>
  <c r="T119" i="3"/>
  <c r="V118" i="3"/>
  <c r="AB118" i="3"/>
  <c r="X118" i="3"/>
  <c r="P118" i="3"/>
  <c r="S119" i="3"/>
  <c r="O119" i="3"/>
  <c r="C140" i="3"/>
  <c r="W118" i="3"/>
  <c r="Y118" i="3"/>
  <c r="R118" i="3"/>
  <c r="J118" i="3"/>
  <c r="AJ119" i="3"/>
  <c r="F119" i="3"/>
  <c r="H119" i="3"/>
  <c r="W119" i="3"/>
  <c r="AF119" i="3"/>
  <c r="Z119" i="3"/>
  <c r="G119" i="3"/>
  <c r="P119" i="3"/>
  <c r="AE119" i="3"/>
  <c r="AE118" i="3"/>
  <c r="AD118" i="3"/>
  <c r="AG118" i="3"/>
  <c r="F140" i="3"/>
  <c r="AH118" i="3"/>
  <c r="Y119" i="3"/>
  <c r="Z118" i="3"/>
  <c r="AF118" i="3"/>
  <c r="AJ118" i="3"/>
  <c r="AH119" i="3"/>
  <c r="V119" i="3"/>
  <c r="AC119" i="3"/>
  <c r="K119" i="3"/>
  <c r="J119" i="3"/>
  <c r="M119" i="3"/>
  <c r="AB119" i="3"/>
  <c r="I119" i="3"/>
  <c r="O118" i="3"/>
  <c r="N118" i="3"/>
  <c r="Q118" i="3"/>
  <c r="T118" i="3"/>
  <c r="Z140" i="3"/>
  <c r="H118" i="3"/>
  <c r="AA118" i="3"/>
  <c r="AC118" i="3"/>
  <c r="AI118" i="3"/>
  <c r="Q129" i="3"/>
  <c r="S129" i="3"/>
  <c r="AF129" i="3"/>
  <c r="F129" i="3"/>
  <c r="X128" i="3"/>
  <c r="O128" i="3"/>
  <c r="Z129" i="3"/>
  <c r="Z128" i="3"/>
  <c r="W129" i="3"/>
  <c r="N129" i="3"/>
  <c r="S128" i="3"/>
  <c r="AD128" i="3"/>
  <c r="AE129" i="3"/>
  <c r="AD129" i="3"/>
  <c r="AA128" i="3"/>
  <c r="AI129" i="3"/>
  <c r="AJ128" i="3"/>
  <c r="AG129" i="3"/>
  <c r="U128" i="3"/>
  <c r="T129" i="3"/>
  <c r="J128" i="3"/>
  <c r="I128" i="3"/>
  <c r="AH129" i="3"/>
  <c r="Q128" i="3"/>
  <c r="F128" i="3"/>
  <c r="C145" i="3"/>
  <c r="H128" i="3"/>
  <c r="AE128" i="3"/>
  <c r="U129" i="3"/>
  <c r="AB128" i="3"/>
  <c r="AC129" i="3"/>
  <c r="L129" i="3"/>
  <c r="AI128" i="3"/>
  <c r="I129" i="3"/>
  <c r="K129" i="3"/>
  <c r="P129" i="3"/>
  <c r="AC128" i="3"/>
  <c r="P128" i="3"/>
  <c r="G128" i="3"/>
  <c r="J129" i="3"/>
  <c r="R128" i="3"/>
  <c r="G129" i="3"/>
  <c r="Y128" i="3"/>
  <c r="AB129" i="3"/>
  <c r="N128" i="3"/>
  <c r="O129" i="3"/>
  <c r="AG128" i="3"/>
  <c r="K128" i="3"/>
  <c r="V128" i="3"/>
  <c r="Y129" i="3"/>
  <c r="AA129" i="3"/>
  <c r="M128" i="3"/>
  <c r="V129" i="3"/>
  <c r="AF128" i="3"/>
  <c r="W128" i="3"/>
  <c r="F145" i="3"/>
  <c r="AH128" i="3"/>
  <c r="H129" i="3"/>
  <c r="L128" i="3"/>
  <c r="Z145" i="3"/>
  <c r="M129" i="3"/>
  <c r="X129" i="3"/>
  <c r="T128" i="3"/>
  <c r="R129" i="3"/>
  <c r="AJ129" i="3"/>
  <c r="S127" i="3"/>
  <c r="R127" i="3"/>
  <c r="AH127" i="3"/>
  <c r="U127" i="3"/>
  <c r="T127" i="3"/>
  <c r="AC127" i="3"/>
  <c r="S126" i="3"/>
  <c r="Z144" i="3"/>
  <c r="N126" i="3"/>
  <c r="AD126" i="3"/>
  <c r="F144" i="3"/>
  <c r="U126" i="3"/>
  <c r="W127" i="3"/>
  <c r="L126" i="3"/>
  <c r="AB126" i="3"/>
  <c r="N127" i="3"/>
  <c r="Q127" i="3"/>
  <c r="AF127" i="3"/>
  <c r="AE126" i="3"/>
  <c r="Z126" i="3"/>
  <c r="Q126" i="3"/>
  <c r="H126" i="3"/>
  <c r="G127" i="3"/>
  <c r="V127" i="3"/>
  <c r="H127" i="3"/>
  <c r="G126" i="3"/>
  <c r="AA127" i="3"/>
  <c r="AH126" i="3"/>
  <c r="Y126" i="3"/>
  <c r="P126" i="3"/>
  <c r="AI127" i="3"/>
  <c r="AJ127" i="3"/>
  <c r="K127" i="3"/>
  <c r="Z127" i="3"/>
  <c r="L127" i="3"/>
  <c r="K126" i="3"/>
  <c r="F126" i="3"/>
  <c r="Y127" i="3"/>
  <c r="AC126" i="3"/>
  <c r="T126" i="3"/>
  <c r="AD127" i="3"/>
  <c r="O126" i="3"/>
  <c r="AG127" i="3"/>
  <c r="X126" i="3"/>
  <c r="I127" i="3"/>
  <c r="W126" i="3"/>
  <c r="I126" i="3"/>
  <c r="AF126" i="3"/>
  <c r="AJ126" i="3"/>
  <c r="J127" i="3"/>
  <c r="M127" i="3"/>
  <c r="AB127" i="3"/>
  <c r="AA126" i="3"/>
  <c r="V126" i="3"/>
  <c r="M126" i="3"/>
  <c r="C144" i="3"/>
  <c r="O127" i="3"/>
  <c r="P127" i="3"/>
  <c r="J126" i="3"/>
  <c r="AG126" i="3"/>
  <c r="F127" i="3"/>
  <c r="X127" i="3"/>
  <c r="R126" i="3"/>
  <c r="AE127" i="3"/>
  <c r="AI126" i="3"/>
  <c r="F79" i="3"/>
  <c r="V79" i="3"/>
  <c r="I79" i="3"/>
  <c r="Y79" i="3"/>
  <c r="H79" i="3"/>
  <c r="G79" i="3"/>
  <c r="C95" i="3"/>
  <c r="K79" i="3"/>
  <c r="M78" i="3"/>
  <c r="AC78" i="3"/>
  <c r="P78" i="3"/>
  <c r="AF78" i="3"/>
  <c r="S78" i="3"/>
  <c r="Z95" i="3"/>
  <c r="R78" i="3"/>
  <c r="J79" i="3"/>
  <c r="Z79" i="3"/>
  <c r="U79" i="3"/>
  <c r="F95" i="3"/>
  <c r="AF79" i="3"/>
  <c r="AE79" i="3"/>
  <c r="AB79" i="3"/>
  <c r="I78" i="3"/>
  <c r="Y78" i="3"/>
  <c r="L78" i="3"/>
  <c r="AB78" i="3"/>
  <c r="O78" i="3"/>
  <c r="AE78" i="3"/>
  <c r="N78" i="3"/>
  <c r="AD78" i="3"/>
  <c r="AI79" i="3"/>
  <c r="AJ79" i="3"/>
  <c r="N79" i="3"/>
  <c r="Q79" i="3"/>
  <c r="X79" i="3"/>
  <c r="T79" i="3"/>
  <c r="U78" i="3"/>
  <c r="X78" i="3"/>
  <c r="AA78" i="3"/>
  <c r="Z78" i="3"/>
  <c r="M79" i="3"/>
  <c r="P79" i="3"/>
  <c r="L79" i="3"/>
  <c r="Q78" i="3"/>
  <c r="T78" i="3"/>
  <c r="W78" i="3"/>
  <c r="V78" i="3"/>
  <c r="AJ78" i="3"/>
  <c r="AD79" i="3"/>
  <c r="AG79" i="3"/>
  <c r="W79" i="3"/>
  <c r="AA79" i="3"/>
  <c r="H78" i="3"/>
  <c r="K78" i="3"/>
  <c r="J78" i="3"/>
  <c r="R79" i="3"/>
  <c r="AC79" i="3"/>
  <c r="O79" i="3"/>
  <c r="S79" i="3"/>
  <c r="AG78" i="3"/>
  <c r="G78" i="3"/>
  <c r="F78" i="3"/>
  <c r="AI78" i="3"/>
  <c r="AH79" i="3"/>
  <c r="AH78" i="3"/>
  <c r="I117" i="3"/>
  <c r="W117" i="3"/>
  <c r="AA117" i="3"/>
  <c r="I116" i="3"/>
  <c r="L116" i="3"/>
  <c r="O116" i="3"/>
  <c r="N116" i="3"/>
  <c r="X117" i="3"/>
  <c r="K117" i="3"/>
  <c r="AC116" i="3"/>
  <c r="Z139" i="3"/>
  <c r="AF117" i="3"/>
  <c r="V117" i="3"/>
  <c r="H116" i="3"/>
  <c r="J116" i="3"/>
  <c r="AI116" i="3"/>
  <c r="M117" i="3"/>
  <c r="AE117" i="3"/>
  <c r="G116" i="3"/>
  <c r="H117" i="3"/>
  <c r="M116" i="3"/>
  <c r="P117" i="3"/>
  <c r="U116" i="3"/>
  <c r="AJ116" i="3"/>
  <c r="J117" i="3"/>
  <c r="V116" i="3"/>
  <c r="R116" i="3"/>
  <c r="Z116" i="3"/>
  <c r="AH117" i="3"/>
  <c r="W116" i="3"/>
  <c r="P116" i="3"/>
  <c r="X116" i="3"/>
  <c r="T117" i="3"/>
  <c r="AD117" i="3"/>
  <c r="F117" i="3"/>
  <c r="U117" i="3"/>
  <c r="Y116" i="3"/>
  <c r="AB116" i="3"/>
  <c r="AE116" i="3"/>
  <c r="AD116" i="3"/>
  <c r="G117" i="3"/>
  <c r="Z117" i="3"/>
  <c r="AF116" i="3"/>
  <c r="AH116" i="3"/>
  <c r="R117" i="3"/>
  <c r="F139" i="3"/>
  <c r="K116" i="3"/>
  <c r="AI117" i="3"/>
  <c r="AB117" i="3"/>
  <c r="Q117" i="3"/>
  <c r="AG116" i="3"/>
  <c r="F116" i="3"/>
  <c r="AC117" i="3"/>
  <c r="S116" i="3"/>
  <c r="C139" i="3"/>
  <c r="AA116" i="3"/>
  <c r="S117" i="3"/>
  <c r="T116" i="3"/>
  <c r="AG117" i="3"/>
  <c r="O117" i="3"/>
  <c r="L117" i="3"/>
  <c r="Q116" i="3"/>
  <c r="N117" i="3"/>
  <c r="Y117" i="3"/>
  <c r="AJ117" i="3"/>
  <c r="AE131" i="3"/>
  <c r="AG131" i="3"/>
  <c r="O130" i="3"/>
  <c r="X131" i="3"/>
  <c r="AD130" i="3"/>
  <c r="Q130" i="3"/>
  <c r="H130" i="3"/>
  <c r="G131" i="3"/>
  <c r="M131" i="3"/>
  <c r="R131" i="3"/>
  <c r="AA130" i="3"/>
  <c r="J130" i="3"/>
  <c r="N131" i="3"/>
  <c r="AC130" i="3"/>
  <c r="T130" i="3"/>
  <c r="AJ130" i="3"/>
  <c r="Y131" i="3"/>
  <c r="H131" i="3"/>
  <c r="I130" i="3"/>
  <c r="AF130" i="3"/>
  <c r="F146" i="3"/>
  <c r="AF131" i="3"/>
  <c r="U130" i="3"/>
  <c r="AI130" i="3"/>
  <c r="J131" i="3"/>
  <c r="Y130" i="3"/>
  <c r="AH131" i="3"/>
  <c r="L131" i="3"/>
  <c r="I131" i="3"/>
  <c r="F131" i="3"/>
  <c r="U131" i="3"/>
  <c r="AD131" i="3"/>
  <c r="O131" i="3"/>
  <c r="Q131" i="3"/>
  <c r="Z131" i="3"/>
  <c r="AE130" i="3"/>
  <c r="N130" i="3"/>
  <c r="V131" i="3"/>
  <c r="AG130" i="3"/>
  <c r="X130" i="3"/>
  <c r="AA131" i="3"/>
  <c r="AC131" i="3"/>
  <c r="K130" i="3"/>
  <c r="P131" i="3"/>
  <c r="Z130" i="3"/>
  <c r="M130" i="3"/>
  <c r="AB131" i="3"/>
  <c r="AI131" i="3"/>
  <c r="W131" i="3"/>
  <c r="G130" i="3"/>
  <c r="V130" i="3"/>
  <c r="T131" i="3"/>
  <c r="C146" i="3"/>
  <c r="S130" i="3"/>
  <c r="AH130" i="3"/>
  <c r="L130" i="3"/>
  <c r="K131" i="3"/>
  <c r="F130" i="3"/>
  <c r="S131" i="3"/>
  <c r="R130" i="3"/>
  <c r="AJ131" i="3"/>
  <c r="W130" i="3"/>
  <c r="P130" i="3"/>
  <c r="Z146" i="3"/>
  <c r="AB130" i="3"/>
  <c r="H121" i="3"/>
  <c r="R121" i="3"/>
  <c r="V121" i="3"/>
  <c r="Y121" i="3"/>
  <c r="AC120" i="3"/>
  <c r="AF120" i="3"/>
  <c r="Z141" i="3"/>
  <c r="AH120" i="3"/>
  <c r="X121" i="3"/>
  <c r="AE121" i="3"/>
  <c r="AH121" i="3"/>
  <c r="I120" i="3"/>
  <c r="L120" i="3"/>
  <c r="O120" i="3"/>
  <c r="N120" i="3"/>
  <c r="AI120" i="3"/>
  <c r="S121" i="3"/>
  <c r="AD121" i="3"/>
  <c r="H120" i="3"/>
  <c r="J120" i="3"/>
  <c r="AF121" i="3"/>
  <c r="J121" i="3"/>
  <c r="T120" i="3"/>
  <c r="V120" i="3"/>
  <c r="Q121" i="3"/>
  <c r="K121" i="3"/>
  <c r="U120" i="3"/>
  <c r="AA120" i="3"/>
  <c r="N121" i="3"/>
  <c r="Z121" i="3"/>
  <c r="AG120" i="3"/>
  <c r="F120" i="3"/>
  <c r="I121" i="3"/>
  <c r="AB121" i="3"/>
  <c r="C141" i="3"/>
  <c r="F141" i="3"/>
  <c r="M120" i="3"/>
  <c r="P120" i="3"/>
  <c r="S120" i="3"/>
  <c r="R120" i="3"/>
  <c r="U121" i="3"/>
  <c r="L121" i="3"/>
  <c r="P121" i="3"/>
  <c r="T121" i="3"/>
  <c r="Y120" i="3"/>
  <c r="AB120" i="3"/>
  <c r="AE120" i="3"/>
  <c r="AD120" i="3"/>
  <c r="AJ121" i="3"/>
  <c r="AA121" i="3"/>
  <c r="AG121" i="3"/>
  <c r="K120" i="3"/>
  <c r="M121" i="3"/>
  <c r="F121" i="3"/>
  <c r="Q120" i="3"/>
  <c r="W120" i="3"/>
  <c r="AJ120" i="3"/>
  <c r="G121" i="3"/>
  <c r="O121" i="3"/>
  <c r="X120" i="3"/>
  <c r="Z120" i="3"/>
  <c r="W121" i="3"/>
  <c r="AC121" i="3"/>
  <c r="G120" i="3"/>
  <c r="AI121" i="3"/>
  <c r="AF113" i="3"/>
  <c r="C137" i="3"/>
  <c r="J113" i="3"/>
  <c r="AG113" i="3"/>
  <c r="H112" i="3"/>
  <c r="K112" i="3"/>
  <c r="J112" i="3"/>
  <c r="T113" i="3"/>
  <c r="M113" i="3"/>
  <c r="Y112" i="3"/>
  <c r="AE112" i="3"/>
  <c r="AB113" i="3"/>
  <c r="AC113" i="3"/>
  <c r="AG112" i="3"/>
  <c r="F112" i="3"/>
  <c r="AI112" i="3"/>
  <c r="K113" i="3"/>
  <c r="Z113" i="3"/>
  <c r="P112" i="3"/>
  <c r="R112" i="3"/>
  <c r="R113" i="3"/>
  <c r="N112" i="3"/>
  <c r="AH113" i="3"/>
  <c r="V112" i="3"/>
  <c r="AA113" i="3"/>
  <c r="AF112" i="3"/>
  <c r="I112" i="3"/>
  <c r="Q112" i="3"/>
  <c r="X113" i="3"/>
  <c r="AC112" i="3"/>
  <c r="F113" i="3"/>
  <c r="V113" i="3"/>
  <c r="P113" i="3"/>
  <c r="S113" i="3"/>
  <c r="AD113" i="3"/>
  <c r="F137" i="3"/>
  <c r="U112" i="3"/>
  <c r="X112" i="3"/>
  <c r="AA112" i="3"/>
  <c r="Z112" i="3"/>
  <c r="W113" i="3"/>
  <c r="I113" i="3"/>
  <c r="AB112" i="3"/>
  <c r="AD112" i="3"/>
  <c r="AE113" i="3"/>
  <c r="Y113" i="3"/>
  <c r="G112" i="3"/>
  <c r="AI113" i="3"/>
  <c r="H113" i="3"/>
  <c r="N113" i="3"/>
  <c r="M112" i="3"/>
  <c r="S112" i="3"/>
  <c r="G113" i="3"/>
  <c r="L112" i="3"/>
  <c r="O113" i="3"/>
  <c r="T112" i="3"/>
  <c r="AJ113" i="3"/>
  <c r="Q113" i="3"/>
  <c r="AH112" i="3"/>
  <c r="L113" i="3"/>
  <c r="AJ112" i="3"/>
  <c r="U113" i="3"/>
  <c r="Z137" i="3"/>
  <c r="O112" i="3"/>
  <c r="W112" i="3"/>
  <c r="AC125" i="3"/>
  <c r="AF125" i="3"/>
  <c r="C143" i="3"/>
  <c r="AH125" i="3"/>
  <c r="AG124" i="3"/>
  <c r="G124" i="3"/>
  <c r="F124" i="3"/>
  <c r="I125" i="3"/>
  <c r="L125" i="3"/>
  <c r="O125" i="3"/>
  <c r="N125" i="3"/>
  <c r="M124" i="3"/>
  <c r="P124" i="3"/>
  <c r="S124" i="3"/>
  <c r="R124" i="3"/>
  <c r="AI124" i="3"/>
  <c r="U125" i="3"/>
  <c r="AA125" i="3"/>
  <c r="Y124" i="3"/>
  <c r="AE124" i="3"/>
  <c r="AG125" i="3"/>
  <c r="F125" i="3"/>
  <c r="H124" i="3"/>
  <c r="J124" i="3"/>
  <c r="H125" i="3"/>
  <c r="L124" i="3"/>
  <c r="T125" i="3"/>
  <c r="X124" i="3"/>
  <c r="K125" i="3"/>
  <c r="O124" i="3"/>
  <c r="W125" i="3"/>
  <c r="AA124" i="3"/>
  <c r="M125" i="3"/>
  <c r="P125" i="3"/>
  <c r="S125" i="3"/>
  <c r="R125" i="3"/>
  <c r="Q124" i="3"/>
  <c r="T124" i="3"/>
  <c r="W124" i="3"/>
  <c r="V124" i="3"/>
  <c r="Y125" i="3"/>
  <c r="AB125" i="3"/>
  <c r="AE125" i="3"/>
  <c r="AD125" i="3"/>
  <c r="AC124" i="3"/>
  <c r="AF124" i="3"/>
  <c r="Z143" i="3"/>
  <c r="AH124" i="3"/>
  <c r="AJ124" i="3"/>
  <c r="X125" i="3"/>
  <c r="Z125" i="3"/>
  <c r="AB124" i="3"/>
  <c r="AD124" i="3"/>
  <c r="G125" i="3"/>
  <c r="F143" i="3"/>
  <c r="K124" i="3"/>
  <c r="AI125" i="3"/>
  <c r="J125" i="3"/>
  <c r="N124" i="3"/>
  <c r="V125" i="3"/>
  <c r="Z124" i="3"/>
  <c r="I124" i="3"/>
  <c r="Q125" i="3"/>
  <c r="U124" i="3"/>
  <c r="AJ125" i="3"/>
  <c r="AB19" i="3"/>
  <c r="AE19" i="3"/>
  <c r="AD19" i="3"/>
  <c r="M18" i="3"/>
  <c r="AG19" i="3"/>
  <c r="Z40" i="3"/>
  <c r="AD18" i="3"/>
  <c r="H19" i="3"/>
  <c r="K19" i="3"/>
  <c r="J19" i="3"/>
  <c r="AC19" i="3"/>
  <c r="Y18" i="3"/>
  <c r="O18" i="3"/>
  <c r="X18" i="3"/>
  <c r="AB18" i="3"/>
  <c r="AI19" i="3"/>
  <c r="T19" i="3"/>
  <c r="V19" i="3"/>
  <c r="U19" i="3"/>
  <c r="N18" i="3"/>
  <c r="AF19" i="3"/>
  <c r="AH19" i="3"/>
  <c r="G18" i="3"/>
  <c r="L18" i="3"/>
  <c r="F19" i="3"/>
  <c r="P18" i="3"/>
  <c r="R19" i="3"/>
  <c r="F18" i="3"/>
  <c r="G19" i="3"/>
  <c r="K18" i="3"/>
  <c r="S19" i="3"/>
  <c r="W18" i="3"/>
  <c r="L19" i="3"/>
  <c r="O19" i="3"/>
  <c r="N19" i="3"/>
  <c r="I19" i="3"/>
  <c r="AC18" i="3"/>
  <c r="S18" i="3"/>
  <c r="AF18" i="3"/>
  <c r="J18" i="3"/>
  <c r="X19" i="3"/>
  <c r="AA19" i="3"/>
  <c r="Z19" i="3"/>
  <c r="I18" i="3"/>
  <c r="Q19" i="3"/>
  <c r="AE18" i="3"/>
  <c r="V18" i="3"/>
  <c r="AH18" i="3"/>
  <c r="AJ19" i="3"/>
  <c r="W19" i="3"/>
  <c r="F40" i="3"/>
  <c r="AA18" i="3"/>
  <c r="Z18" i="3"/>
  <c r="C40" i="3"/>
  <c r="Q18" i="3"/>
  <c r="H18" i="3"/>
  <c r="AI18" i="3"/>
  <c r="U18" i="3"/>
  <c r="P19" i="3"/>
  <c r="AG18" i="3"/>
  <c r="AJ18" i="3"/>
  <c r="M19" i="3"/>
  <c r="T18" i="3"/>
  <c r="Y19" i="3"/>
  <c r="R18" i="3"/>
  <c r="AH31" i="3"/>
  <c r="F46" i="3"/>
  <c r="O31" i="3"/>
  <c r="Y30" i="3"/>
  <c r="K30" i="3"/>
  <c r="T30" i="3"/>
  <c r="X30" i="3"/>
  <c r="N31" i="3"/>
  <c r="Q31" i="3"/>
  <c r="P31" i="3"/>
  <c r="AA31" i="3"/>
  <c r="G31" i="3"/>
  <c r="W30" i="3"/>
  <c r="R30" i="3"/>
  <c r="N30" i="3"/>
  <c r="AJ31" i="3"/>
  <c r="AC31" i="3"/>
  <c r="Q30" i="3"/>
  <c r="Z46" i="3"/>
  <c r="F31" i="3"/>
  <c r="H31" i="3"/>
  <c r="AC30" i="3"/>
  <c r="AB30" i="3"/>
  <c r="AJ30" i="3"/>
  <c r="M31" i="3"/>
  <c r="K31" i="3"/>
  <c r="S30" i="3"/>
  <c r="F30" i="3"/>
  <c r="Y31" i="3"/>
  <c r="M30" i="3"/>
  <c r="AD30" i="3"/>
  <c r="AH30" i="3"/>
  <c r="R31" i="3"/>
  <c r="U31" i="3"/>
  <c r="T31" i="3"/>
  <c r="I30" i="3"/>
  <c r="W31" i="3"/>
  <c r="AA30" i="3"/>
  <c r="Z30" i="3"/>
  <c r="V30" i="3"/>
  <c r="AD31" i="3"/>
  <c r="AG31" i="3"/>
  <c r="AF31" i="3"/>
  <c r="U30" i="3"/>
  <c r="G30" i="3"/>
  <c r="L30" i="3"/>
  <c r="P30" i="3"/>
  <c r="AI31" i="3"/>
  <c r="Z31" i="3"/>
  <c r="AB31" i="3"/>
  <c r="S31" i="3"/>
  <c r="H30" i="3"/>
  <c r="I31" i="3"/>
  <c r="AE31" i="3"/>
  <c r="O30" i="3"/>
  <c r="AF30" i="3"/>
  <c r="J31" i="3"/>
  <c r="L31" i="3"/>
  <c r="AG30" i="3"/>
  <c r="J30" i="3"/>
  <c r="V31" i="3"/>
  <c r="X31" i="3"/>
  <c r="AE30" i="3"/>
  <c r="C46" i="3"/>
  <c r="AI30" i="3"/>
  <c r="H25" i="3"/>
  <c r="AD25" i="3"/>
  <c r="M24" i="3"/>
  <c r="V24" i="3"/>
  <c r="AG24" i="3"/>
  <c r="G24" i="3"/>
  <c r="T24" i="3"/>
  <c r="AD24" i="3"/>
  <c r="K25" i="3"/>
  <c r="Z24" i="3"/>
  <c r="T25" i="3"/>
  <c r="J25" i="3"/>
  <c r="I25" i="3"/>
  <c r="AA24" i="3"/>
  <c r="AB25" i="3"/>
  <c r="Y24" i="3"/>
  <c r="AI25" i="3"/>
  <c r="AG25" i="3"/>
  <c r="AF25" i="3"/>
  <c r="C43" i="3"/>
  <c r="S24" i="3"/>
  <c r="AH25" i="3"/>
  <c r="J24" i="3"/>
  <c r="F24" i="3"/>
  <c r="AC25" i="3"/>
  <c r="R25" i="3"/>
  <c r="F43" i="3"/>
  <c r="N25" i="3"/>
  <c r="I24" i="3"/>
  <c r="N24" i="3"/>
  <c r="O25" i="3"/>
  <c r="AH24" i="3"/>
  <c r="AI24" i="3"/>
  <c r="X25" i="3"/>
  <c r="K24" i="3"/>
  <c r="AC24" i="3"/>
  <c r="AB24" i="3"/>
  <c r="U25" i="3"/>
  <c r="F25" i="3"/>
  <c r="L25" i="3"/>
  <c r="AJ25" i="3"/>
  <c r="Q25" i="3"/>
  <c r="P25" i="3"/>
  <c r="S25" i="3"/>
  <c r="Z25" i="3"/>
  <c r="Z43" i="3"/>
  <c r="U24" i="3"/>
  <c r="H24" i="3"/>
  <c r="L24" i="3"/>
  <c r="AE25" i="3"/>
  <c r="AF24" i="3"/>
  <c r="G25" i="3"/>
  <c r="W24" i="3"/>
  <c r="R24" i="3"/>
  <c r="M25" i="3"/>
  <c r="AE24" i="3"/>
  <c r="AJ24" i="3"/>
  <c r="Y25" i="3"/>
  <c r="AA25" i="3"/>
  <c r="V25" i="3"/>
  <c r="X24" i="3"/>
  <c r="O24" i="3"/>
  <c r="W25" i="3"/>
  <c r="P24" i="3"/>
  <c r="Q24" i="3"/>
  <c r="AA29" i="3"/>
  <c r="Z29" i="3"/>
  <c r="AC29" i="3"/>
  <c r="O28" i="3"/>
  <c r="H29" i="3"/>
  <c r="AG28" i="3"/>
  <c r="J28" i="3"/>
  <c r="G29" i="3"/>
  <c r="F29" i="3"/>
  <c r="I29" i="3"/>
  <c r="T29" i="3"/>
  <c r="AA28" i="3"/>
  <c r="M28" i="3"/>
  <c r="V28" i="3"/>
  <c r="AH28" i="3"/>
  <c r="AI28" i="3"/>
  <c r="J29" i="3"/>
  <c r="P29" i="3"/>
  <c r="Q28" i="3"/>
  <c r="H28" i="3"/>
  <c r="V29" i="3"/>
  <c r="K28" i="3"/>
  <c r="AC28" i="3"/>
  <c r="AF28" i="3"/>
  <c r="K29" i="3"/>
  <c r="M29" i="3"/>
  <c r="AE28" i="3"/>
  <c r="AD28" i="3"/>
  <c r="W29" i="3"/>
  <c r="Y29" i="3"/>
  <c r="AB29" i="3"/>
  <c r="AB28" i="3"/>
  <c r="AJ28" i="3"/>
  <c r="C45" i="3"/>
  <c r="AH29" i="3"/>
  <c r="F45" i="3"/>
  <c r="W28" i="3"/>
  <c r="I28" i="3"/>
  <c r="N28" i="3"/>
  <c r="Z28" i="3"/>
  <c r="O29" i="3"/>
  <c r="N29" i="3"/>
  <c r="Q29" i="3"/>
  <c r="AF29" i="3"/>
  <c r="Z45" i="3"/>
  <c r="U28" i="3"/>
  <c r="L28" i="3"/>
  <c r="P28" i="3"/>
  <c r="AI29" i="3"/>
  <c r="S29" i="3"/>
  <c r="R29" i="3"/>
  <c r="U29" i="3"/>
  <c r="G28" i="3"/>
  <c r="L29" i="3"/>
  <c r="Y28" i="3"/>
  <c r="T28" i="3"/>
  <c r="X28" i="3"/>
  <c r="AE29" i="3"/>
  <c r="AD29" i="3"/>
  <c r="AG29" i="3"/>
  <c r="S28" i="3"/>
  <c r="X29" i="3"/>
  <c r="F28" i="3"/>
  <c r="R28" i="3"/>
  <c r="AJ29" i="3"/>
  <c r="W67" i="3"/>
  <c r="V67" i="3"/>
  <c r="U67" i="3"/>
  <c r="G67" i="3"/>
  <c r="F89" i="3"/>
  <c r="S67" i="3"/>
  <c r="R67" i="3"/>
  <c r="Q67" i="3"/>
  <c r="AB67" i="3"/>
  <c r="Z89" i="3"/>
  <c r="Y66" i="3"/>
  <c r="T66" i="3"/>
  <c r="X66" i="3"/>
  <c r="M66" i="3"/>
  <c r="AH66" i="3"/>
  <c r="AE66" i="3"/>
  <c r="L66" i="3"/>
  <c r="AI66" i="3"/>
  <c r="F67" i="3"/>
  <c r="P67" i="3"/>
  <c r="C89" i="3"/>
  <c r="AH67" i="3"/>
  <c r="AG67" i="3"/>
  <c r="S66" i="3"/>
  <c r="I66" i="3"/>
  <c r="N66" i="3"/>
  <c r="Z66" i="3"/>
  <c r="W66" i="3"/>
  <c r="V66" i="3"/>
  <c r="L67" i="3"/>
  <c r="U66" i="3"/>
  <c r="P66" i="3"/>
  <c r="AJ66" i="3"/>
  <c r="AE67" i="3"/>
  <c r="AD67" i="3"/>
  <c r="AC67" i="3"/>
  <c r="AA67" i="3"/>
  <c r="Z67" i="3"/>
  <c r="Y67" i="3"/>
  <c r="K66" i="3"/>
  <c r="X67" i="3"/>
  <c r="AG66" i="3"/>
  <c r="J66" i="3"/>
  <c r="G66" i="3"/>
  <c r="AC66" i="3"/>
  <c r="AF66" i="3"/>
  <c r="T67" i="3"/>
  <c r="R66" i="3"/>
  <c r="AJ67" i="3"/>
  <c r="O67" i="3"/>
  <c r="N67" i="3"/>
  <c r="M67" i="3"/>
  <c r="K67" i="3"/>
  <c r="J67" i="3"/>
  <c r="I67" i="3"/>
  <c r="AF67" i="3"/>
  <c r="AA66" i="3"/>
  <c r="Q66" i="3"/>
  <c r="AD66" i="3"/>
  <c r="H66" i="3"/>
  <c r="H67" i="3"/>
  <c r="AB66" i="3"/>
  <c r="O66" i="3"/>
  <c r="F66" i="3"/>
  <c r="AI67" i="3"/>
  <c r="Z15" i="3"/>
  <c r="AC15" i="3"/>
  <c r="AB15" i="3"/>
  <c r="Q14" i="3"/>
  <c r="AA15" i="3"/>
  <c r="Z38" i="3"/>
  <c r="H14" i="3"/>
  <c r="F15" i="3"/>
  <c r="I15" i="3"/>
  <c r="H15" i="3"/>
  <c r="W15" i="3"/>
  <c r="AC14" i="3"/>
  <c r="O14" i="3"/>
  <c r="AB14" i="3"/>
  <c r="AF14" i="3"/>
  <c r="AI14" i="3"/>
  <c r="M15" i="3"/>
  <c r="C38" i="3"/>
  <c r="S14" i="3"/>
  <c r="F14" i="3"/>
  <c r="Y15" i="3"/>
  <c r="M14" i="3"/>
  <c r="AE14" i="3"/>
  <c r="AD14" i="3"/>
  <c r="J15" i="3"/>
  <c r="L15" i="3"/>
  <c r="AG14" i="3"/>
  <c r="J14" i="3"/>
  <c r="V15" i="3"/>
  <c r="X15" i="3"/>
  <c r="K15" i="3"/>
  <c r="AH14" i="3"/>
  <c r="AJ15" i="3"/>
  <c r="AH15" i="3"/>
  <c r="F38" i="3"/>
  <c r="G15" i="3"/>
  <c r="Y14" i="3"/>
  <c r="K14" i="3"/>
  <c r="T14" i="3"/>
  <c r="X14" i="3"/>
  <c r="N15" i="3"/>
  <c r="Q15" i="3"/>
  <c r="P15" i="3"/>
  <c r="S15" i="3"/>
  <c r="O15" i="3"/>
  <c r="W14" i="3"/>
  <c r="R14" i="3"/>
  <c r="N14" i="3"/>
  <c r="AJ14" i="3"/>
  <c r="R15" i="3"/>
  <c r="U15" i="3"/>
  <c r="T15" i="3"/>
  <c r="I14" i="3"/>
  <c r="AE15" i="3"/>
  <c r="AA14" i="3"/>
  <c r="Z14" i="3"/>
  <c r="V14" i="3"/>
  <c r="AD15" i="3"/>
  <c r="AG15" i="3"/>
  <c r="AF15" i="3"/>
  <c r="U14" i="3"/>
  <c r="G14" i="3"/>
  <c r="L14" i="3"/>
  <c r="P14" i="3"/>
  <c r="AI15" i="3"/>
  <c r="N73" i="3"/>
  <c r="Q73" i="3"/>
  <c r="P73" i="3"/>
  <c r="AA73" i="3"/>
  <c r="S72" i="3"/>
  <c r="R72" i="3"/>
  <c r="H72" i="3"/>
  <c r="R73" i="3"/>
  <c r="G72" i="3"/>
  <c r="J73" i="3"/>
  <c r="L73" i="3"/>
  <c r="O72" i="3"/>
  <c r="Q72" i="3"/>
  <c r="U73" i="3"/>
  <c r="Y72" i="3"/>
  <c r="AI72" i="3"/>
  <c r="AD73" i="3"/>
  <c r="AF73" i="3"/>
  <c r="Z92" i="3"/>
  <c r="X72" i="3"/>
  <c r="I72" i="3"/>
  <c r="K73" i="3"/>
  <c r="T72" i="3"/>
  <c r="AI73" i="3"/>
  <c r="AG73" i="3"/>
  <c r="S73" i="3"/>
  <c r="U72" i="3"/>
  <c r="T73" i="3"/>
  <c r="M73" i="3"/>
  <c r="N72" i="3"/>
  <c r="W72" i="3"/>
  <c r="AH72" i="3"/>
  <c r="V73" i="3"/>
  <c r="Y73" i="3"/>
  <c r="X73" i="3"/>
  <c r="G73" i="3"/>
  <c r="AA72" i="3"/>
  <c r="Z72" i="3"/>
  <c r="AC72" i="3"/>
  <c r="AF72" i="3"/>
  <c r="C92" i="3"/>
  <c r="L72" i="3"/>
  <c r="AC73" i="3"/>
  <c r="W73" i="3"/>
  <c r="AD72" i="3"/>
  <c r="AH73" i="3"/>
  <c r="V72" i="3"/>
  <c r="AJ72" i="3"/>
  <c r="F73" i="3"/>
  <c r="I73" i="3"/>
  <c r="H73" i="3"/>
  <c r="AE73" i="3"/>
  <c r="K72" i="3"/>
  <c r="J72" i="3"/>
  <c r="M72" i="3"/>
  <c r="P72" i="3"/>
  <c r="F92" i="3"/>
  <c r="F72" i="3"/>
  <c r="Z73" i="3"/>
  <c r="AB73" i="3"/>
  <c r="AE72" i="3"/>
  <c r="AG72" i="3"/>
  <c r="O73" i="3"/>
  <c r="AB72" i="3"/>
  <c r="AJ73" i="3"/>
  <c r="J23" i="3"/>
  <c r="Z23" i="3"/>
  <c r="M23" i="3"/>
  <c r="AC23" i="3"/>
  <c r="L23" i="3"/>
  <c r="AB23" i="3"/>
  <c r="AE23" i="3"/>
  <c r="U22" i="3"/>
  <c r="K23" i="3"/>
  <c r="C42" i="3"/>
  <c r="S22" i="3"/>
  <c r="Z42" i="3"/>
  <c r="J22" i="3"/>
  <c r="H22" i="3"/>
  <c r="F22" i="3"/>
  <c r="N23" i="3"/>
  <c r="Q23" i="3"/>
  <c r="P23" i="3"/>
  <c r="I22" i="3"/>
  <c r="AA23" i="3"/>
  <c r="W22" i="3"/>
  <c r="R22" i="3"/>
  <c r="N22" i="3"/>
  <c r="V23" i="3"/>
  <c r="Y23" i="3"/>
  <c r="X23" i="3"/>
  <c r="Q22" i="3"/>
  <c r="W23" i="3"/>
  <c r="AE22" i="3"/>
  <c r="AF22" i="3"/>
  <c r="AI22" i="3"/>
  <c r="AJ23" i="3"/>
  <c r="R23" i="3"/>
  <c r="AH23" i="3"/>
  <c r="U23" i="3"/>
  <c r="F42" i="3"/>
  <c r="T23" i="3"/>
  <c r="S23" i="3"/>
  <c r="M22" i="3"/>
  <c r="AC22" i="3"/>
  <c r="G23" i="3"/>
  <c r="K22" i="3"/>
  <c r="AA22" i="3"/>
  <c r="T22" i="3"/>
  <c r="Z22" i="3"/>
  <c r="X22" i="3"/>
  <c r="V22" i="3"/>
  <c r="AD23" i="3"/>
  <c r="AG23" i="3"/>
  <c r="AF23" i="3"/>
  <c r="Y22" i="3"/>
  <c r="G22" i="3"/>
  <c r="L22" i="3"/>
  <c r="P22" i="3"/>
  <c r="F23" i="3"/>
  <c r="I23" i="3"/>
  <c r="H23" i="3"/>
  <c r="O23" i="3"/>
  <c r="AG22" i="3"/>
  <c r="O22" i="3"/>
  <c r="AB22" i="3"/>
  <c r="AD22" i="3"/>
  <c r="AI23" i="3"/>
  <c r="AJ22" i="3"/>
  <c r="AH22" i="3"/>
  <c r="S77" i="3"/>
  <c r="C94" i="3"/>
  <c r="R77" i="3"/>
  <c r="AH77" i="3"/>
  <c r="L77" i="3"/>
  <c r="Q77" i="3"/>
  <c r="H77" i="3"/>
  <c r="G76" i="3"/>
  <c r="W76" i="3"/>
  <c r="F76" i="3"/>
  <c r="V76" i="3"/>
  <c r="I76" i="3"/>
  <c r="W77" i="3"/>
  <c r="V77" i="3"/>
  <c r="T77" i="3"/>
  <c r="P77" i="3"/>
  <c r="AA76" i="3"/>
  <c r="Z76" i="3"/>
  <c r="U76" i="3"/>
  <c r="H76" i="3"/>
  <c r="X76" i="3"/>
  <c r="O77" i="3"/>
  <c r="N77" i="3"/>
  <c r="AC77" i="3"/>
  <c r="F94" i="3"/>
  <c r="S76" i="3"/>
  <c r="R76" i="3"/>
  <c r="Y76" i="3"/>
  <c r="L76" i="3"/>
  <c r="AB76" i="3"/>
  <c r="AI76" i="3"/>
  <c r="AJ76" i="3"/>
  <c r="AA77" i="3"/>
  <c r="Z77" i="3"/>
  <c r="AB77" i="3"/>
  <c r="X77" i="3"/>
  <c r="AE76" i="3"/>
  <c r="AD76" i="3"/>
  <c r="F77" i="3"/>
  <c r="Y77" i="3"/>
  <c r="J76" i="3"/>
  <c r="AC76" i="3"/>
  <c r="AF76" i="3"/>
  <c r="AD77" i="3"/>
  <c r="AF77" i="3"/>
  <c r="Q76" i="3"/>
  <c r="T76" i="3"/>
  <c r="AJ77" i="3"/>
  <c r="K77" i="3"/>
  <c r="J77" i="3"/>
  <c r="U77" i="3"/>
  <c r="AG77" i="3"/>
  <c r="O76" i="3"/>
  <c r="N76" i="3"/>
  <c r="G77" i="3"/>
  <c r="M77" i="3"/>
  <c r="K76" i="3"/>
  <c r="M76" i="3"/>
  <c r="P76" i="3"/>
  <c r="AE77" i="3"/>
  <c r="I77" i="3"/>
  <c r="Z94" i="3"/>
  <c r="AG76" i="3"/>
  <c r="AI77" i="3"/>
  <c r="AH76" i="3"/>
  <c r="I63" i="3"/>
  <c r="Y63" i="3"/>
  <c r="H63" i="3"/>
  <c r="X63" i="3"/>
  <c r="K63" i="3"/>
  <c r="AA63" i="3"/>
  <c r="Z63" i="3"/>
  <c r="K62" i="3"/>
  <c r="AA62" i="3"/>
  <c r="AD63" i="3"/>
  <c r="U62" i="3"/>
  <c r="J62" i="3"/>
  <c r="H62" i="3"/>
  <c r="F62" i="3"/>
  <c r="L62" i="3"/>
  <c r="M63" i="3"/>
  <c r="AC63" i="3"/>
  <c r="L63" i="3"/>
  <c r="AB63" i="3"/>
  <c r="O63" i="3"/>
  <c r="AE63" i="3"/>
  <c r="F63" i="3"/>
  <c r="O62" i="3"/>
  <c r="AE62" i="3"/>
  <c r="N63" i="3"/>
  <c r="Q62" i="3"/>
  <c r="AG62" i="3"/>
  <c r="AH62" i="3"/>
  <c r="AF62" i="3"/>
  <c r="AD62" i="3"/>
  <c r="AI63" i="3"/>
  <c r="AJ63" i="3"/>
  <c r="Q63" i="3"/>
  <c r="P63" i="3"/>
  <c r="S63" i="3"/>
  <c r="V63" i="3"/>
  <c r="Z87" i="3"/>
  <c r="AC62" i="3"/>
  <c r="X62" i="3"/>
  <c r="AB62" i="3"/>
  <c r="F87" i="3"/>
  <c r="G63" i="3"/>
  <c r="J63" i="3"/>
  <c r="W62" i="3"/>
  <c r="I62" i="3"/>
  <c r="R62" i="3"/>
  <c r="N62" i="3"/>
  <c r="AI62" i="3"/>
  <c r="AG63" i="3"/>
  <c r="AF63" i="3"/>
  <c r="C87" i="3"/>
  <c r="S62" i="3"/>
  <c r="M62" i="3"/>
  <c r="Z62" i="3"/>
  <c r="V62" i="3"/>
  <c r="U63" i="3"/>
  <c r="T63" i="3"/>
  <c r="W63" i="3"/>
  <c r="G62" i="3"/>
  <c r="R63" i="3"/>
  <c r="Y62" i="3"/>
  <c r="P62" i="3"/>
  <c r="T62" i="3"/>
  <c r="AJ62" i="3"/>
  <c r="AH63" i="3"/>
  <c r="O29" i="2"/>
  <c r="M39" i="2" s="1"/>
  <c r="AF50" i="132"/>
  <c r="M84" i="2" l="1"/>
  <c r="M85" i="2"/>
  <c r="AK79" i="3"/>
  <c r="K95" i="3" s="1"/>
  <c r="AK12" i="3"/>
  <c r="W37" i="3" s="1"/>
  <c r="AK71" i="3"/>
  <c r="K91" i="3" s="1"/>
  <c r="AK63" i="3"/>
  <c r="K87" i="3" s="1"/>
  <c r="AK22" i="3"/>
  <c r="W42" i="3" s="1"/>
  <c r="AK66" i="3"/>
  <c r="W89" i="3" s="1"/>
  <c r="AK28" i="3"/>
  <c r="W45" i="3" s="1"/>
  <c r="AK127" i="3"/>
  <c r="K144" i="3" s="1"/>
  <c r="E87" i="3"/>
  <c r="D87" i="3"/>
  <c r="E94" i="3"/>
  <c r="D94" i="3"/>
  <c r="E43" i="3"/>
  <c r="D43" i="3"/>
  <c r="E40" i="3"/>
  <c r="D40" i="3"/>
  <c r="E143" i="3"/>
  <c r="D143" i="3"/>
  <c r="E137" i="3"/>
  <c r="D137" i="3"/>
  <c r="D141" i="3"/>
  <c r="E141" i="3"/>
  <c r="D139" i="3"/>
  <c r="E139" i="3"/>
  <c r="D145" i="3"/>
  <c r="E145" i="3"/>
  <c r="E88" i="3"/>
  <c r="D88" i="3"/>
  <c r="D37" i="3"/>
  <c r="E37" i="3"/>
  <c r="E39" i="3"/>
  <c r="D39" i="3"/>
  <c r="E91" i="3"/>
  <c r="D91" i="3"/>
  <c r="D138" i="3"/>
  <c r="E138" i="3"/>
  <c r="E41" i="3"/>
  <c r="D41" i="3"/>
  <c r="M45" i="2"/>
  <c r="M50" i="2"/>
  <c r="M47" i="2"/>
  <c r="M49" i="2"/>
  <c r="M46" i="2"/>
  <c r="M40" i="2"/>
  <c r="M42" i="2" s="1"/>
  <c r="M43" i="2" s="1"/>
  <c r="M44" i="2" s="1"/>
  <c r="D42" i="3"/>
  <c r="E42" i="3"/>
  <c r="E92" i="3"/>
  <c r="D92" i="3"/>
  <c r="E38" i="3"/>
  <c r="D38" i="3"/>
  <c r="D89" i="3"/>
  <c r="E89" i="3"/>
  <c r="D45" i="3"/>
  <c r="E45" i="3"/>
  <c r="E46" i="3"/>
  <c r="D46" i="3"/>
  <c r="E146" i="3"/>
  <c r="D146" i="3"/>
  <c r="E95" i="3"/>
  <c r="D95" i="3"/>
  <c r="D144" i="3"/>
  <c r="E144" i="3"/>
  <c r="D140" i="3"/>
  <c r="E140" i="3"/>
  <c r="D142" i="3"/>
  <c r="E142" i="3"/>
  <c r="E90" i="3"/>
  <c r="D90" i="3"/>
  <c r="D96" i="3"/>
  <c r="E96" i="3"/>
  <c r="E93" i="3"/>
  <c r="D93" i="3"/>
  <c r="D44" i="3"/>
  <c r="E44" i="3"/>
  <c r="AK23" i="3"/>
  <c r="K42" i="3" s="1"/>
  <c r="AK72" i="3"/>
  <c r="W92" i="3" s="1"/>
  <c r="AK29" i="3"/>
  <c r="K45" i="3" s="1"/>
  <c r="AK24" i="3"/>
  <c r="W43" i="3" s="1"/>
  <c r="AK18" i="3"/>
  <c r="W40" i="3" s="1"/>
  <c r="AK124" i="3"/>
  <c r="W143" i="3" s="1"/>
  <c r="AK130" i="3"/>
  <c r="W146" i="3" s="1"/>
  <c r="AK131" i="3"/>
  <c r="K146" i="3" s="1"/>
  <c r="AK117" i="3"/>
  <c r="K139" i="3" s="1"/>
  <c r="AK126" i="3"/>
  <c r="W144" i="3" s="1"/>
  <c r="AK129" i="3"/>
  <c r="K145" i="3" s="1"/>
  <c r="AK123" i="3"/>
  <c r="K142" i="3" s="1"/>
  <c r="AK65" i="3"/>
  <c r="K88" i="3" s="1"/>
  <c r="AK64" i="3"/>
  <c r="W88" i="3" s="1"/>
  <c r="AK13" i="3"/>
  <c r="K37" i="3" s="1"/>
  <c r="AK16" i="3"/>
  <c r="W39" i="3" s="1"/>
  <c r="AK80" i="3"/>
  <c r="W96" i="3" s="1"/>
  <c r="AK81" i="3"/>
  <c r="K96" i="3" s="1"/>
  <c r="AK74" i="3"/>
  <c r="W93" i="3" s="1"/>
  <c r="AK75" i="3"/>
  <c r="K93" i="3" s="1"/>
  <c r="AK27" i="3"/>
  <c r="K44" i="3" s="1"/>
  <c r="AK115" i="3"/>
  <c r="K138" i="3" s="1"/>
  <c r="AK62" i="3"/>
  <c r="W87" i="3" s="1"/>
  <c r="AK76" i="3"/>
  <c r="W94" i="3" s="1"/>
  <c r="AK77" i="3"/>
  <c r="K94" i="3" s="1"/>
  <c r="AK73" i="3"/>
  <c r="K92" i="3" s="1"/>
  <c r="AK14" i="3"/>
  <c r="W38" i="3" s="1"/>
  <c r="AK15" i="3"/>
  <c r="K38" i="3" s="1"/>
  <c r="AK67" i="3"/>
  <c r="K89" i="3" s="1"/>
  <c r="AK25" i="3"/>
  <c r="K43" i="3" s="1"/>
  <c r="AK30" i="3"/>
  <c r="W46" i="3" s="1"/>
  <c r="AK31" i="3"/>
  <c r="K46" i="3" s="1"/>
  <c r="AK19" i="3"/>
  <c r="K40" i="3" s="1"/>
  <c r="AK125" i="3"/>
  <c r="K143" i="3" s="1"/>
  <c r="AK113" i="3"/>
  <c r="K137" i="3" s="1"/>
  <c r="AK112" i="3"/>
  <c r="W137" i="3" s="1"/>
  <c r="AK121" i="3"/>
  <c r="K141" i="3" s="1"/>
  <c r="AK120" i="3"/>
  <c r="W141" i="3" s="1"/>
  <c r="AK116" i="3"/>
  <c r="W139" i="3" s="1"/>
  <c r="AK78" i="3"/>
  <c r="W95" i="3" s="1"/>
  <c r="AK128" i="3"/>
  <c r="W145" i="3" s="1"/>
  <c r="AK119" i="3"/>
  <c r="K140" i="3" s="1"/>
  <c r="AK118" i="3"/>
  <c r="W140" i="3" s="1"/>
  <c r="AK122" i="3"/>
  <c r="W142" i="3" s="1"/>
  <c r="AK17" i="3"/>
  <c r="K39" i="3" s="1"/>
  <c r="AK70" i="3"/>
  <c r="W91" i="3" s="1"/>
  <c r="AK69" i="3"/>
  <c r="K90" i="3" s="1"/>
  <c r="AK68" i="3"/>
  <c r="W90" i="3" s="1"/>
  <c r="AK26" i="3"/>
  <c r="W44" i="3" s="1"/>
  <c r="AK114" i="3"/>
  <c r="W138" i="3" s="1"/>
  <c r="AK20" i="3"/>
  <c r="W41" i="3" s="1"/>
  <c r="AK21" i="3"/>
  <c r="K41" i="3" s="1"/>
  <c r="AF52" i="132"/>
  <c r="AF54" i="132" s="1"/>
  <c r="Q143" i="3" l="1"/>
  <c r="M86" i="2"/>
  <c r="M99" i="2" s="1"/>
  <c r="Q41" i="3"/>
  <c r="Q91" i="3"/>
  <c r="Q93" i="3"/>
  <c r="H140" i="3"/>
  <c r="AC140" i="3" s="1"/>
  <c r="AF140" i="3" s="1"/>
  <c r="Q146" i="3"/>
  <c r="H44" i="3"/>
  <c r="AC44" i="3" s="1"/>
  <c r="AF44" i="3" s="1"/>
  <c r="H96" i="3"/>
  <c r="AC96" i="3" s="1"/>
  <c r="AF96" i="3" s="1"/>
  <c r="H142" i="3"/>
  <c r="N142" i="3" s="1"/>
  <c r="H45" i="3"/>
  <c r="N45" i="3" s="1"/>
  <c r="H89" i="3"/>
  <c r="AC89" i="3" s="1"/>
  <c r="AF89" i="3" s="1"/>
  <c r="H38" i="3"/>
  <c r="AC38" i="3" s="1"/>
  <c r="AF38" i="3" s="1"/>
  <c r="H41" i="3"/>
  <c r="H91" i="3"/>
  <c r="N91" i="3" s="1"/>
  <c r="H39" i="3"/>
  <c r="AC39" i="3" s="1"/>
  <c r="AF39" i="3" s="1"/>
  <c r="H88" i="3"/>
  <c r="AC88" i="3" s="1"/>
  <c r="AF88" i="3" s="1"/>
  <c r="H137" i="3"/>
  <c r="AC137" i="3" s="1"/>
  <c r="AF137" i="3" s="1"/>
  <c r="H143" i="3"/>
  <c r="H40" i="3"/>
  <c r="N40" i="3" s="1"/>
  <c r="H43" i="3"/>
  <c r="AC43" i="3" s="1"/>
  <c r="AF43" i="3" s="1"/>
  <c r="H94" i="3"/>
  <c r="AC94" i="3" s="1"/>
  <c r="AF94" i="3" s="1"/>
  <c r="H87" i="3"/>
  <c r="AC87" i="3" s="1"/>
  <c r="AF87" i="3" s="1"/>
  <c r="Q140" i="3"/>
  <c r="Q46" i="3"/>
  <c r="Q43" i="3"/>
  <c r="Q38" i="3"/>
  <c r="Q92" i="3"/>
  <c r="Q138" i="3"/>
  <c r="Q96" i="3"/>
  <c r="Q88" i="3"/>
  <c r="Q39" i="3"/>
  <c r="Q141" i="3"/>
  <c r="Q137" i="3"/>
  <c r="Q40" i="3"/>
  <c r="Q89" i="3"/>
  <c r="Q94" i="3"/>
  <c r="Q44" i="3"/>
  <c r="Q37" i="3"/>
  <c r="Q142" i="3"/>
  <c r="Q145" i="3"/>
  <c r="Q139" i="3"/>
  <c r="Q45" i="3"/>
  <c r="T45" i="3" s="1"/>
  <c r="Q42" i="3"/>
  <c r="Q90" i="3"/>
  <c r="H93" i="3"/>
  <c r="H90" i="3"/>
  <c r="H144" i="3"/>
  <c r="H95" i="3"/>
  <c r="H146" i="3"/>
  <c r="H46" i="3"/>
  <c r="N46" i="3" s="1"/>
  <c r="H92" i="3"/>
  <c r="H42" i="3"/>
  <c r="AC42" i="3" s="1"/>
  <c r="AF42" i="3" s="1"/>
  <c r="M51" i="2"/>
  <c r="M52" i="2" s="1"/>
  <c r="H138" i="3"/>
  <c r="N138" i="3" s="1"/>
  <c r="H37" i="3"/>
  <c r="H145" i="3"/>
  <c r="AC145" i="3" s="1"/>
  <c r="AF145" i="3" s="1"/>
  <c r="Q144" i="3"/>
  <c r="Q95" i="3"/>
  <c r="H139" i="3"/>
  <c r="AC139" i="3" s="1"/>
  <c r="AF139" i="3" s="1"/>
  <c r="H141" i="3"/>
  <c r="AC141" i="3" s="1"/>
  <c r="AF141" i="3" s="1"/>
  <c r="Q87" i="3"/>
  <c r="N88" i="3" l="1"/>
  <c r="AI88" i="3" s="1"/>
  <c r="AC45" i="3"/>
  <c r="AF45" i="3" s="1"/>
  <c r="T96" i="3"/>
  <c r="AC142" i="3"/>
  <c r="AF142" i="3" s="1"/>
  <c r="AI142" i="3" s="1"/>
  <c r="N43" i="3"/>
  <c r="AI43" i="3" s="1"/>
  <c r="T140" i="3"/>
  <c r="T95" i="3"/>
  <c r="T144" i="3"/>
  <c r="T38" i="3"/>
  <c r="T137" i="3"/>
  <c r="T39" i="3"/>
  <c r="AC40" i="3"/>
  <c r="AF40" i="3" s="1"/>
  <c r="T88" i="3"/>
  <c r="T87" i="3"/>
  <c r="N87" i="3"/>
  <c r="AI87" i="3" s="1"/>
  <c r="N96" i="3"/>
  <c r="AI96" i="3" s="1"/>
  <c r="N38" i="3"/>
  <c r="AI38" i="3" s="1"/>
  <c r="AI45" i="3"/>
  <c r="T43" i="3"/>
  <c r="N42" i="3"/>
  <c r="AI42" i="3" s="1"/>
  <c r="T44" i="3"/>
  <c r="N94" i="3"/>
  <c r="AI94" i="3" s="1"/>
  <c r="N89" i="3"/>
  <c r="AI89" i="3" s="1"/>
  <c r="N140" i="3"/>
  <c r="AI140" i="3" s="1"/>
  <c r="T41" i="3"/>
  <c r="AC41" i="3"/>
  <c r="AF41" i="3" s="1"/>
  <c r="T143" i="3"/>
  <c r="AC143" i="3"/>
  <c r="AF143" i="3" s="1"/>
  <c r="N143" i="3"/>
  <c r="T91" i="3"/>
  <c r="AC91" i="3"/>
  <c r="AF91" i="3" s="1"/>
  <c r="AI91" i="3" s="1"/>
  <c r="N41" i="3"/>
  <c r="N145" i="3"/>
  <c r="AI145" i="3" s="1"/>
  <c r="T142" i="3"/>
  <c r="N44" i="3"/>
  <c r="AI44" i="3" s="1"/>
  <c r="T94" i="3"/>
  <c r="T89" i="3"/>
  <c r="T40" i="3"/>
  <c r="N137" i="3"/>
  <c r="AI137" i="3" s="1"/>
  <c r="T141" i="3"/>
  <c r="N39" i="3"/>
  <c r="AI39" i="3" s="1"/>
  <c r="AC37" i="3"/>
  <c r="AF37" i="3" s="1"/>
  <c r="T37" i="3"/>
  <c r="T92" i="3"/>
  <c r="AC92" i="3"/>
  <c r="AF92" i="3" s="1"/>
  <c r="AC146" i="3"/>
  <c r="AF146" i="3" s="1"/>
  <c r="T146" i="3"/>
  <c r="N146" i="3"/>
  <c r="AC144" i="3"/>
  <c r="AF144" i="3" s="1"/>
  <c r="N144" i="3"/>
  <c r="AC93" i="3"/>
  <c r="AF93" i="3" s="1"/>
  <c r="T93" i="3"/>
  <c r="N93" i="3"/>
  <c r="T138" i="3"/>
  <c r="AC138" i="3"/>
  <c r="AF138" i="3" s="1"/>
  <c r="AI138" i="3" s="1"/>
  <c r="AC46" i="3"/>
  <c r="AF46" i="3" s="1"/>
  <c r="AI46" i="3" s="1"/>
  <c r="T46" i="3"/>
  <c r="AC95" i="3"/>
  <c r="AF95" i="3" s="1"/>
  <c r="N95" i="3"/>
  <c r="T90" i="3"/>
  <c r="AC90" i="3"/>
  <c r="AF90" i="3" s="1"/>
  <c r="N90" i="3"/>
  <c r="N139" i="3"/>
  <c r="AI40" i="3"/>
  <c r="M53" i="2"/>
  <c r="M98" i="2" s="1"/>
  <c r="T42" i="3"/>
  <c r="T139" i="3"/>
  <c r="T145" i="3"/>
  <c r="N37" i="3"/>
  <c r="N141" i="3"/>
  <c r="AI141" i="3" s="1"/>
  <c r="N92" i="3"/>
  <c r="AI146" i="3" l="1"/>
  <c r="AI93" i="3"/>
  <c r="AI92" i="3"/>
  <c r="AF97" i="3"/>
  <c r="T47" i="3"/>
  <c r="AI41" i="3"/>
  <c r="AI143" i="3"/>
  <c r="T97" i="3"/>
  <c r="T147" i="3"/>
  <c r="AI144" i="3"/>
  <c r="AI37" i="3"/>
  <c r="N47" i="3"/>
  <c r="AI139" i="3"/>
  <c r="N147" i="3"/>
  <c r="AI90" i="3"/>
  <c r="N97" i="3"/>
  <c r="AF47" i="3"/>
  <c r="AI95" i="3"/>
  <c r="AF147" i="3"/>
  <c r="M91" i="2" l="1"/>
  <c r="M92" i="2" s="1"/>
  <c r="M93" i="2"/>
  <c r="M94" i="2"/>
  <c r="M95" i="2" l="1"/>
  <c r="M100" i="2" s="1"/>
  <c r="M101" i="2" s="1"/>
  <c r="M102" i="2" l="1"/>
  <c r="M103" i="2" s="1"/>
</calcChain>
</file>

<file path=xl/sharedStrings.xml><?xml version="1.0" encoding="utf-8"?>
<sst xmlns="http://schemas.openxmlformats.org/spreadsheetml/2006/main" count="622" uniqueCount="289">
  <si>
    <t>ESTADO LIBRE ASOCIADO DE PUERTO RICO</t>
  </si>
  <si>
    <t>Departamento de Transportación y Obras Públicas</t>
  </si>
  <si>
    <t>AUTORIDAD DE CARRETERAS Y TRANSPORTACION</t>
  </si>
  <si>
    <t>Area de Construcción</t>
  </si>
  <si>
    <t>RESUMEN DEL TRABAJO POR ADMINISTRACION DELEGADA</t>
  </si>
  <si>
    <r>
      <t>Nombre y Número de Proyecto</t>
    </r>
    <r>
      <rPr>
        <u/>
        <sz val="11"/>
        <rFont val="Arial"/>
        <family val="2"/>
      </rPr>
      <t xml:space="preserve">     </t>
    </r>
  </si>
  <si>
    <t>Nombre del Proyecto</t>
  </si>
  <si>
    <r>
      <t>Fecha</t>
    </r>
    <r>
      <rPr>
        <u/>
        <sz val="11"/>
        <rFont val="Arial"/>
        <family val="2"/>
      </rPr>
      <t xml:space="preserve">  </t>
    </r>
  </si>
  <si>
    <r>
      <t>Contratista</t>
    </r>
    <r>
      <rPr>
        <u/>
        <sz val="11"/>
        <rFont val="Arial"/>
        <family val="2"/>
      </rPr>
      <t xml:space="preserve">     </t>
    </r>
  </si>
  <si>
    <r>
      <t>Mes y Año</t>
    </r>
    <r>
      <rPr>
        <u/>
        <sz val="11"/>
        <rFont val="Arial"/>
        <family val="2"/>
      </rPr>
      <t xml:space="preserve">  </t>
    </r>
  </si>
  <si>
    <t>A) MANO DE OBRA</t>
  </si>
  <si>
    <t>Informe Diario de Nómina</t>
  </si>
  <si>
    <t>Día</t>
  </si>
  <si>
    <t>de la</t>
  </si>
  <si>
    <t>del</t>
  </si>
  <si>
    <t>(A)</t>
  </si>
  <si>
    <t>(B)</t>
  </si>
  <si>
    <t>(C)</t>
  </si>
  <si>
    <t>Semana</t>
  </si>
  <si>
    <t>Mes</t>
  </si>
  <si>
    <t>Monto</t>
  </si>
  <si>
    <t>Subtotal (A)</t>
  </si>
  <si>
    <t>Subtotal (B)</t>
  </si>
  <si>
    <t>Subtotal (C)</t>
  </si>
  <si>
    <t>Subtotal Mano de Obra</t>
  </si>
  <si>
    <t>RESUMEN DE COSTO DE MANO DE OBRA</t>
  </si>
  <si>
    <t>Para uso del liquidador</t>
  </si>
  <si>
    <t>a)  Subtotal Operadores (Unión Equipo Pesado)</t>
  </si>
  <si>
    <t>b)  Beneficios Marginales</t>
  </si>
  <si>
    <t>% de (a)</t>
  </si>
  <si>
    <t>c)  Subtotal Carpinteros (Unión de Carpinteros)</t>
  </si>
  <si>
    <t>d)  Beneficios Marginales</t>
  </si>
  <si>
    <t>% de (c)</t>
  </si>
  <si>
    <t>e)  Subtotal Personal Adicional</t>
  </si>
  <si>
    <t>f)  Beneficios Marginales</t>
  </si>
  <si>
    <t>% de (e)</t>
  </si>
  <si>
    <t>g)  Suma de (a, b, c, d, e, f)</t>
  </si>
  <si>
    <t>h)  Subtotal Mano de Obra</t>
  </si>
  <si>
    <t>I)  Beneficios Marginales</t>
  </si>
  <si>
    <t>% de (h)  (Contratistas sin Unión)</t>
  </si>
  <si>
    <t>j)  Gastos de Viaje y Dietas</t>
  </si>
  <si>
    <t>k)  Suma de (g+j) (con Unión) ó Suma de (h+I+j)(sin Unión)</t>
  </si>
  <si>
    <t>l)  Beneficio Industrial 20% de (k)</t>
  </si>
  <si>
    <t>m)  Suma de (k+l)</t>
  </si>
  <si>
    <t>n)  Fondo del Seguro del Estado</t>
  </si>
  <si>
    <t>% de (h)</t>
  </si>
  <si>
    <t>o)  Seguro Social</t>
  </si>
  <si>
    <t>p)  Seguro de Desempleo Estatal</t>
  </si>
  <si>
    <t>%    Federal</t>
  </si>
  <si>
    <t>%</t>
  </si>
  <si>
    <t>% de ( h )=</t>
  </si>
  <si>
    <t>q)  Seguro de Resp. Pública</t>
  </si>
  <si>
    <t>r)  Seguro de Incapacidad</t>
  </si>
  <si>
    <t>s)  Suma de (n, o, p, q, r)</t>
  </si>
  <si>
    <t>t)  Beneficio Industrial 10% de (s)</t>
  </si>
  <si>
    <t>(1) TOTAL DE MANO DE OBRA (m + s + t)</t>
  </si>
  <si>
    <t>B) MATERIALES Y/O SERVICIOS</t>
  </si>
  <si>
    <t>Informe Diario</t>
  </si>
  <si>
    <t>Subtotal de Materiales y/o Servicios</t>
  </si>
  <si>
    <t>RESUMEN DE COSTO DE MATERIALES Y/O SERVICIOS</t>
  </si>
  <si>
    <t>a)  Subtotal de Materiales y/o Servicios</t>
  </si>
  <si>
    <t>b)  Beneficio Industrial</t>
  </si>
  <si>
    <t>(2)  TOTAL DE MATERIALES Y/O SERVICIOS (A+B)</t>
  </si>
  <si>
    <t>C)  EQUIPO</t>
  </si>
  <si>
    <t>Para llenar los subtotales de equipo, refierase a la hoja de Relación de Equipo del Trabajo por Administración Delegada, parte B.</t>
  </si>
  <si>
    <t>RESUMEN DE COSTO DE EQUIPO</t>
  </si>
  <si>
    <t>a)  Subtotal Renta de Equipo Activo + Inactivo (sin "operating cost")</t>
  </si>
  <si>
    <t>Subtotal (ii)</t>
  </si>
  <si>
    <t>b)  Beneficio Industrial 15% de (a)</t>
  </si>
  <si>
    <t>c)  Subtotal Renta de Equipo Activo</t>
  </si>
  <si>
    <t>Subtotal (mm)</t>
  </si>
  <si>
    <t>d)  Subtotal Renta de Equipo Inactivo</t>
  </si>
  <si>
    <t>Subtotal (gg)</t>
  </si>
  <si>
    <t>(3)  TOTAL DE EQUIPO (b + c + d)</t>
  </si>
  <si>
    <t>TOTALES</t>
  </si>
  <si>
    <t>1)  TOTAL MANO DE OBRA</t>
  </si>
  <si>
    <t>2)  TOTAL MATERIALES Y/O SERVICIOS</t>
  </si>
  <si>
    <t>3)  TOTAL DE EQUIPO</t>
  </si>
  <si>
    <t>4)  TOTAL (1 + 2  + 3)</t>
  </si>
  <si>
    <t>5)  FIANZAS DE EJECUCION Y PAGO</t>
  </si>
  <si>
    <t>por mil de (4)</t>
  </si>
  <si>
    <t>6)  COSTO TOTAL DEL TRABAJO POR                                                     ADMINISTRACION DELEGADA (4 + 5)</t>
  </si>
  <si>
    <t>COMENTARIOS  :</t>
  </si>
  <si>
    <t>Sometido por:</t>
  </si>
  <si>
    <t>Cotejado por:</t>
  </si>
  <si>
    <t>Aceptado por:</t>
  </si>
  <si>
    <t>Administrador de Proyecto</t>
  </si>
  <si>
    <t>Liquidador Oficial</t>
  </si>
  <si>
    <t>Contratista o Representante</t>
  </si>
  <si>
    <t>Autorizado</t>
  </si>
  <si>
    <t>Contratista</t>
  </si>
  <si>
    <t>Proyecto #</t>
  </si>
  <si>
    <t>Administrador</t>
  </si>
  <si>
    <t>Force Account #</t>
  </si>
  <si>
    <t>EWO #</t>
  </si>
  <si>
    <t>Partida #</t>
  </si>
  <si>
    <t>Mes y Año del Trabajo (MMM-YYYY)</t>
  </si>
  <si>
    <t>Estado Libre Asociado de Puerto Rico</t>
  </si>
  <si>
    <t>AUTORIDAD DE CARRETERAS Y TRANSPORTACIÓN</t>
  </si>
  <si>
    <t>Área de Construcción</t>
  </si>
  <si>
    <t>DIARIO DE TRABAJO POR ADMINISTRACIÓN DELEGADA</t>
  </si>
  <si>
    <t>Fecha:</t>
  </si>
  <si>
    <t>Día de la Semana</t>
  </si>
  <si>
    <t>Informe Número</t>
  </si>
  <si>
    <t>MANO DE OBRA</t>
  </si>
  <si>
    <t>Nombre y Seguro Social</t>
  </si>
  <si>
    <t>Clasificación</t>
  </si>
  <si>
    <t>Horas</t>
  </si>
  <si>
    <t>Salario       por hora</t>
  </si>
  <si>
    <t>Cantidad</t>
  </si>
  <si>
    <t>Cantidad Total</t>
  </si>
  <si>
    <t>Regular</t>
  </si>
  <si>
    <t>Doble</t>
  </si>
  <si>
    <t>Subtotal Personal Adicional</t>
  </si>
  <si>
    <t>EQUIPO</t>
  </si>
  <si>
    <t>Descripción</t>
  </si>
  <si>
    <t>Modelo</t>
  </si>
  <si>
    <t>Año</t>
  </si>
  <si>
    <t>Capacidad</t>
  </si>
  <si>
    <t>Gasolina /Diesel</t>
  </si>
  <si>
    <t>Alquilado /Propio</t>
  </si>
  <si>
    <t>Horras</t>
  </si>
  <si>
    <t xml:space="preserve">Activas </t>
  </si>
  <si>
    <t>Inactivas</t>
  </si>
  <si>
    <t>Reparación</t>
  </si>
  <si>
    <t>Observaciones:</t>
  </si>
  <si>
    <t>MATERIALES Y/O SERVICIOS</t>
  </si>
  <si>
    <t>Materiales Usados y/o Servicios Prestados</t>
  </si>
  <si>
    <t>Vendedor</t>
  </si>
  <si>
    <t>Número de              Factura o Conduce</t>
  </si>
  <si>
    <t>Total      $</t>
  </si>
  <si>
    <t>Detalle de Trabajo Ejecutado</t>
  </si>
  <si>
    <t>Certificamos que el total de mano de obra, horas trabajadas por el equipo y las cantidades de los materiales y/o servicios que se indican en este documento son correctos</t>
  </si>
  <si>
    <t>Materiales</t>
  </si>
  <si>
    <t>Servicios</t>
  </si>
  <si>
    <t xml:space="preserve">    </t>
  </si>
  <si>
    <t xml:space="preserve">                                                          Area de Construcción</t>
  </si>
  <si>
    <t>Hoja Num.</t>
  </si>
  <si>
    <t>Total de Hojas</t>
  </si>
  <si>
    <t>RELACION DE EQUIPO DEL TRABAJO POR ADMINISTRACION DELEGADA</t>
  </si>
  <si>
    <t>Nombre y Num. De Proyecto</t>
  </si>
  <si>
    <r>
      <t>Mes y Año</t>
    </r>
    <r>
      <rPr>
        <u/>
        <sz val="10"/>
        <rFont val="Arial"/>
        <family val="2"/>
      </rPr>
      <t xml:space="preserve">      </t>
    </r>
  </si>
  <si>
    <t>Adm. de Proyecto</t>
  </si>
  <si>
    <t>Detalle del Tiempo Trabajado</t>
  </si>
  <si>
    <t>A</t>
  </si>
  <si>
    <t>Dia de la semana</t>
  </si>
  <si>
    <t>Total activo</t>
  </si>
  <si>
    <t>Dia del mes</t>
  </si>
  <si>
    <t>Total inactivo</t>
  </si>
  <si>
    <t>B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</si>
  <si>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</si>
  <si>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</si>
  <si>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</si>
  <si>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</si>
  <si>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</si>
  <si>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</si>
  <si>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</si>
  <si>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</si>
  <si>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</si>
  <si>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</si>
  <si>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</si>
  <si>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</si>
  <si>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</si>
  <si>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</si>
  <si>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 xml:space="preserve">RENTA </t>
  </si>
  <si>
    <t>RENTA POR</t>
  </si>
  <si>
    <t>FACTOR</t>
  </si>
  <si>
    <t>RENTA</t>
  </si>
  <si>
    <t>TOT. HORAS</t>
  </si>
  <si>
    <t>RENTA EQ.</t>
  </si>
  <si>
    <t>COSTO</t>
  </si>
  <si>
    <t>RENTA EQUIPO</t>
  </si>
  <si>
    <t>TOT. RENTA</t>
  </si>
  <si>
    <t>MENSUAL</t>
  </si>
  <si>
    <t>HORA</t>
  </si>
  <si>
    <t>AÑOS</t>
  </si>
  <si>
    <t>ZONA</t>
  </si>
  <si>
    <t>POR HORA</t>
  </si>
  <si>
    <t>INACTIVAS</t>
  </si>
  <si>
    <t>INACTIVO</t>
  </si>
  <si>
    <t>ACT. + INACT.</t>
  </si>
  <si>
    <t>ACTIVAS</t>
  </si>
  <si>
    <t>OPERACION</t>
  </si>
  <si>
    <t>ACT. POR HORA</t>
  </si>
  <si>
    <t>ACT. MENS.</t>
  </si>
  <si>
    <t>POR EQUIPO</t>
  </si>
  <si>
    <t>***</t>
  </si>
  <si>
    <t>aa/176</t>
  </si>
  <si>
    <t>bb*cc*dd</t>
  </si>
  <si>
    <t>ee*ff</t>
  </si>
  <si>
    <t>ff+jj</t>
  </si>
  <si>
    <t>ee*hh</t>
  </si>
  <si>
    <t>ee+kk</t>
  </si>
  <si>
    <t>jj*ll</t>
  </si>
  <si>
    <t>gg+mm</t>
  </si>
  <si>
    <t>Subtot. gg</t>
  </si>
  <si>
    <t>Subtot. ii</t>
  </si>
  <si>
    <t>Subtot. mm</t>
  </si>
  <si>
    <t>Subtotal Unión Carpinteros</t>
  </si>
  <si>
    <t>Subtotal Unión Operadores</t>
  </si>
  <si>
    <t>Nombre y Apellidos</t>
  </si>
  <si>
    <t>Seguro Social</t>
  </si>
  <si>
    <t>Salario/hora</t>
  </si>
  <si>
    <t>Diesel/     Gasolina</t>
  </si>
  <si>
    <t>Alquilado/   Propio</t>
  </si>
  <si>
    <t>Renta Mensual</t>
  </si>
  <si>
    <t>Factor de Zona</t>
  </si>
  <si>
    <t>Costo Operacional</t>
  </si>
  <si>
    <t>Unión</t>
  </si>
  <si>
    <t>-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</si>
  <si>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</si>
  <si>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</si>
  <si>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</si>
  <si>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</si>
  <si>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</si>
  <si>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</si>
  <si>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</si>
  <si>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</si>
  <si>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</si>
  <si>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</si>
  <si>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Diciembre</t>
  </si>
  <si>
    <t>Noviembre</t>
  </si>
  <si>
    <t>Tipo       (M) mat. (S) Serv.</t>
  </si>
  <si>
    <t>ID Num.</t>
  </si>
  <si>
    <t>Desc + ID</t>
  </si>
  <si>
    <t>Rep. ID</t>
  </si>
  <si>
    <t>Orden del Empleado</t>
  </si>
  <si>
    <t>Contador Empleado</t>
  </si>
  <si>
    <t>Res. ID</t>
  </si>
  <si>
    <t>Res ID</t>
  </si>
  <si>
    <t xml:space="preserve">EWO Núm.  </t>
  </si>
  <si>
    <t xml:space="preserve">Partida Núm.  </t>
  </si>
  <si>
    <t xml:space="preserve">Force Account Núm.  </t>
  </si>
  <si>
    <t>Nombre y Número de Proyecto:</t>
  </si>
  <si>
    <t>Contratista:</t>
  </si>
  <si>
    <t>Saved</t>
  </si>
  <si>
    <t>Pages</t>
  </si>
  <si>
    <t xml:space="preserve">FORCE ACCOUNT  NÚM:  </t>
  </si>
  <si>
    <t xml:space="preserve">PARTIDA NÚM:  </t>
  </si>
  <si>
    <t xml:space="preserve">EWO  NÚM:  </t>
  </si>
  <si>
    <t>Page</t>
  </si>
  <si>
    <t>======================================================</t>
  </si>
  <si>
    <t>==============================================================</t>
  </si>
  <si>
    <t>Mejoras de Seguridad Carretera PR-156 Caguas - Aguas Buenas  (AC-015681)</t>
  </si>
  <si>
    <t xml:space="preserve">FORCE ACCOUNT NUM.   </t>
  </si>
  <si>
    <t xml:space="preserve">PARTIDA NUM.   </t>
  </si>
  <si>
    <t xml:space="preserve">E.W.O. NUM.   </t>
  </si>
  <si>
    <t>Seleccione Fecha</t>
  </si>
  <si>
    <t>MES</t>
  </si>
  <si>
    <t>Número de Proyecto:</t>
  </si>
  <si>
    <t>Nombre del Proyecto:</t>
  </si>
  <si>
    <t>Trabajos:</t>
  </si>
  <si>
    <t>Autoridad de Carreteras y Transportación</t>
  </si>
  <si>
    <t>Estado Líbre Asociado de Puerto Rico</t>
  </si>
  <si>
    <t>Impuestos por Ley</t>
  </si>
  <si>
    <t>Subtotal</t>
  </si>
  <si>
    <t>a.</t>
  </si>
  <si>
    <t>Arbitrios</t>
  </si>
  <si>
    <t>1.</t>
  </si>
  <si>
    <t>(1)</t>
  </si>
  <si>
    <t>% de (1)</t>
  </si>
  <si>
    <t>% de (</t>
  </si>
  <si>
    <t>)</t>
  </si>
  <si>
    <t>b.</t>
  </si>
  <si>
    <t>c.</t>
  </si>
  <si>
    <t>d.</t>
  </si>
  <si>
    <t>e.</t>
  </si>
  <si>
    <t>Patentes Municipales</t>
  </si>
  <si>
    <t>Fianzas</t>
  </si>
  <si>
    <t>Colegio Ingenieros</t>
  </si>
  <si>
    <t>Otros</t>
  </si>
  <si>
    <t>2.</t>
  </si>
  <si>
    <t>Total de Impuestos por ley ( a + b + c + d + e )</t>
  </si>
  <si>
    <t>mil de (1)</t>
  </si>
  <si>
    <t>3.</t>
  </si>
  <si>
    <t>Compensación del 10% de (2)</t>
  </si>
  <si>
    <t>4.</t>
  </si>
  <si>
    <t>Total del Trabajo por Administración Delegada</t>
  </si>
  <si>
    <t>Aceptado Por:</t>
  </si>
  <si>
    <t>Cotejado Por:</t>
  </si>
  <si>
    <t>Sometido Por:</t>
  </si>
  <si>
    <t>Oficial de Liquidación</t>
  </si>
  <si>
    <t>En caso de Arbitrios Escalonados</t>
  </si>
  <si>
    <t>Resumen Anual de Trabajos por Administración Delegada</t>
  </si>
  <si>
    <t>N&amp;E</t>
  </si>
  <si>
    <t>Nombre_y_Apellidos</t>
  </si>
  <si>
    <t>Desc_Equipos</t>
  </si>
  <si>
    <t>From RM</t>
  </si>
  <si>
    <t>Seleccione 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</si>
</sst>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000\-00\-0000"/>
    <numFmt numFmtId="166" formatCode="mmmm\ yyyy"/>
    <numFmt numFmtId="167" formatCode="[$-409]d\-mmm;@"/>
    <numFmt numFmtId="168" formatCode="[$-409]dd\-mmm\-yy;@"/>
  </numFmts>
  <fonts count="27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sz val="10"/>
      <color indexed="10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3"/>
      <name val="Arial"/>
      <family val="2"/>
    </font>
    <font>
      <b/>
      <sz val="13"/>
      <color indexed="10"/>
      <name val="Arial"/>
      <family val="2"/>
    </font>
    <font>
      <b/>
      <sz val="13"/>
      <name val="Arial"/>
      <family val="2"/>
    </font>
    <font>
      <u/>
      <sz val="10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sz val="8"/>
      <name val="Tahoma"/>
      <family val="2"/>
    </font>
    <font>
      <sz val="10"/>
      <name val="Arial"/>
      <family val="2"/>
    </font>
    <font>
      <sz val="10"/>
      <name val="Benguiat Frisky ATT"/>
      <family val="4"/>
    </font>
    <font>
      <sz val="10"/>
      <name val="Benguiat Frisky ATT"/>
    </font>
    <font>
      <sz val="14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4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9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</cellStyleXfs>
  <cellXfs count="685">
    <xf numFmtId="0" fontId="0" fillId="0" borderId="0" xfId="0"/>
    <xf numFmtId="0" fontId="2" fillId="0" borderId="1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right"/>
      <protection hidden="1"/>
    </xf>
    <xf numFmtId="0" fontId="13" fillId="0" borderId="0" xfId="0" applyFont="1" applyFill="1" applyAlignment="1" applyProtection="1">
      <alignment horizontal="left"/>
      <protection hidden="1"/>
    </xf>
    <xf numFmtId="0" fontId="9" fillId="0" borderId="0" xfId="0" applyFont="1" applyProtection="1">
      <protection hidden="1"/>
    </xf>
    <xf numFmtId="17" fontId="7" fillId="0" borderId="1" xfId="0" applyNumberFormat="1" applyFont="1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2" fontId="0" fillId="0" borderId="6" xfId="0" applyNumberFormat="1" applyBorder="1" applyAlignment="1" applyProtection="1">
      <alignment horizontal="center" wrapText="1"/>
      <protection hidden="1"/>
    </xf>
    <xf numFmtId="2" fontId="0" fillId="0" borderId="7" xfId="0" applyNumberFormat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2" fontId="0" fillId="0" borderId="8" xfId="0" applyNumberFormat="1" applyBorder="1" applyAlignment="1" applyProtection="1">
      <alignment horizontal="center" wrapText="1"/>
      <protection hidden="1"/>
    </xf>
    <xf numFmtId="2" fontId="0" fillId="0" borderId="4" xfId="0" applyNumberFormat="1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16" fillId="0" borderId="6" xfId="0" applyFont="1" applyBorder="1" applyAlignment="1" applyProtection="1">
      <alignment horizontal="center"/>
      <protection hidden="1"/>
    </xf>
    <xf numFmtId="0" fontId="16" fillId="0" borderId="4" xfId="0" applyFont="1" applyBorder="1" applyAlignment="1" applyProtection="1">
      <alignment horizontal="center"/>
      <protection hidden="1"/>
    </xf>
    <xf numFmtId="0" fontId="15" fillId="0" borderId="2" xfId="0" applyFont="1" applyBorder="1" applyAlignment="1" applyProtection="1">
      <alignment horizontal="center"/>
      <protection hidden="1"/>
    </xf>
    <xf numFmtId="2" fontId="0" fillId="0" borderId="2" xfId="0" applyNumberFormat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7" fontId="0" fillId="0" borderId="0" xfId="0" applyNumberFormat="1" applyBorder="1" applyAlignment="1" applyProtection="1">
      <alignment horizontal="left"/>
      <protection hidden="1"/>
    </xf>
    <xf numFmtId="7" fontId="0" fillId="0" borderId="0" xfId="0" applyNumberForma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left"/>
      <protection hidden="1"/>
    </xf>
    <xf numFmtId="0" fontId="0" fillId="0" borderId="0" xfId="0" applyAlignme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9" fillId="0" borderId="0" xfId="0" applyFont="1" applyAlignment="1" applyProtection="1">
      <alignment wrapText="1"/>
      <protection hidden="1"/>
    </xf>
    <xf numFmtId="0" fontId="5" fillId="0" borderId="0" xfId="0" applyFont="1" applyProtection="1">
      <protection hidden="1"/>
    </xf>
    <xf numFmtId="0" fontId="9" fillId="0" borderId="0" xfId="0" applyFont="1" applyBorder="1" applyAlignment="1" applyProtection="1">
      <alignment wrapText="1"/>
      <protection hidden="1"/>
    </xf>
    <xf numFmtId="0" fontId="8" fillId="0" borderId="0" xfId="0" applyFont="1" applyProtection="1"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0" fillId="0" borderId="0" xfId="0" applyNumberFormat="1" applyProtection="1">
      <protection hidden="1"/>
    </xf>
    <xf numFmtId="0" fontId="0" fillId="0" borderId="9" xfId="0" applyBorder="1" applyProtection="1"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3" fillId="0" borderId="11" xfId="0" applyFont="1" applyBorder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5" xfId="0" applyBorder="1" applyAlignment="1" applyProtection="1">
      <alignment horizontal="center"/>
      <protection hidden="1"/>
    </xf>
    <xf numFmtId="0" fontId="0" fillId="0" borderId="17" xfId="0" applyBorder="1" applyProtection="1"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/>
      <protection hidden="1"/>
    </xf>
    <xf numFmtId="0" fontId="8" fillId="0" borderId="21" xfId="0" applyNumberFormat="1" applyFont="1" applyBorder="1" applyAlignment="1" applyProtection="1">
      <alignment horizontal="center"/>
      <protection hidden="1"/>
    </xf>
    <xf numFmtId="0" fontId="8" fillId="0" borderId="2" xfId="0" applyFont="1" applyBorder="1" applyAlignment="1" applyProtection="1">
      <alignment horizontal="center"/>
      <protection hidden="1"/>
    </xf>
    <xf numFmtId="0" fontId="8" fillId="0" borderId="2" xfId="0" applyNumberFormat="1" applyFont="1" applyBorder="1" applyAlignment="1" applyProtection="1">
      <alignment horizontal="center"/>
      <protection hidden="1"/>
    </xf>
    <xf numFmtId="0" fontId="8" fillId="0" borderId="3" xfId="0" applyFont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8" fillId="0" borderId="21" xfId="0" applyFont="1" applyBorder="1" applyProtection="1">
      <protection hidden="1"/>
    </xf>
    <xf numFmtId="0" fontId="8" fillId="0" borderId="3" xfId="0" applyFont="1" applyBorder="1" applyAlignment="1" applyProtection="1">
      <alignment horizontal="right"/>
      <protection hidden="1"/>
    </xf>
    <xf numFmtId="0" fontId="8" fillId="0" borderId="3" xfId="0" applyFont="1" applyBorder="1" applyProtection="1">
      <protection hidden="1"/>
    </xf>
    <xf numFmtId="0" fontId="8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Protection="1">
      <protection hidden="1"/>
    </xf>
    <xf numFmtId="0" fontId="9" fillId="0" borderId="24" xfId="0" applyFont="1" applyBorder="1" applyProtection="1">
      <protection hidden="1"/>
    </xf>
    <xf numFmtId="0" fontId="9" fillId="0" borderId="25" xfId="0" applyFont="1" applyBorder="1" applyProtection="1">
      <protection hidden="1"/>
    </xf>
    <xf numFmtId="0" fontId="8" fillId="0" borderId="26" xfId="0" applyFont="1" applyBorder="1" applyAlignment="1" applyProtection="1">
      <alignment horizontal="right"/>
      <protection hidden="1"/>
    </xf>
    <xf numFmtId="0" fontId="0" fillId="0" borderId="27" xfId="0" applyBorder="1" applyProtection="1">
      <protection hidden="1"/>
    </xf>
    <xf numFmtId="0" fontId="0" fillId="0" borderId="10" xfId="0" applyBorder="1" applyProtection="1">
      <protection hidden="1"/>
    </xf>
    <xf numFmtId="0" fontId="5" fillId="0" borderId="12" xfId="0" applyFont="1" applyBorder="1" applyAlignment="1" applyProtection="1">
      <alignment horizontal="right"/>
      <protection hidden="1"/>
    </xf>
    <xf numFmtId="0" fontId="10" fillId="0" borderId="28" xfId="0" applyFont="1" applyBorder="1" applyProtection="1">
      <protection hidden="1"/>
    </xf>
    <xf numFmtId="0" fontId="0" fillId="0" borderId="1" xfId="0" applyBorder="1" applyProtection="1">
      <protection hidden="1"/>
    </xf>
    <xf numFmtId="0" fontId="0" fillId="0" borderId="29" xfId="0" applyBorder="1" applyProtection="1">
      <protection hidden="1"/>
    </xf>
    <xf numFmtId="0" fontId="0" fillId="0" borderId="30" xfId="0" applyBorder="1" applyProtection="1">
      <protection hidden="1"/>
    </xf>
    <xf numFmtId="0" fontId="10" fillId="0" borderId="21" xfId="0" applyFont="1" applyBorder="1" applyProtection="1">
      <protection hidden="1"/>
    </xf>
    <xf numFmtId="0" fontId="0" fillId="0" borderId="3" xfId="0" applyBorder="1" applyProtection="1">
      <protection hidden="1"/>
    </xf>
    <xf numFmtId="0" fontId="10" fillId="0" borderId="3" xfId="0" applyFont="1" applyBorder="1" applyAlignment="1" applyProtection="1">
      <alignment horizontal="left"/>
      <protection hidden="1"/>
    </xf>
    <xf numFmtId="0" fontId="0" fillId="0" borderId="23" xfId="0" applyBorder="1" applyProtection="1">
      <protection hidden="1"/>
    </xf>
    <xf numFmtId="0" fontId="0" fillId="0" borderId="31" xfId="0" applyBorder="1" applyProtection="1">
      <protection hidden="1"/>
    </xf>
    <xf numFmtId="0" fontId="10" fillId="0" borderId="3" xfId="0" applyFont="1" applyBorder="1" applyProtection="1">
      <protection hidden="1"/>
    </xf>
    <xf numFmtId="2" fontId="10" fillId="0" borderId="3" xfId="0" applyNumberFormat="1" applyFont="1" applyBorder="1" applyProtection="1">
      <protection hidden="1"/>
    </xf>
    <xf numFmtId="0" fontId="10" fillId="0" borderId="32" xfId="0" applyFont="1" applyBorder="1" applyProtection="1">
      <protection hidden="1"/>
    </xf>
    <xf numFmtId="0" fontId="10" fillId="0" borderId="0" xfId="0" applyFont="1" applyProtection="1">
      <protection hidden="1"/>
    </xf>
    <xf numFmtId="0" fontId="10" fillId="0" borderId="1" xfId="0" applyFont="1" applyBorder="1" applyProtection="1">
      <protection hidden="1"/>
    </xf>
    <xf numFmtId="0" fontId="0" fillId="0" borderId="1" xfId="0" applyFill="1" applyBorder="1" applyProtection="1">
      <protection hidden="1"/>
    </xf>
    <xf numFmtId="0" fontId="10" fillId="0" borderId="1" xfId="0" applyFont="1" applyBorder="1" applyAlignment="1" applyProtection="1">
      <alignment horizontal="center"/>
      <protection hidden="1"/>
    </xf>
    <xf numFmtId="0" fontId="10" fillId="0" borderId="5" xfId="0" applyFont="1" applyBorder="1" applyProtection="1">
      <protection hidden="1"/>
    </xf>
    <xf numFmtId="0" fontId="10" fillId="0" borderId="33" xfId="0" applyFont="1" applyBorder="1" applyProtection="1">
      <protection hidden="1"/>
    </xf>
    <xf numFmtId="0" fontId="0" fillId="0" borderId="34" xfId="0" applyBorder="1" applyProtection="1">
      <protection hidden="1"/>
    </xf>
    <xf numFmtId="0" fontId="0" fillId="0" borderId="35" xfId="0" applyBorder="1" applyProtection="1">
      <protection hidden="1"/>
    </xf>
    <xf numFmtId="0" fontId="0" fillId="0" borderId="24" xfId="0" applyBorder="1" applyProtection="1">
      <protection hidden="1"/>
    </xf>
    <xf numFmtId="0" fontId="0" fillId="0" borderId="25" xfId="0" applyBorder="1" applyProtection="1"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hidden="1"/>
    </xf>
    <xf numFmtId="9" fontId="1" fillId="0" borderId="0" xfId="4" applyAlignment="1" applyProtection="1">
      <protection hidden="1"/>
    </xf>
    <xf numFmtId="9" fontId="1" fillId="0" borderId="0" xfId="4" applyProtection="1">
      <protection hidden="1"/>
    </xf>
    <xf numFmtId="0" fontId="10" fillId="0" borderId="9" xfId="0" applyFont="1" applyBorder="1" applyProtection="1">
      <protection hidden="1"/>
    </xf>
    <xf numFmtId="0" fontId="12" fillId="0" borderId="10" xfId="0" applyFont="1" applyBorder="1" applyAlignment="1" applyProtection="1">
      <alignment horizontal="left"/>
      <protection hidden="1"/>
    </xf>
    <xf numFmtId="0" fontId="12" fillId="0" borderId="11" xfId="0" applyFont="1" applyBorder="1" applyAlignment="1" applyProtection="1">
      <alignment horizont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0" fillId="0" borderId="1" xfId="0" applyFont="1" applyBorder="1" applyAlignment="1" applyProtection="1">
      <alignment horizontal="left"/>
      <protection hidden="1"/>
    </xf>
    <xf numFmtId="0" fontId="10" fillId="0" borderId="29" xfId="0" applyFont="1" applyBorder="1" applyAlignment="1" applyProtection="1">
      <alignment horizontal="center"/>
      <protection hidden="1"/>
    </xf>
    <xf numFmtId="0" fontId="10" fillId="0" borderId="30" xfId="0" applyFont="1" applyBorder="1" applyAlignment="1" applyProtection="1">
      <alignment horizontal="left"/>
      <protection hidden="1"/>
    </xf>
    <xf numFmtId="0" fontId="9" fillId="0" borderId="13" xfId="0" applyFont="1" applyBorder="1" applyAlignment="1" applyProtection="1">
      <alignment horizontal="center"/>
      <protection hidden="1"/>
    </xf>
    <xf numFmtId="0" fontId="9" fillId="0" borderId="6" xfId="0" applyFont="1" applyBorder="1" applyAlignment="1" applyProtection="1">
      <alignment horizontal="center"/>
      <protection hidden="1"/>
    </xf>
    <xf numFmtId="0" fontId="9" fillId="0" borderId="14" xfId="0" applyFont="1" applyBorder="1" applyProtection="1">
      <protection hidden="1"/>
    </xf>
    <xf numFmtId="0" fontId="9" fillId="0" borderId="16" xfId="0" applyFont="1" applyBorder="1" applyProtection="1">
      <protection hidden="1"/>
    </xf>
    <xf numFmtId="0" fontId="9" fillId="0" borderId="17" xfId="0" applyFont="1" applyBorder="1" applyProtection="1">
      <protection hidden="1"/>
    </xf>
    <xf numFmtId="0" fontId="9" fillId="0" borderId="18" xfId="0" applyFont="1" applyBorder="1" applyAlignment="1" applyProtection="1">
      <alignment horizontal="center"/>
      <protection hidden="1"/>
    </xf>
    <xf numFmtId="0" fontId="9" fillId="0" borderId="19" xfId="0" applyFont="1" applyBorder="1" applyAlignment="1" applyProtection="1">
      <alignment horizontal="center"/>
      <protection hidden="1"/>
    </xf>
    <xf numFmtId="0" fontId="9" fillId="0" borderId="34" xfId="0" applyFont="1" applyBorder="1" applyProtection="1">
      <protection hidden="1"/>
    </xf>
    <xf numFmtId="0" fontId="9" fillId="0" borderId="38" xfId="0" applyFont="1" applyBorder="1" applyProtection="1">
      <protection hidden="1"/>
    </xf>
    <xf numFmtId="0" fontId="9" fillId="0" borderId="35" xfId="0" applyFont="1" applyBorder="1" applyProtection="1">
      <protection hidden="1"/>
    </xf>
    <xf numFmtId="0" fontId="9" fillId="0" borderId="20" xfId="0" applyFont="1" applyBorder="1" applyAlignment="1" applyProtection="1">
      <alignment horizontal="center"/>
      <protection hidden="1"/>
    </xf>
    <xf numFmtId="0" fontId="9" fillId="0" borderId="4" xfId="0" applyFont="1" applyBorder="1" applyAlignment="1" applyProtection="1">
      <alignment horizontal="center"/>
      <protection hidden="1"/>
    </xf>
    <xf numFmtId="0" fontId="8" fillId="0" borderId="39" xfId="0" applyNumberFormat="1" applyFont="1" applyBorder="1" applyAlignment="1" applyProtection="1">
      <alignment horizontal="center"/>
      <protection hidden="1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5" xfId="0" applyFont="1" applyBorder="1" applyAlignment="1" applyProtection="1">
      <alignment horizont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3" xfId="0" applyFont="1" applyBorder="1" applyAlignment="1" applyProtection="1">
      <alignment horizontal="right" vertical="center"/>
      <protection hidden="1"/>
    </xf>
    <xf numFmtId="0" fontId="8" fillId="0" borderId="3" xfId="0" applyFont="1" applyBorder="1" applyAlignment="1" applyProtection="1">
      <alignment vertical="center"/>
      <protection hidden="1"/>
    </xf>
    <xf numFmtId="0" fontId="8" fillId="0" borderId="22" xfId="0" applyFont="1" applyBorder="1" applyAlignment="1" applyProtection="1">
      <alignment horizontal="right" vertical="center"/>
      <protection hidden="1"/>
    </xf>
    <xf numFmtId="0" fontId="8" fillId="0" borderId="23" xfId="0" applyFont="1" applyBorder="1" applyAlignment="1" applyProtection="1">
      <alignment vertical="center"/>
      <protection hidden="1"/>
    </xf>
    <xf numFmtId="0" fontId="8" fillId="0" borderId="24" xfId="0" applyFont="1" applyBorder="1" applyProtection="1">
      <protection hidden="1"/>
    </xf>
    <xf numFmtId="0" fontId="8" fillId="0" borderId="25" xfId="0" applyFont="1" applyBorder="1" applyProtection="1"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0" fillId="0" borderId="10" xfId="0" applyFont="1" applyBorder="1" applyProtection="1">
      <protection hidden="1"/>
    </xf>
    <xf numFmtId="0" fontId="12" fillId="0" borderId="0" xfId="0" applyFont="1" applyBorder="1" applyAlignment="1" applyProtection="1">
      <alignment horizontal="center"/>
      <protection hidden="1"/>
    </xf>
    <xf numFmtId="0" fontId="10" fillId="0" borderId="40" xfId="0" applyFont="1" applyBorder="1" applyProtection="1">
      <protection hidden="1"/>
    </xf>
    <xf numFmtId="0" fontId="10" fillId="0" borderId="29" xfId="0" applyFont="1" applyBorder="1" applyProtection="1">
      <protection hidden="1"/>
    </xf>
    <xf numFmtId="0" fontId="10" fillId="0" borderId="41" xfId="0" applyFont="1" applyBorder="1" applyProtection="1">
      <protection hidden="1"/>
    </xf>
    <xf numFmtId="0" fontId="10" fillId="0" borderId="23" xfId="0" applyFont="1" applyBorder="1" applyProtection="1">
      <protection hidden="1"/>
    </xf>
    <xf numFmtId="0" fontId="10" fillId="0" borderId="31" xfId="0" applyFont="1" applyBorder="1" applyProtection="1">
      <protection hidden="1"/>
    </xf>
    <xf numFmtId="0" fontId="10" fillId="0" borderId="15" xfId="0" applyFont="1" applyBorder="1" applyProtection="1">
      <protection hidden="1"/>
    </xf>
    <xf numFmtId="0" fontId="12" fillId="0" borderId="15" xfId="0" applyFont="1" applyBorder="1" applyAlignment="1" applyProtection="1">
      <alignment horizontal="right"/>
      <protection hidden="1"/>
    </xf>
    <xf numFmtId="0" fontId="10" fillId="0" borderId="14" xfId="0" applyFont="1" applyBorder="1" applyProtection="1">
      <protection hidden="1"/>
    </xf>
    <xf numFmtId="0" fontId="10" fillId="0" borderId="17" xfId="0" applyFont="1" applyBorder="1" applyProtection="1">
      <protection hidden="1"/>
    </xf>
    <xf numFmtId="0" fontId="12" fillId="0" borderId="9" xfId="0" applyFont="1" applyBorder="1" applyProtection="1">
      <protection hidden="1"/>
    </xf>
    <xf numFmtId="0" fontId="10" fillId="0" borderId="12" xfId="0" applyFont="1" applyBorder="1" applyProtection="1">
      <protection hidden="1"/>
    </xf>
    <xf numFmtId="0" fontId="10" fillId="0" borderId="0" xfId="0" applyFont="1" applyBorder="1" applyProtection="1">
      <protection hidden="1"/>
    </xf>
    <xf numFmtId="0" fontId="10" fillId="0" borderId="42" xfId="0" applyFont="1" applyBorder="1" applyAlignment="1" applyProtection="1">
      <alignment horizontal="left"/>
      <protection hidden="1"/>
    </xf>
    <xf numFmtId="0" fontId="10" fillId="0" borderId="30" xfId="0" applyFont="1" applyBorder="1" applyProtection="1">
      <protection hidden="1"/>
    </xf>
    <xf numFmtId="0" fontId="10" fillId="0" borderId="3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left"/>
      <protection hidden="1"/>
    </xf>
    <xf numFmtId="0" fontId="10" fillId="0" borderId="24" xfId="0" applyFont="1" applyBorder="1" applyProtection="1">
      <protection hidden="1"/>
    </xf>
    <xf numFmtId="0" fontId="10" fillId="0" borderId="25" xfId="0" applyFont="1" applyBorder="1" applyProtection="1">
      <protection hidden="1"/>
    </xf>
    <xf numFmtId="0" fontId="12" fillId="0" borderId="25" xfId="0" applyFont="1" applyBorder="1" applyAlignment="1" applyProtection="1">
      <alignment horizontal="right"/>
      <protection hidden="1"/>
    </xf>
    <xf numFmtId="0" fontId="10" fillId="0" borderId="36" xfId="0" applyFont="1" applyBorder="1" applyProtection="1">
      <protection hidden="1"/>
    </xf>
    <xf numFmtId="0" fontId="10" fillId="0" borderId="37" xfId="0" applyFont="1" applyBorder="1" applyProtection="1">
      <protection hidden="1"/>
    </xf>
    <xf numFmtId="0" fontId="10" fillId="0" borderId="12" xfId="0" applyFont="1" applyBorder="1" applyAlignment="1" applyProtection="1">
      <alignment horizontal="right"/>
      <protection hidden="1"/>
    </xf>
    <xf numFmtId="0" fontId="10" fillId="0" borderId="34" xfId="0" applyFont="1" applyBorder="1" applyProtection="1">
      <protection hidden="1"/>
    </xf>
    <xf numFmtId="0" fontId="10" fillId="0" borderId="35" xfId="0" applyFont="1" applyBorder="1" applyProtection="1">
      <protection hidden="1"/>
    </xf>
    <xf numFmtId="0" fontId="10" fillId="0" borderId="43" xfId="0" applyFont="1" applyBorder="1" applyProtection="1">
      <protection hidden="1"/>
    </xf>
    <xf numFmtId="0" fontId="10" fillId="0" borderId="27" xfId="0" applyFont="1" applyBorder="1" applyProtection="1">
      <protection hidden="1"/>
    </xf>
    <xf numFmtId="0" fontId="10" fillId="0" borderId="44" xfId="0" applyFont="1" applyBorder="1" applyProtection="1">
      <protection hidden="1"/>
    </xf>
    <xf numFmtId="0" fontId="13" fillId="0" borderId="0" xfId="0" applyFont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9" fillId="0" borderId="0" xfId="0" applyFont="1" applyAlignment="1" applyProtection="1">
      <alignment horizontal="right"/>
      <protection hidden="1"/>
    </xf>
    <xf numFmtId="17" fontId="0" fillId="0" borderId="0" xfId="0" applyNumberFormat="1" applyProtection="1">
      <protection hidden="1"/>
    </xf>
    <xf numFmtId="0" fontId="0" fillId="0" borderId="0" xfId="0" applyFill="1" applyProtection="1">
      <protection hidden="1"/>
    </xf>
    <xf numFmtId="15" fontId="2" fillId="0" borderId="0" xfId="0" applyNumberFormat="1" applyFont="1" applyBorder="1" applyAlignment="1" applyProtection="1">
      <alignment horizontal="center"/>
      <protection hidden="1"/>
    </xf>
    <xf numFmtId="0" fontId="2" fillId="0" borderId="0" xfId="0" applyFont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4" fontId="14" fillId="0" borderId="0" xfId="0" applyNumberFormat="1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164" fontId="0" fillId="0" borderId="2" xfId="0" applyNumberFormat="1" applyBorder="1" applyProtection="1">
      <protection hidden="1"/>
    </xf>
    <xf numFmtId="164" fontId="0" fillId="0" borderId="0" xfId="0" applyNumberFormat="1" applyBorder="1" applyAlignment="1" applyProtection="1">
      <alignment horizontal="center" vertical="center"/>
      <protection hidden="1"/>
    </xf>
    <xf numFmtId="44" fontId="1" fillId="0" borderId="0" xfId="1" applyBorder="1" applyAlignment="1" applyProtection="1">
      <alignment horizontal="center"/>
      <protection hidden="1"/>
    </xf>
    <xf numFmtId="4" fontId="0" fillId="0" borderId="0" xfId="0" applyNumberFormat="1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4" fontId="0" fillId="0" borderId="0" xfId="0" applyNumberForma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 wrapText="1"/>
      <protection hidden="1"/>
    </xf>
    <xf numFmtId="164" fontId="0" fillId="0" borderId="0" xfId="0" applyNumberFormat="1" applyBorder="1" applyAlignment="1" applyProtection="1">
      <alignment horizontal="center" vertical="center" wrapText="1"/>
      <protection hidden="1"/>
    </xf>
    <xf numFmtId="4" fontId="0" fillId="0" borderId="0" xfId="0" applyNumberFormat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left" vertical="center"/>
      <protection hidden="1"/>
    </xf>
    <xf numFmtId="0" fontId="0" fillId="0" borderId="0" xfId="0" applyBorder="1" applyAlignment="1" applyProtection="1">
      <alignment horizontal="justify"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0" xfId="0" applyAlignment="1" applyProtection="1">
      <alignment horizontal="justify" vertical="center" wrapText="1"/>
      <protection hidden="1"/>
    </xf>
    <xf numFmtId="0" fontId="20" fillId="0" borderId="2" xfId="0" applyFont="1" applyBorder="1" applyAlignment="1" applyProtection="1">
      <alignment horizontal="left"/>
      <protection locked="0"/>
    </xf>
    <xf numFmtId="0" fontId="20" fillId="0" borderId="2" xfId="0" applyFont="1" applyBorder="1" applyAlignment="1" applyProtection="1">
      <alignment horizontal="center"/>
      <protection locked="0"/>
    </xf>
    <xf numFmtId="164" fontId="0" fillId="0" borderId="0" xfId="0" applyNumberFormat="1" applyProtection="1">
      <protection hidden="1"/>
    </xf>
    <xf numFmtId="0" fontId="9" fillId="0" borderId="0" xfId="0" applyFont="1" applyBorder="1" applyAlignment="1" applyProtection="1">
      <protection hidden="1"/>
    </xf>
    <xf numFmtId="0" fontId="9" fillId="0" borderId="0" xfId="0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167" fontId="0" fillId="0" borderId="0" xfId="0" applyNumberFormat="1" applyAlignment="1" applyProtection="1">
      <alignment horizontal="center"/>
      <protection hidden="1"/>
    </xf>
    <xf numFmtId="0" fontId="21" fillId="0" borderId="6" xfId="0" applyFont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right"/>
      <protection hidden="1"/>
    </xf>
    <xf numFmtId="0" fontId="21" fillId="0" borderId="2" xfId="0" applyFont="1" applyBorder="1" applyAlignment="1" applyProtection="1">
      <alignment horizontal="left"/>
      <protection locked="0"/>
    </xf>
    <xf numFmtId="165" fontId="21" fillId="0" borderId="2" xfId="0" applyNumberFormat="1" applyFont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center"/>
      <protection locked="0"/>
    </xf>
    <xf numFmtId="165" fontId="21" fillId="0" borderId="6" xfId="0" applyNumberFormat="1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 vertical="center"/>
      <protection hidden="1"/>
    </xf>
    <xf numFmtId="0" fontId="23" fillId="3" borderId="5" xfId="0" applyFont="1" applyFill="1" applyBorder="1" applyAlignment="1" applyProtection="1">
      <alignment horizontal="center" vertical="center" wrapText="1"/>
      <protection hidden="1"/>
    </xf>
    <xf numFmtId="0" fontId="24" fillId="2" borderId="22" xfId="0" applyNumberFormat="1" applyFont="1" applyFill="1" applyBorder="1" applyProtection="1">
      <protection hidden="1"/>
    </xf>
    <xf numFmtId="0" fontId="24" fillId="0" borderId="22" xfId="0" applyNumberFormat="1" applyFont="1" applyBorder="1" applyProtection="1">
      <protection hidden="1"/>
    </xf>
    <xf numFmtId="0" fontId="24" fillId="0" borderId="16" xfId="0" applyNumberFormat="1" applyFont="1" applyBorder="1" applyProtection="1">
      <protection hidden="1"/>
    </xf>
    <xf numFmtId="0" fontId="24" fillId="0" borderId="2" xfId="0" applyFont="1" applyBorder="1" applyAlignment="1" applyProtection="1">
      <alignment horizontal="center"/>
      <protection locked="0"/>
    </xf>
    <xf numFmtId="0" fontId="24" fillId="2" borderId="2" xfId="0" applyFont="1" applyFill="1" applyBorder="1" applyProtection="1">
      <protection locked="0"/>
    </xf>
    <xf numFmtId="0" fontId="24" fillId="0" borderId="2" xfId="0" applyFont="1" applyBorder="1" applyProtection="1">
      <protection locked="0"/>
    </xf>
    <xf numFmtId="0" fontId="24" fillId="2" borderId="2" xfId="0" applyFont="1" applyFill="1" applyBorder="1" applyAlignment="1" applyProtection="1">
      <alignment horizontal="center"/>
      <protection locked="0"/>
    </xf>
    <xf numFmtId="164" fontId="24" fillId="2" borderId="2" xfId="0" applyNumberFormat="1" applyFont="1" applyFill="1" applyBorder="1" applyProtection="1">
      <protection locked="0"/>
    </xf>
    <xf numFmtId="164" fontId="24" fillId="2" borderId="23" xfId="2" applyNumberFormat="1" applyFont="1" applyFill="1" applyBorder="1" applyAlignment="1" applyProtection="1">
      <alignment horizontal="right"/>
      <protection locked="0"/>
    </xf>
    <xf numFmtId="164" fontId="24" fillId="0" borderId="2" xfId="0" applyNumberFormat="1" applyFont="1" applyBorder="1" applyProtection="1">
      <protection locked="0"/>
    </xf>
    <xf numFmtId="164" fontId="24" fillId="0" borderId="23" xfId="2" applyNumberFormat="1" applyFont="1" applyBorder="1" applyAlignment="1" applyProtection="1">
      <alignment horizontal="right"/>
      <protection locked="0"/>
    </xf>
    <xf numFmtId="164" fontId="24" fillId="0" borderId="23" xfId="0" applyNumberFormat="1" applyFont="1" applyBorder="1" applyAlignment="1" applyProtection="1">
      <alignment horizontal="right"/>
      <protection locked="0"/>
    </xf>
    <xf numFmtId="0" fontId="24" fillId="0" borderId="0" xfId="0" applyFont="1" applyAlignment="1" applyProtection="1">
      <alignment horizontal="center"/>
      <protection locked="0"/>
    </xf>
    <xf numFmtId="3" fontId="24" fillId="0" borderId="2" xfId="0" applyNumberFormat="1" applyFont="1" applyBorder="1" applyAlignment="1" applyProtection="1">
      <alignment horizontal="center"/>
      <protection locked="0"/>
    </xf>
    <xf numFmtId="0" fontId="24" fillId="0" borderId="65" xfId="0" applyFont="1" applyBorder="1" applyAlignment="1" applyProtection="1">
      <alignment horizontal="center"/>
      <protection locked="0"/>
    </xf>
    <xf numFmtId="3" fontId="24" fillId="0" borderId="2" xfId="0" applyNumberFormat="1" applyFont="1" applyBorder="1" applyProtection="1">
      <protection locked="0"/>
    </xf>
    <xf numFmtId="0" fontId="24" fillId="0" borderId="6" xfId="0" applyFont="1" applyBorder="1" applyAlignment="1" applyProtection="1">
      <alignment horizontal="center"/>
      <protection locked="0"/>
    </xf>
    <xf numFmtId="0" fontId="24" fillId="0" borderId="6" xfId="0" applyFont="1" applyBorder="1" applyProtection="1">
      <protection locked="0"/>
    </xf>
    <xf numFmtId="164" fontId="24" fillId="0" borderId="6" xfId="0" applyNumberFormat="1" applyFont="1" applyBorder="1" applyProtection="1">
      <protection locked="0"/>
    </xf>
    <xf numFmtId="164" fontId="24" fillId="0" borderId="14" xfId="0" applyNumberFormat="1" applyFont="1" applyBorder="1" applyAlignment="1" applyProtection="1">
      <alignment horizontal="right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justify" vertical="center" wrapText="1"/>
      <protection hidden="1"/>
    </xf>
    <xf numFmtId="164" fontId="0" fillId="0" borderId="2" xfId="0" applyNumberForma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right"/>
      <protection hidden="1"/>
    </xf>
    <xf numFmtId="0" fontId="3" fillId="4" borderId="3" xfId="0" applyFont="1" applyFill="1" applyBorder="1" applyAlignment="1" applyProtection="1">
      <alignment horizontal="center"/>
      <protection hidden="1"/>
    </xf>
    <xf numFmtId="2" fontId="11" fillId="4" borderId="3" xfId="0" applyNumberFormat="1" applyFont="1" applyFill="1" applyBorder="1" applyProtection="1">
      <protection locked="0"/>
    </xf>
    <xf numFmtId="0" fontId="11" fillId="4" borderId="0" xfId="0" applyFont="1" applyFill="1" applyProtection="1">
      <protection locked="0"/>
    </xf>
    <xf numFmtId="0" fontId="11" fillId="4" borderId="1" xfId="0" applyFont="1" applyFill="1" applyBorder="1" applyProtection="1">
      <protection locked="0"/>
    </xf>
    <xf numFmtId="4" fontId="11" fillId="4" borderId="3" xfId="0" applyNumberFormat="1" applyFont="1" applyFill="1" applyBorder="1" applyProtection="1">
      <protection locked="0"/>
    </xf>
    <xf numFmtId="0" fontId="23" fillId="3" borderId="4" xfId="0" applyFont="1" applyFill="1" applyBorder="1" applyAlignment="1" applyProtection="1">
      <alignment horizontal="center" vertical="center" wrapText="1"/>
      <protection hidden="1"/>
    </xf>
    <xf numFmtId="164" fontId="23" fillId="3" borderId="4" xfId="0" applyNumberFormat="1" applyFont="1" applyFill="1" applyBorder="1" applyAlignment="1" applyProtection="1">
      <alignment horizontal="center" vertical="center" wrapText="1"/>
      <protection hidden="1"/>
    </xf>
    <xf numFmtId="164" fontId="23" fillId="3" borderId="29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/>
      <protection hidden="1"/>
    </xf>
    <xf numFmtId="0" fontId="25" fillId="5" borderId="0" xfId="0" applyFont="1" applyFill="1" applyBorder="1" applyAlignment="1" applyProtection="1">
      <alignment horizontal="right"/>
      <protection hidden="1"/>
    </xf>
    <xf numFmtId="164" fontId="0" fillId="0" borderId="0" xfId="0" applyNumberFormat="1" applyBorder="1" applyAlignment="1" applyProtection="1">
      <protection hidden="1"/>
    </xf>
    <xf numFmtId="4" fontId="0" fillId="4" borderId="2" xfId="0" applyNumberFormat="1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>
      <alignment horizontal="center"/>
      <protection locked="0"/>
    </xf>
    <xf numFmtId="0" fontId="0" fillId="0" borderId="45" xfId="0" applyBorder="1" applyAlignment="1" applyProtection="1">
      <alignment horizontal="center" vertical="center"/>
      <protection hidden="1"/>
    </xf>
    <xf numFmtId="0" fontId="9" fillId="0" borderId="0" xfId="0" applyNumberFormat="1" applyFont="1" applyAlignment="1" applyProtection="1">
      <alignment horizontal="center" vertical="center"/>
      <protection hidden="1"/>
    </xf>
    <xf numFmtId="164" fontId="0" fillId="0" borderId="46" xfId="0" applyNumberFormat="1" applyBorder="1" applyProtection="1">
      <protection hidden="1"/>
    </xf>
    <xf numFmtId="4" fontId="0" fillId="4" borderId="6" xfId="0" applyNumberFormat="1" applyFill="1" applyBorder="1" applyProtection="1">
      <protection locked="0"/>
    </xf>
    <xf numFmtId="0" fontId="9" fillId="0" borderId="0" xfId="0" applyNumberFormat="1" applyFont="1" applyAlignment="1" applyProtection="1">
      <alignment horizontal="center" vertical="top"/>
      <protection locked="0"/>
    </xf>
    <xf numFmtId="7" fontId="9" fillId="0" borderId="0" xfId="0" applyNumberFormat="1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7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 vertical="top"/>
      <protection locked="0"/>
    </xf>
    <xf numFmtId="7" fontId="0" fillId="0" borderId="0" xfId="0" applyNumberFormat="1" applyAlignment="1" applyProtection="1">
      <alignment horizontal="center" vertical="top"/>
      <protection locked="0"/>
    </xf>
    <xf numFmtId="0" fontId="0" fillId="0" borderId="0" xfId="0" applyFill="1" applyProtection="1">
      <protection locked="0"/>
    </xf>
    <xf numFmtId="0" fontId="9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2" fontId="11" fillId="4" borderId="3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Protection="1">
      <protection locked="0" hidden="1"/>
    </xf>
    <xf numFmtId="0" fontId="0" fillId="0" borderId="0" xfId="0" applyProtection="1">
      <protection locked="0" hidden="1"/>
    </xf>
    <xf numFmtId="0" fontId="26" fillId="4" borderId="0" xfId="0" applyNumberFormat="1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Border="1" applyAlignment="1" applyProtection="1">
      <alignment horizontal="justify"/>
      <protection hidden="1"/>
    </xf>
    <xf numFmtId="164" fontId="0" fillId="0" borderId="0" xfId="0" applyNumberFormat="1" applyFill="1" applyBorder="1" applyAlignment="1" applyProtection="1">
      <alignment horizontal="center" vertical="center" wrapText="1"/>
      <protection hidden="1"/>
    </xf>
    <xf numFmtId="164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 wrapText="1"/>
      <protection hidden="1"/>
    </xf>
    <xf numFmtId="0" fontId="0" fillId="0" borderId="0" xfId="0" applyFill="1" applyBorder="1" applyProtection="1">
      <protection hidden="1"/>
    </xf>
    <xf numFmtId="0" fontId="9" fillId="0" borderId="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4" fontId="0" fillId="0" borderId="0" xfId="0" applyNumberFormat="1" applyFill="1" applyBorder="1" applyAlignment="1" applyProtection="1">
      <alignment horizontal="right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alignment horizontal="center" wrapText="1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hidden="1"/>
    </xf>
    <xf numFmtId="0" fontId="4" fillId="0" borderId="0" xfId="0" applyFont="1" applyFill="1" applyBorder="1" applyAlignment="1" applyProtection="1">
      <alignment horizontal="center"/>
      <protection hidden="1"/>
    </xf>
    <xf numFmtId="0" fontId="4" fillId="0" borderId="0" xfId="0" applyFont="1" applyFill="1" applyAlignment="1" applyProtection="1">
      <alignment horizontal="center"/>
      <protection hidden="1"/>
    </xf>
    <xf numFmtId="0" fontId="9" fillId="0" borderId="0" xfId="0" applyFont="1" applyFill="1" applyBorder="1" applyAlignment="1" applyProtection="1">
      <alignment horizontal="center" textRotation="90"/>
      <protection hidden="1"/>
    </xf>
    <xf numFmtId="0" fontId="0" fillId="0" borderId="0" xfId="0" applyFill="1" applyBorder="1" applyAlignment="1" applyProtection="1">
      <alignment horizontal="center" textRotation="90"/>
      <protection hidden="1"/>
    </xf>
    <xf numFmtId="15" fontId="2" fillId="0" borderId="0" xfId="0" applyNumberFormat="1" applyFont="1" applyFill="1" applyBorder="1" applyAlignment="1" applyProtection="1">
      <alignment horizontal="center"/>
      <protection hidden="1"/>
    </xf>
    <xf numFmtId="4" fontId="14" fillId="0" borderId="0" xfId="0" applyNumberFormat="1" applyFont="1" applyFill="1" applyBorder="1" applyAlignment="1" applyProtection="1">
      <alignment horizontal="center" vertical="center"/>
      <protection hidden="1"/>
    </xf>
    <xf numFmtId="4" fontId="9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44" fontId="1" fillId="0" borderId="0" xfId="1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Fill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4" fontId="0" fillId="0" borderId="0" xfId="0" applyNumberFormat="1" applyFill="1" applyBorder="1" applyAlignment="1" applyProtection="1">
      <alignment horizontal="center" vertical="center" wrapText="1"/>
      <protection hidden="1"/>
    </xf>
    <xf numFmtId="4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justify"/>
      <protection hidden="1"/>
    </xf>
    <xf numFmtId="0" fontId="0" fillId="4" borderId="1" xfId="0" applyFill="1" applyBorder="1" applyAlignment="1" applyProtection="1">
      <alignment horizontal="left" vertical="center"/>
      <protection hidden="1"/>
    </xf>
    <xf numFmtId="0" fontId="9" fillId="4" borderId="1" xfId="0" applyFont="1" applyFill="1" applyBorder="1" applyAlignment="1" applyProtection="1">
      <alignment horizontal="left" vertical="center"/>
      <protection hidden="1"/>
    </xf>
    <xf numFmtId="17" fontId="0" fillId="4" borderId="0" xfId="0" applyNumberForma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vertical="center"/>
      <protection hidden="1"/>
    </xf>
    <xf numFmtId="0" fontId="26" fillId="4" borderId="0" xfId="0" applyNumberFormat="1" applyFont="1" applyFill="1" applyBorder="1" applyAlignment="1" applyProtection="1">
      <alignment horizontal="right" vertical="center"/>
      <protection locked="0"/>
    </xf>
    <xf numFmtId="17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8" fillId="0" borderId="0" xfId="0" applyFont="1"/>
    <xf numFmtId="0" fontId="8" fillId="0" borderId="0" xfId="0" applyFont="1" applyBorder="1"/>
    <xf numFmtId="0" fontId="8" fillId="0" borderId="0" xfId="3" applyNumberFormat="1" applyFont="1"/>
    <xf numFmtId="0" fontId="8" fillId="0" borderId="0" xfId="0" applyFont="1" applyAlignment="1" applyProtection="1">
      <alignment horizontal="right"/>
      <protection hidden="1"/>
    </xf>
    <xf numFmtId="0" fontId="8" fillId="0" borderId="0" xfId="0" applyFont="1" applyBorder="1" applyAlignment="1" applyProtection="1">
      <protection hidden="1"/>
    </xf>
    <xf numFmtId="0" fontId="8" fillId="0" borderId="0" xfId="0" applyFont="1" applyBorder="1" applyProtection="1">
      <protection hidden="1"/>
    </xf>
    <xf numFmtId="0" fontId="8" fillId="0" borderId="0" xfId="0" applyFont="1" applyAlignment="1" applyProtection="1">
      <alignment horizontal="left"/>
      <protection hidden="1"/>
    </xf>
    <xf numFmtId="0" fontId="8" fillId="0" borderId="0" xfId="0" quotePrefix="1" applyFont="1" applyAlignment="1" applyProtection="1">
      <alignment horizontal="left"/>
      <protection hidden="1"/>
    </xf>
    <xf numFmtId="0" fontId="8" fillId="0" borderId="0" xfId="0" quotePrefix="1" applyFont="1" applyProtection="1">
      <protection hidden="1"/>
    </xf>
    <xf numFmtId="0" fontId="3" fillId="0" borderId="0" xfId="0" applyFont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0" borderId="4" xfId="0" applyFont="1" applyBorder="1" applyAlignment="1" applyProtection="1">
      <alignment horizontal="center"/>
      <protection hidden="1"/>
    </xf>
    <xf numFmtId="165" fontId="2" fillId="0" borderId="4" xfId="0" applyNumberFormat="1" applyFont="1" applyBorder="1" applyAlignment="1" applyProtection="1">
      <alignment horizontal="center"/>
      <protection hidden="1"/>
    </xf>
    <xf numFmtId="164" fontId="2" fillId="0" borderId="4" xfId="0" applyNumberFormat="1" applyFont="1" applyBorder="1" applyAlignment="1" applyProtection="1">
      <alignment horizontal="center"/>
      <protection hidden="1"/>
    </xf>
    <xf numFmtId="0" fontId="2" fillId="0" borderId="29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0" fillId="6" borderId="0" xfId="0" applyFill="1" applyProtection="1"/>
    <xf numFmtId="164" fontId="20" fillId="0" borderId="2" xfId="0" applyNumberFormat="1" applyFont="1" applyBorder="1" applyAlignment="1" applyProtection="1">
      <alignment horizontal="center"/>
      <protection locked="0"/>
    </xf>
    <xf numFmtId="164" fontId="21" fillId="0" borderId="6" xfId="0" applyNumberFormat="1" applyFont="1" applyBorder="1" applyAlignment="1" applyProtection="1">
      <alignment horizontal="center"/>
      <protection locked="0"/>
    </xf>
    <xf numFmtId="164" fontId="21" fillId="0" borderId="2" xfId="0" applyNumberFormat="1" applyFont="1" applyBorder="1" applyAlignment="1" applyProtection="1">
      <alignment horizontal="center"/>
      <protection locked="0"/>
    </xf>
    <xf numFmtId="0" fontId="0" fillId="0" borderId="23" xfId="0" applyNumberFormat="1" applyBorder="1" applyAlignment="1" applyProtection="1">
      <alignment horizontal="center"/>
      <protection locked="0"/>
    </xf>
    <xf numFmtId="0" fontId="0" fillId="0" borderId="14" xfId="0" applyNumberFormat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4" borderId="3" xfId="0" applyFill="1" applyBorder="1" applyAlignment="1" applyProtection="1">
      <alignment horizontal="center" vertical="center"/>
      <protection locked="0"/>
    </xf>
    <xf numFmtId="0" fontId="9" fillId="4" borderId="3" xfId="0" applyFont="1" applyFill="1" applyBorder="1" applyAlignment="1" applyProtection="1">
      <alignment horizontal="left" wrapText="1"/>
      <protection locked="0"/>
    </xf>
    <xf numFmtId="0" fontId="0" fillId="4" borderId="3" xfId="0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alignment horizontal="left" vertical="center"/>
      <protection locked="0"/>
    </xf>
    <xf numFmtId="0" fontId="0" fillId="4" borderId="3" xfId="0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2" fontId="8" fillId="4" borderId="1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hidden="1"/>
    </xf>
    <xf numFmtId="164" fontId="8" fillId="0" borderId="23" xfId="0" applyNumberFormat="1" applyFont="1" applyBorder="1" applyAlignment="1" applyProtection="1">
      <alignment horizontal="right"/>
      <protection hidden="1"/>
    </xf>
    <xf numFmtId="164" fontId="8" fillId="0" borderId="3" xfId="0" applyNumberFormat="1" applyFont="1" applyBorder="1" applyAlignment="1" applyProtection="1">
      <alignment horizontal="right"/>
      <protection hidden="1"/>
    </xf>
    <xf numFmtId="164" fontId="8" fillId="0" borderId="22" xfId="0" applyNumberFormat="1" applyFont="1" applyBorder="1" applyAlignment="1" applyProtection="1">
      <alignment horizontal="right"/>
      <protection hidden="1"/>
    </xf>
    <xf numFmtId="164" fontId="8" fillId="0" borderId="1" xfId="0" applyNumberFormat="1" applyFont="1" applyBorder="1" applyAlignment="1" applyProtection="1">
      <alignment horizontal="right"/>
      <protection hidden="1"/>
    </xf>
    <xf numFmtId="0" fontId="8" fillId="0" borderId="0" xfId="0" applyFont="1" applyAlignment="1" applyProtection="1">
      <alignment horizontal="left"/>
      <protection hidden="1"/>
    </xf>
    <xf numFmtId="164" fontId="8" fillId="0" borderId="2" xfId="0" applyNumberFormat="1" applyFont="1" applyFill="1" applyBorder="1" applyAlignment="1" applyProtection="1">
      <alignment horizontal="center"/>
      <protection hidden="1"/>
    </xf>
    <xf numFmtId="0" fontId="9" fillId="0" borderId="15" xfId="0" applyFont="1" applyBorder="1" applyAlignment="1" applyProtection="1">
      <alignment horizontal="center"/>
      <protection hidden="1"/>
    </xf>
    <xf numFmtId="0" fontId="9" fillId="0" borderId="0" xfId="0" quotePrefix="1" applyFont="1" applyAlignment="1" applyProtection="1">
      <alignment horizontal="center" vertical="center"/>
      <protection hidden="1"/>
    </xf>
    <xf numFmtId="0" fontId="9" fillId="0" borderId="38" xfId="0" quotePrefix="1" applyFont="1" applyBorder="1" applyAlignment="1" applyProtection="1">
      <alignment horizontal="center" vertical="center"/>
      <protection hidden="1"/>
    </xf>
    <xf numFmtId="168" fontId="8" fillId="0" borderId="1" xfId="0" applyNumberFormat="1" applyFont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left"/>
      <protection hidden="1"/>
    </xf>
    <xf numFmtId="0" fontId="8" fillId="0" borderId="2" xfId="0" applyFont="1" applyBorder="1" applyAlignment="1" applyProtection="1">
      <alignment horizontal="left"/>
      <protection hidden="1"/>
    </xf>
    <xf numFmtId="0" fontId="4" fillId="0" borderId="0" xfId="0" applyFont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 wrapText="1"/>
      <protection hidden="1"/>
    </xf>
    <xf numFmtId="0" fontId="8" fillId="0" borderId="1" xfId="0" applyFont="1" applyBorder="1" applyAlignment="1" applyProtection="1">
      <alignment horizontal="left" wrapText="1"/>
      <protection hidden="1"/>
    </xf>
    <xf numFmtId="0" fontId="8" fillId="4" borderId="0" xfId="0" applyFont="1" applyFill="1" applyAlignment="1" applyProtection="1">
      <alignment horizontal="left" wrapText="1"/>
      <protection locked="0"/>
    </xf>
    <xf numFmtId="0" fontId="8" fillId="4" borderId="1" xfId="0" applyFont="1" applyFill="1" applyBorder="1" applyAlignment="1" applyProtection="1">
      <alignment horizontal="left" wrapText="1"/>
      <protection locked="0"/>
    </xf>
    <xf numFmtId="0" fontId="8" fillId="0" borderId="2" xfId="0" applyFont="1" applyBorder="1" applyAlignment="1" applyProtection="1">
      <alignment horizontal="center" vertical="center"/>
      <protection hidden="1"/>
    </xf>
    <xf numFmtId="0" fontId="8" fillId="0" borderId="2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1" xfId="0" applyFont="1" applyBorder="1" applyAlignment="1" applyProtection="1">
      <alignment horizontal="center"/>
      <protection hidden="1"/>
    </xf>
    <xf numFmtId="0" fontId="9" fillId="0" borderId="15" xfId="0" applyFont="1" applyBorder="1" applyAlignment="1" applyProtection="1">
      <protection hidden="1"/>
    </xf>
    <xf numFmtId="0" fontId="0" fillId="0" borderId="15" xfId="0" applyBorder="1" applyAlignment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164" fontId="10" fillId="0" borderId="23" xfId="0" applyNumberFormat="1" applyFont="1" applyBorder="1" applyAlignment="1" applyProtection="1">
      <alignment horizontal="center"/>
      <protection hidden="1"/>
    </xf>
    <xf numFmtId="0" fontId="0" fillId="0" borderId="3" xfId="0" applyBorder="1" applyProtection="1">
      <protection hidden="1"/>
    </xf>
    <xf numFmtId="0" fontId="0" fillId="0" borderId="22" xfId="0" applyBorder="1" applyProtection="1">
      <protection hidden="1"/>
    </xf>
    <xf numFmtId="0" fontId="10" fillId="0" borderId="52" xfId="0" applyFont="1" applyBorder="1" applyAlignment="1" applyProtection="1">
      <alignment wrapText="1"/>
      <protection hidden="1"/>
    </xf>
    <xf numFmtId="0" fontId="0" fillId="0" borderId="48" xfId="0" applyBorder="1" applyAlignment="1" applyProtection="1">
      <alignment wrapText="1"/>
      <protection hidden="1"/>
    </xf>
    <xf numFmtId="0" fontId="0" fillId="0" borderId="53" xfId="0" applyBorder="1" applyAlignment="1" applyProtection="1">
      <alignment wrapText="1"/>
      <protection hidden="1"/>
    </xf>
    <xf numFmtId="0" fontId="0" fillId="0" borderId="54" xfId="0" applyBorder="1" applyAlignment="1" applyProtection="1">
      <alignment wrapText="1"/>
      <protection hidden="1"/>
    </xf>
    <xf numFmtId="0" fontId="0" fillId="0" borderId="27" xfId="0" applyBorder="1" applyAlignment="1" applyProtection="1">
      <alignment wrapText="1"/>
      <protection hidden="1"/>
    </xf>
    <xf numFmtId="0" fontId="0" fillId="0" borderId="44" xfId="0" applyBorder="1" applyAlignment="1" applyProtection="1">
      <alignment wrapText="1"/>
      <protection hidden="1"/>
    </xf>
    <xf numFmtId="164" fontId="10" fillId="0" borderId="42" xfId="0" applyNumberFormat="1" applyFont="1" applyBorder="1" applyAlignment="1" applyProtection="1">
      <alignment horizontal="center"/>
      <protection hidden="1"/>
    </xf>
    <xf numFmtId="164" fontId="10" fillId="0" borderId="55" xfId="0" applyNumberFormat="1" applyFont="1" applyBorder="1" applyAlignment="1" applyProtection="1">
      <alignment horizontal="center"/>
      <protection hidden="1"/>
    </xf>
    <xf numFmtId="0" fontId="0" fillId="0" borderId="56" xfId="0" applyBorder="1" applyAlignment="1" applyProtection="1">
      <alignment horizontal="center"/>
      <protection hidden="1"/>
    </xf>
    <xf numFmtId="164" fontId="10" fillId="0" borderId="3" xfId="0" applyNumberFormat="1" applyFont="1" applyBorder="1" applyAlignment="1" applyProtection="1">
      <alignment horizontal="center"/>
      <protection hidden="1"/>
    </xf>
    <xf numFmtId="0" fontId="0" fillId="0" borderId="22" xfId="0" applyBorder="1" applyAlignment="1" applyProtection="1">
      <alignment horizontal="center"/>
      <protection hidden="1"/>
    </xf>
    <xf numFmtId="164" fontId="10" fillId="0" borderId="36" xfId="0" applyNumberFormat="1" applyFont="1" applyBorder="1" applyAlignment="1" applyProtection="1">
      <alignment horizontal="center"/>
      <protection hidden="1"/>
    </xf>
    <xf numFmtId="164" fontId="10" fillId="0" borderId="25" xfId="0" applyNumberFormat="1" applyFont="1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center"/>
      <protection hidden="1"/>
    </xf>
    <xf numFmtId="15" fontId="3" fillId="0" borderId="1" xfId="0" applyNumberFormat="1" applyFont="1" applyFill="1" applyBorder="1" applyAlignment="1" applyProtection="1">
      <alignment horizontal="center"/>
      <protection hidden="1"/>
    </xf>
    <xf numFmtId="15" fontId="2" fillId="0" borderId="1" xfId="0" applyNumberFormat="1" applyFont="1" applyFill="1" applyBorder="1" applyAlignment="1" applyProtection="1">
      <alignment horizontal="center"/>
      <protection hidden="1"/>
    </xf>
    <xf numFmtId="164" fontId="8" fillId="0" borderId="23" xfId="0" applyNumberFormat="1" applyFont="1" applyBorder="1" applyAlignment="1" applyProtection="1">
      <alignment horizontal="center"/>
      <protection hidden="1"/>
    </xf>
    <xf numFmtId="164" fontId="8" fillId="0" borderId="3" xfId="0" applyNumberFormat="1" applyFont="1" applyBorder="1" applyAlignment="1" applyProtection="1">
      <alignment horizontal="center"/>
      <protection hidden="1"/>
    </xf>
    <xf numFmtId="164" fontId="8" fillId="0" borderId="31" xfId="0" applyNumberFormat="1" applyFont="1" applyBorder="1" applyAlignment="1" applyProtection="1">
      <alignment horizontal="center"/>
      <protection hidden="1"/>
    </xf>
    <xf numFmtId="164" fontId="0" fillId="0" borderId="22" xfId="0" applyNumberFormat="1" applyBorder="1" applyAlignment="1" applyProtection="1">
      <alignment horizontal="center"/>
      <protection hidden="1"/>
    </xf>
    <xf numFmtId="0" fontId="0" fillId="0" borderId="34" xfId="0" applyBorder="1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38" xfId="0" applyBorder="1" applyAlignment="1" applyProtection="1">
      <protection hidden="1"/>
    </xf>
    <xf numFmtId="0" fontId="0" fillId="0" borderId="29" xfId="0" applyBorder="1" applyAlignment="1" applyProtection="1">
      <alignment horizontal="center"/>
      <protection hidden="1"/>
    </xf>
    <xf numFmtId="0" fontId="0" fillId="0" borderId="1" xfId="0" applyBorder="1" applyAlignment="1" applyProtection="1">
      <protection hidden="1"/>
    </xf>
    <xf numFmtId="0" fontId="0" fillId="0" borderId="5" xfId="0" applyBorder="1" applyAlignment="1" applyProtection="1"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9" fillId="0" borderId="0" xfId="0" applyFont="1" applyAlignment="1" applyProtection="1">
      <alignment wrapText="1"/>
      <protection hidden="1"/>
    </xf>
    <xf numFmtId="0" fontId="9" fillId="0" borderId="1" xfId="0" applyFont="1" applyBorder="1" applyAlignment="1" applyProtection="1">
      <alignment wrapText="1"/>
      <protection hidden="1"/>
    </xf>
    <xf numFmtId="0" fontId="0" fillId="0" borderId="40" xfId="0" applyBorder="1" applyAlignment="1" applyProtection="1">
      <alignment horizontal="center"/>
      <protection hidden="1"/>
    </xf>
    <xf numFmtId="0" fontId="0" fillId="0" borderId="55" xfId="0" applyBorder="1" applyAlignment="1" applyProtection="1">
      <alignment horizontal="center"/>
      <protection hidden="1"/>
    </xf>
    <xf numFmtId="0" fontId="0" fillId="0" borderId="41" xfId="0" applyBorder="1" applyAlignment="1" applyProtection="1">
      <alignment horizontal="center"/>
      <protection hidden="1"/>
    </xf>
    <xf numFmtId="0" fontId="0" fillId="0" borderId="35" xfId="0" applyBorder="1" applyAlignment="1" applyProtection="1">
      <protection hidden="1"/>
    </xf>
    <xf numFmtId="0" fontId="0" fillId="0" borderId="30" xfId="0" applyBorder="1" applyAlignment="1" applyProtection="1">
      <protection hidden="1"/>
    </xf>
    <xf numFmtId="17" fontId="3" fillId="4" borderId="3" xfId="0" applyNumberFormat="1" applyFont="1" applyFill="1" applyBorder="1" applyAlignment="1" applyProtection="1">
      <alignment horizontal="right"/>
      <protection locked="0"/>
    </xf>
    <xf numFmtId="0" fontId="3" fillId="4" borderId="3" xfId="0" applyFont="1" applyFill="1" applyBorder="1" applyAlignment="1" applyProtection="1">
      <alignment horizontal="left"/>
      <protection locked="0"/>
    </xf>
    <xf numFmtId="0" fontId="0" fillId="0" borderId="31" xfId="0" applyBorder="1" applyAlignment="1" applyProtection="1">
      <alignment horizontal="center"/>
      <protection hidden="1"/>
    </xf>
    <xf numFmtId="0" fontId="22" fillId="0" borderId="21" xfId="0" quotePrefix="1" applyFont="1" applyFill="1" applyBorder="1" applyAlignment="1" applyProtection="1">
      <alignment vertical="center"/>
      <protection hidden="1"/>
    </xf>
    <xf numFmtId="0" fontId="22" fillId="0" borderId="3" xfId="0" applyFont="1" applyFill="1" applyBorder="1" applyAlignment="1">
      <alignment vertical="center"/>
    </xf>
    <xf numFmtId="0" fontId="22" fillId="0" borderId="22" xfId="0" applyFont="1" applyFill="1" applyBorder="1" applyAlignment="1">
      <alignment vertical="center"/>
    </xf>
    <xf numFmtId="164" fontId="11" fillId="4" borderId="23" xfId="0" applyNumberFormat="1" applyFont="1" applyFill="1" applyBorder="1" applyAlignment="1" applyProtection="1">
      <alignment horizontal="center"/>
      <protection locked="0"/>
    </xf>
    <xf numFmtId="164" fontId="11" fillId="4" borderId="3" xfId="0" applyNumberFormat="1" applyFont="1" applyFill="1" applyBorder="1" applyAlignment="1" applyProtection="1">
      <alignment horizontal="center"/>
      <protection locked="0"/>
    </xf>
    <xf numFmtId="0" fontId="7" fillId="4" borderId="22" xfId="0" applyFont="1" applyFill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hidden="1"/>
    </xf>
    <xf numFmtId="164" fontId="8" fillId="0" borderId="36" xfId="0" applyNumberFormat="1" applyFont="1" applyBorder="1" applyAlignment="1" applyProtection="1">
      <alignment horizontal="center"/>
      <protection hidden="1"/>
    </xf>
    <xf numFmtId="164" fontId="8" fillId="0" borderId="25" xfId="0" applyNumberFormat="1" applyFont="1" applyBorder="1" applyAlignment="1" applyProtection="1">
      <alignment horizontal="center"/>
      <protection hidden="1"/>
    </xf>
    <xf numFmtId="0" fontId="0" fillId="0" borderId="37" xfId="0" applyBorder="1" applyAlignment="1" applyProtection="1">
      <alignment horizontal="center"/>
      <protection hidden="1"/>
    </xf>
    <xf numFmtId="164" fontId="0" fillId="0" borderId="56" xfId="0" applyNumberFormat="1" applyBorder="1" applyAlignment="1" applyProtection="1">
      <alignment horizontal="center"/>
      <protection hidden="1"/>
    </xf>
    <xf numFmtId="0" fontId="10" fillId="0" borderId="15" xfId="0" applyFont="1" applyBorder="1" applyAlignment="1" applyProtection="1">
      <alignment horizontal="center"/>
      <protection hidden="1"/>
    </xf>
    <xf numFmtId="164" fontId="10" fillId="0" borderId="14" xfId="0" applyNumberFormat="1" applyFont="1" applyBorder="1" applyAlignment="1" applyProtection="1">
      <alignment horizontal="center"/>
      <protection hidden="1"/>
    </xf>
    <xf numFmtId="164" fontId="10" fillId="0" borderId="15" xfId="0" applyNumberFormat="1" applyFont="1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11" fillId="4" borderId="15" xfId="0" applyFont="1" applyFill="1" applyBorder="1" applyAlignment="1" applyProtection="1">
      <protection locked="0"/>
    </xf>
    <xf numFmtId="0" fontId="0" fillId="4" borderId="15" xfId="0" applyFill="1" applyBorder="1" applyAlignment="1" applyProtection="1">
      <protection locked="0"/>
    </xf>
    <xf numFmtId="0" fontId="9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9" fillId="0" borderId="15" xfId="0" applyFont="1" applyBorder="1" applyAlignment="1" applyProtection="1">
      <alignment horizontal="center" vertical="center"/>
      <protection hidden="1"/>
    </xf>
    <xf numFmtId="164" fontId="8" fillId="0" borderId="2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 vertical="center" shrinkToFit="1"/>
      <protection hidden="1"/>
    </xf>
    <xf numFmtId="0" fontId="0" fillId="0" borderId="23" xfId="0" applyBorder="1" applyAlignment="1" applyProtection="1">
      <alignment horizontal="center" vertical="center" shrinkToFit="1"/>
      <protection hidden="1"/>
    </xf>
    <xf numFmtId="0" fontId="0" fillId="0" borderId="55" xfId="0" applyBorder="1" applyProtection="1">
      <protection hidden="1"/>
    </xf>
    <xf numFmtId="0" fontId="0" fillId="0" borderId="56" xfId="0" applyBorder="1" applyProtection="1">
      <protection hidden="1"/>
    </xf>
    <xf numFmtId="164" fontId="8" fillId="0" borderId="2" xfId="0" applyNumberFormat="1" applyFont="1" applyFill="1" applyBorder="1" applyAlignment="1" applyProtection="1">
      <alignment horizontal="center" vertical="center"/>
      <protection hidden="1"/>
    </xf>
    <xf numFmtId="164" fontId="8" fillId="0" borderId="23" xfId="0" applyNumberFormat="1" applyFont="1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8" fillId="0" borderId="21" xfId="0" quotePrefix="1" applyFont="1" applyFill="1" applyBorder="1" applyAlignment="1" applyProtection="1">
      <alignment horizontal="left" vertical="center"/>
      <protection hidden="1"/>
    </xf>
    <xf numFmtId="0" fontId="8" fillId="0" borderId="3" xfId="0" applyFont="1" applyFill="1" applyBorder="1" applyAlignment="1" applyProtection="1">
      <alignment horizontal="left" vertical="center"/>
      <protection hidden="1"/>
    </xf>
    <xf numFmtId="0" fontId="8" fillId="0" borderId="22" xfId="0" applyFont="1" applyFill="1" applyBorder="1" applyAlignment="1" applyProtection="1">
      <alignment horizontal="left" vertical="center"/>
      <protection hidden="1"/>
    </xf>
    <xf numFmtId="0" fontId="0" fillId="0" borderId="48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10" fontId="11" fillId="4" borderId="3" xfId="0" applyNumberFormat="1" applyFont="1" applyFill="1" applyBorder="1" applyAlignment="1" applyProtection="1">
      <protection locked="0"/>
    </xf>
    <xf numFmtId="0" fontId="2" fillId="4" borderId="3" xfId="0" applyFont="1" applyFill="1" applyBorder="1" applyAlignment="1" applyProtection="1">
      <protection locked="0"/>
    </xf>
    <xf numFmtId="0" fontId="10" fillId="0" borderId="13" xfId="0" applyFont="1" applyBorder="1" applyAlignment="1" applyProtection="1">
      <alignment wrapText="1"/>
      <protection hidden="1"/>
    </xf>
    <xf numFmtId="0" fontId="0" fillId="0" borderId="6" xfId="0" applyBorder="1" applyAlignment="1" applyProtection="1">
      <alignment wrapText="1"/>
      <protection hidden="1"/>
    </xf>
    <xf numFmtId="0" fontId="0" fillId="0" borderId="49" xfId="0" applyBorder="1" applyAlignment="1" applyProtection="1">
      <alignment wrapText="1"/>
      <protection hidden="1"/>
    </xf>
    <xf numFmtId="0" fontId="0" fillId="0" borderId="50" xfId="0" applyBorder="1" applyAlignment="1" applyProtection="1">
      <alignment wrapText="1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51" xfId="0" applyBorder="1" applyAlignment="1" applyProtection="1">
      <alignment horizontal="center"/>
      <protection hidden="1"/>
    </xf>
    <xf numFmtId="0" fontId="0" fillId="4" borderId="52" xfId="0" applyFill="1" applyBorder="1" applyAlignment="1" applyProtection="1">
      <alignment horizontal="center"/>
      <protection locked="0"/>
    </xf>
    <xf numFmtId="0" fontId="0" fillId="4" borderId="48" xfId="0" applyFill="1" applyBorder="1" applyAlignment="1" applyProtection="1">
      <alignment horizontal="center"/>
      <protection locked="0"/>
    </xf>
    <xf numFmtId="0" fontId="0" fillId="4" borderId="53" xfId="0" applyFill="1" applyBorder="1" applyAlignment="1" applyProtection="1">
      <alignment horizontal="center"/>
      <protection locked="0"/>
    </xf>
    <xf numFmtId="0" fontId="0" fillId="4" borderId="33" xfId="0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  <protection locked="0"/>
    </xf>
    <xf numFmtId="0" fontId="0" fillId="4" borderId="35" xfId="0" applyFill="1" applyBorder="1" applyAlignment="1" applyProtection="1">
      <alignment horizontal="center"/>
      <protection locked="0"/>
    </xf>
    <xf numFmtId="0" fontId="0" fillId="4" borderId="54" xfId="0" applyFill="1" applyBorder="1" applyAlignment="1" applyProtection="1">
      <alignment horizontal="center"/>
      <protection locked="0"/>
    </xf>
    <xf numFmtId="0" fontId="0" fillId="4" borderId="27" xfId="0" applyFill="1" applyBorder="1" applyAlignment="1" applyProtection="1">
      <alignment horizontal="center"/>
      <protection locked="0"/>
    </xf>
    <xf numFmtId="0" fontId="0" fillId="4" borderId="44" xfId="0" applyFill="1" applyBorder="1" applyAlignment="1" applyProtection="1">
      <alignment horizontal="center"/>
      <protection locked="0"/>
    </xf>
    <xf numFmtId="0" fontId="0" fillId="0" borderId="25" xfId="0" applyBorder="1" applyProtection="1">
      <protection hidden="1"/>
    </xf>
    <xf numFmtId="0" fontId="0" fillId="0" borderId="26" xfId="0" applyBorder="1" applyProtection="1">
      <protection hidden="1"/>
    </xf>
    <xf numFmtId="0" fontId="0" fillId="4" borderId="3" xfId="0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2" fillId="0" borderId="3" xfId="0" applyFont="1" applyBorder="1" applyAlignment="1" applyProtection="1">
      <protection hidden="1"/>
    </xf>
    <xf numFmtId="0" fontId="12" fillId="0" borderId="22" xfId="0" applyFont="1" applyBorder="1" applyAlignment="1" applyProtection="1">
      <protection hidden="1"/>
    </xf>
    <xf numFmtId="0" fontId="12" fillId="0" borderId="3" xfId="0" applyFont="1" applyFill="1" applyBorder="1" applyAlignment="1" applyProtection="1">
      <protection hidden="1"/>
    </xf>
    <xf numFmtId="0" fontId="10" fillId="0" borderId="3" xfId="0" applyFont="1" applyBorder="1" applyAlignment="1" applyProtection="1">
      <protection hidden="1"/>
    </xf>
    <xf numFmtId="0" fontId="12" fillId="0" borderId="9" xfId="0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164" fontId="8" fillId="0" borderId="46" xfId="0" applyNumberFormat="1" applyFont="1" applyFill="1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 shrinkToFit="1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4" fontId="14" fillId="0" borderId="63" xfId="0" applyNumberFormat="1" applyFont="1" applyBorder="1" applyAlignment="1" applyProtection="1">
      <alignment horizontal="center" vertical="center"/>
      <protection hidden="1"/>
    </xf>
    <xf numFmtId="4" fontId="14" fillId="0" borderId="61" xfId="0" applyNumberFormat="1" applyFont="1" applyBorder="1" applyAlignment="1" applyProtection="1">
      <alignment horizontal="center" vertical="center"/>
      <protection hidden="1"/>
    </xf>
    <xf numFmtId="4" fontId="14" fillId="0" borderId="62" xfId="0" applyNumberFormat="1" applyFont="1" applyBorder="1" applyAlignment="1" applyProtection="1">
      <alignment horizontal="center" vertical="center"/>
      <protection hidden="1"/>
    </xf>
    <xf numFmtId="4" fontId="14" fillId="0" borderId="39" xfId="0" applyNumberFormat="1" applyFont="1" applyBorder="1" applyAlignment="1" applyProtection="1">
      <alignment horizontal="center" vertical="center"/>
      <protection hidden="1"/>
    </xf>
    <xf numFmtId="4" fontId="14" fillId="0" borderId="2" xfId="0" applyNumberFormat="1" applyFont="1" applyBorder="1" applyAlignment="1" applyProtection="1">
      <alignment horizontal="center" vertical="center"/>
      <protection hidden="1"/>
    </xf>
    <xf numFmtId="4" fontId="14" fillId="0" borderId="45" xfId="0" applyNumberFormat="1" applyFont="1" applyBorder="1" applyAlignment="1" applyProtection="1">
      <alignment horizontal="center" vertical="center"/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4" fontId="0" fillId="0" borderId="2" xfId="0" applyNumberForma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 wrapText="1"/>
      <protection hidden="1"/>
    </xf>
    <xf numFmtId="0" fontId="0" fillId="0" borderId="45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Alignment="1" applyProtection="1">
      <alignment horizontal="right"/>
      <protection hidden="1"/>
    </xf>
    <xf numFmtId="15" fontId="2" fillId="4" borderId="23" xfId="0" applyNumberFormat="1" applyFont="1" applyFill="1" applyBorder="1" applyAlignment="1" applyProtection="1">
      <alignment horizontal="center"/>
      <protection locked="0"/>
    </xf>
    <xf numFmtId="15" fontId="2" fillId="4" borderId="22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center"/>
      <protection hidden="1"/>
    </xf>
    <xf numFmtId="0" fontId="9" fillId="0" borderId="0" xfId="0" applyFont="1" applyFill="1" applyBorder="1" applyAlignment="1" applyProtection="1">
      <alignment horizontal="center" textRotation="90"/>
      <protection hidden="1"/>
    </xf>
    <xf numFmtId="0" fontId="9" fillId="0" borderId="0" xfId="0" applyFont="1" applyAlignment="1" applyProtection="1">
      <alignment horizontal="left" wrapText="1"/>
      <protection hidden="1"/>
    </xf>
    <xf numFmtId="0" fontId="0" fillId="0" borderId="0" xfId="0" applyAlignment="1" applyProtection="1">
      <alignment horizontal="left" wrapText="1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9" fillId="4" borderId="32" xfId="0" applyFont="1" applyFill="1" applyBorder="1" applyAlignment="1" applyProtection="1">
      <alignment horizontal="center" vertical="center" wrapText="1"/>
      <protection locked="0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0" fontId="9" fillId="4" borderId="16" xfId="0" applyFont="1" applyFill="1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hidden="1"/>
    </xf>
    <xf numFmtId="0" fontId="0" fillId="0" borderId="16" xfId="0" applyBorder="1" applyAlignment="1" applyProtection="1">
      <alignment horizontal="center" vertical="center" wrapText="1"/>
      <protection hidden="1"/>
    </xf>
    <xf numFmtId="0" fontId="0" fillId="0" borderId="29" xfId="0" applyBorder="1" applyAlignment="1" applyProtection="1">
      <alignment horizontal="center" vertical="center" wrapText="1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164" fontId="0" fillId="0" borderId="14" xfId="0" applyNumberFormat="1" applyBorder="1" applyAlignment="1" applyProtection="1">
      <alignment horizontal="center" vertical="center"/>
      <protection hidden="1"/>
    </xf>
    <xf numFmtId="164" fontId="0" fillId="0" borderId="17" xfId="0" applyNumberFormat="1" applyBorder="1" applyAlignment="1" applyProtection="1">
      <alignment horizontal="center" vertical="center"/>
      <protection hidden="1"/>
    </xf>
    <xf numFmtId="164" fontId="0" fillId="0" borderId="29" xfId="0" applyNumberFormat="1" applyBorder="1" applyAlignment="1" applyProtection="1">
      <alignment horizontal="center" vertical="center"/>
      <protection hidden="1"/>
    </xf>
    <xf numFmtId="164" fontId="0" fillId="0" borderId="30" xfId="0" applyNumberFormat="1" applyBorder="1" applyAlignment="1" applyProtection="1">
      <alignment horizontal="center" vertical="center"/>
      <protection hidden="1"/>
    </xf>
    <xf numFmtId="165" fontId="0" fillId="0" borderId="28" xfId="0" applyNumberFormat="1" applyBorder="1" applyAlignment="1" applyProtection="1">
      <alignment horizontal="center" vertical="center" wrapText="1"/>
      <protection hidden="1"/>
    </xf>
    <xf numFmtId="165" fontId="0" fillId="0" borderId="1" xfId="0" applyNumberFormat="1" applyBorder="1" applyAlignment="1" applyProtection="1">
      <alignment horizontal="center" vertical="center" wrapText="1"/>
      <protection hidden="1"/>
    </xf>
    <xf numFmtId="165" fontId="0" fillId="0" borderId="5" xfId="0" applyNumberFormat="1" applyBorder="1" applyAlignment="1" applyProtection="1">
      <alignment horizontal="center" vertical="center" wrapText="1"/>
      <protection hidden="1"/>
    </xf>
    <xf numFmtId="164" fontId="0" fillId="0" borderId="43" xfId="0" applyNumberFormat="1" applyBorder="1" applyAlignment="1" applyProtection="1">
      <alignment horizontal="center" vertical="center"/>
      <protection hidden="1"/>
    </xf>
    <xf numFmtId="164" fontId="0" fillId="0" borderId="44" xfId="0" applyNumberFormat="1" applyBorder="1" applyAlignment="1" applyProtection="1">
      <alignment horizontal="center" vertical="center"/>
      <protection hidden="1"/>
    </xf>
    <xf numFmtId="165" fontId="0" fillId="0" borderId="33" xfId="0" applyNumberFormat="1" applyBorder="1" applyAlignment="1" applyProtection="1">
      <alignment horizontal="center" vertical="center" wrapText="1"/>
      <protection hidden="1"/>
    </xf>
    <xf numFmtId="165" fontId="0" fillId="0" borderId="0" xfId="0" applyNumberFormat="1" applyBorder="1" applyAlignment="1" applyProtection="1">
      <alignment horizontal="center" vertical="center" wrapText="1"/>
      <protection hidden="1"/>
    </xf>
    <xf numFmtId="165" fontId="0" fillId="0" borderId="38" xfId="0" applyNumberFormat="1" applyBorder="1" applyAlignment="1" applyProtection="1">
      <alignment horizontal="center" vertical="center" wrapText="1"/>
      <protection hidden="1"/>
    </xf>
    <xf numFmtId="0" fontId="9" fillId="0" borderId="39" xfId="0" applyFont="1" applyBorder="1" applyAlignment="1" applyProtection="1">
      <alignment horizontal="center" vertical="center" wrapText="1"/>
      <protection hidden="1"/>
    </xf>
    <xf numFmtId="0" fontId="0" fillId="0" borderId="39" xfId="0" applyBorder="1" applyAlignment="1" applyProtection="1">
      <alignment horizontal="center" vertical="center" wrapText="1"/>
      <protection hidden="1"/>
    </xf>
    <xf numFmtId="0" fontId="9" fillId="0" borderId="2" xfId="0" applyFont="1" applyBorder="1" applyAlignment="1" applyProtection="1">
      <alignment horizontal="center" vertical="center" wrapText="1"/>
      <protection hidden="1"/>
    </xf>
    <xf numFmtId="4" fontId="0" fillId="0" borderId="45" xfId="0" applyNumberFormat="1" applyBorder="1" applyAlignment="1" applyProtection="1">
      <alignment horizontal="center" vertical="center"/>
      <protection hidden="1"/>
    </xf>
    <xf numFmtId="164" fontId="0" fillId="0" borderId="39" xfId="0" applyNumberFormat="1" applyBorder="1" applyAlignment="1" applyProtection="1">
      <alignment horizontal="center" vertical="center"/>
      <protection hidden="1"/>
    </xf>
    <xf numFmtId="164" fontId="0" fillId="0" borderId="2" xfId="0" applyNumberFormat="1" applyBorder="1" applyAlignment="1" applyProtection="1">
      <alignment horizontal="center" vertical="center"/>
      <protection hidden="1"/>
    </xf>
    <xf numFmtId="164" fontId="0" fillId="0" borderId="64" xfId="0" applyNumberFormat="1" applyBorder="1" applyAlignment="1" applyProtection="1">
      <alignment horizontal="center" vertical="center"/>
      <protection hidden="1"/>
    </xf>
    <xf numFmtId="164" fontId="0" fillId="0" borderId="46" xfId="0" applyNumberFormat="1" applyBorder="1" applyAlignment="1" applyProtection="1">
      <alignment horizontal="center" vertical="center"/>
      <protection hidden="1"/>
    </xf>
    <xf numFmtId="164" fontId="0" fillId="0" borderId="45" xfId="0" applyNumberFormat="1" applyBorder="1" applyAlignment="1" applyProtection="1">
      <alignment horizontal="center" vertical="center"/>
      <protection hidden="1"/>
    </xf>
    <xf numFmtId="164" fontId="0" fillId="0" borderId="47" xfId="0" applyNumberFormat="1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 wrapText="1"/>
      <protection hidden="1"/>
    </xf>
    <xf numFmtId="0" fontId="0" fillId="0" borderId="38" xfId="0" applyBorder="1" applyAlignment="1" applyProtection="1">
      <alignment horizontal="center" vertical="center" wrapText="1"/>
      <protection hidden="1"/>
    </xf>
    <xf numFmtId="0" fontId="15" fillId="0" borderId="0" xfId="0" applyFont="1" applyBorder="1" applyAlignment="1" applyProtection="1">
      <alignment horizontal="right"/>
      <protection hidden="1"/>
    </xf>
    <xf numFmtId="0" fontId="15" fillId="0" borderId="0" xfId="0" applyFont="1" applyAlignment="1" applyProtection="1">
      <alignment horizontal="right"/>
      <protection hidden="1"/>
    </xf>
    <xf numFmtId="164" fontId="1" fillId="0" borderId="1" xfId="1" applyNumberFormat="1" applyBorder="1" applyAlignment="1" applyProtection="1">
      <alignment horizontal="center"/>
      <protection hidden="1"/>
    </xf>
    <xf numFmtId="44" fontId="1" fillId="0" borderId="1" xfId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4" borderId="32" xfId="0" applyNumberFormat="1" applyFill="1" applyBorder="1" applyAlignment="1" applyProtection="1">
      <alignment horizontal="left" vertical="center" wrapText="1"/>
      <protection locked="0"/>
    </xf>
    <xf numFmtId="0" fontId="0" fillId="4" borderId="16" xfId="0" applyNumberFormat="1" applyFill="1" applyBorder="1" applyAlignment="1" applyProtection="1">
      <alignment horizontal="left" vertical="center" wrapText="1"/>
      <protection locked="0"/>
    </xf>
    <xf numFmtId="0" fontId="0" fillId="4" borderId="28" xfId="0" applyNumberFormat="1" applyFill="1" applyBorder="1" applyAlignment="1" applyProtection="1">
      <alignment horizontal="left" vertical="center" wrapText="1"/>
      <protection locked="0"/>
    </xf>
    <xf numFmtId="0" fontId="0" fillId="4" borderId="5" xfId="0" applyNumberFormat="1" applyFill="1" applyBorder="1" applyAlignment="1" applyProtection="1">
      <alignment horizontal="left" vertical="center" wrapText="1"/>
      <protection locked="0"/>
    </xf>
    <xf numFmtId="0" fontId="16" fillId="0" borderId="6" xfId="0" applyNumberFormat="1" applyFont="1" applyBorder="1" applyAlignment="1" applyProtection="1">
      <alignment horizontal="center" vertical="center" wrapText="1" shrinkToFit="1"/>
      <protection hidden="1"/>
    </xf>
    <xf numFmtId="0" fontId="16" fillId="0" borderId="4" xfId="0" applyNumberFormat="1" applyFont="1" applyBorder="1" applyAlignment="1" applyProtection="1">
      <alignment horizontal="center" vertical="center" wrapText="1" shrinkToFit="1"/>
      <protection hidden="1"/>
    </xf>
    <xf numFmtId="0" fontId="0" fillId="0" borderId="6" xfId="0" applyNumberFormat="1" applyBorder="1" applyAlignment="1" applyProtection="1">
      <alignment horizontal="center" vertical="center" wrapText="1"/>
      <protection hidden="1"/>
    </xf>
    <xf numFmtId="0" fontId="0" fillId="0" borderId="4" xfId="0" applyNumberFormat="1" applyBorder="1" applyAlignment="1" applyProtection="1">
      <alignment horizontal="center" vertical="center" wrapText="1"/>
      <protection hidden="1"/>
    </xf>
    <xf numFmtId="4" fontId="0" fillId="4" borderId="6" xfId="0" applyNumberFormat="1" applyFill="1" applyBorder="1" applyAlignment="1" applyProtection="1">
      <alignment horizontal="center" vertical="center" wrapText="1"/>
      <protection locked="0"/>
    </xf>
    <xf numFmtId="4" fontId="0" fillId="4" borderId="4" xfId="0" applyNumberForma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 applyProtection="1">
      <alignment horizontal="center" vertical="center"/>
      <protection hidden="1"/>
    </xf>
    <xf numFmtId="0" fontId="0" fillId="0" borderId="61" xfId="0" applyBorder="1" applyAlignment="1" applyProtection="1">
      <alignment horizontal="center" vertical="center"/>
      <protection hidden="1"/>
    </xf>
    <xf numFmtId="4" fontId="0" fillId="0" borderId="61" xfId="0" applyNumberFormat="1" applyBorder="1" applyAlignment="1" applyProtection="1">
      <alignment horizontal="center" vertical="center" wrapText="1"/>
      <protection hidden="1"/>
    </xf>
    <xf numFmtId="4" fontId="0" fillId="0" borderId="2" xfId="0" applyNumberFormat="1" applyBorder="1" applyAlignment="1" applyProtection="1">
      <alignment horizontal="center" vertical="center" wrapText="1"/>
      <protection hidden="1"/>
    </xf>
    <xf numFmtId="0" fontId="0" fillId="0" borderId="62" xfId="0" applyBorder="1" applyAlignment="1" applyProtection="1">
      <alignment horizontal="center" vertical="center"/>
      <protection hidden="1"/>
    </xf>
    <xf numFmtId="0" fontId="0" fillId="0" borderId="14" xfId="0" applyNumberFormat="1" applyBorder="1" applyAlignment="1" applyProtection="1">
      <alignment horizontal="center" vertical="center" wrapText="1"/>
      <protection hidden="1"/>
    </xf>
    <xf numFmtId="0" fontId="0" fillId="0" borderId="16" xfId="0" applyNumberFormat="1" applyBorder="1" applyAlignment="1" applyProtection="1">
      <alignment horizontal="center" vertical="center" wrapText="1"/>
      <protection hidden="1"/>
    </xf>
    <xf numFmtId="0" fontId="0" fillId="0" borderId="29" xfId="0" applyNumberFormat="1" applyBorder="1" applyAlignment="1" applyProtection="1">
      <alignment horizontal="center" vertical="center" wrapText="1"/>
      <protection hidden="1"/>
    </xf>
    <xf numFmtId="0" fontId="0" fillId="0" borderId="5" xfId="0" applyNumberFormat="1" applyBorder="1" applyAlignment="1" applyProtection="1">
      <alignment horizontal="center" vertical="center" wrapText="1"/>
      <protection hidden="1"/>
    </xf>
    <xf numFmtId="0" fontId="0" fillId="0" borderId="61" xfId="0" applyBorder="1" applyAlignment="1" applyProtection="1">
      <alignment horizontal="center" vertical="center" wrapText="1"/>
      <protection hidden="1"/>
    </xf>
    <xf numFmtId="4" fontId="0" fillId="0" borderId="57" xfId="0" applyNumberFormat="1" applyBorder="1" applyAlignment="1" applyProtection="1">
      <alignment horizontal="center" vertical="center" wrapText="1"/>
      <protection hidden="1"/>
    </xf>
    <xf numFmtId="4" fontId="0" fillId="0" borderId="60" xfId="0" applyNumberFormat="1" applyBorder="1" applyAlignment="1" applyProtection="1">
      <alignment horizontal="center" vertical="center" wrapText="1"/>
      <protection hidden="1"/>
    </xf>
    <xf numFmtId="0" fontId="0" fillId="4" borderId="54" xfId="0" applyNumberFormat="1" applyFill="1" applyBorder="1" applyAlignment="1" applyProtection="1">
      <alignment horizontal="left" vertical="center" wrapText="1"/>
      <protection locked="0"/>
    </xf>
    <xf numFmtId="0" fontId="0" fillId="4" borderId="51" xfId="0" applyNumberFormat="1" applyFill="1" applyBorder="1" applyAlignment="1" applyProtection="1">
      <alignment horizontal="left" vertical="center" wrapText="1"/>
      <protection locked="0"/>
    </xf>
    <xf numFmtId="0" fontId="16" fillId="0" borderId="50" xfId="0" applyNumberFormat="1" applyFont="1" applyBorder="1" applyAlignment="1" applyProtection="1">
      <alignment horizontal="center" vertical="center" wrapText="1" shrinkToFit="1"/>
      <protection hidden="1"/>
    </xf>
    <xf numFmtId="0" fontId="0" fillId="0" borderId="50" xfId="0" applyNumberFormat="1" applyBorder="1" applyAlignment="1" applyProtection="1">
      <alignment horizontal="center" vertical="center" wrapText="1"/>
      <protection hidden="1"/>
    </xf>
    <xf numFmtId="0" fontId="0" fillId="0" borderId="43" xfId="0" applyNumberFormat="1" applyBorder="1" applyAlignment="1" applyProtection="1">
      <alignment horizontal="center" vertical="center" wrapText="1"/>
      <protection hidden="1"/>
    </xf>
    <xf numFmtId="0" fontId="0" fillId="0" borderId="51" xfId="0" applyNumberFormat="1" applyBorder="1" applyAlignment="1" applyProtection="1">
      <alignment horizontal="center" vertical="center" wrapText="1"/>
      <protection hidden="1"/>
    </xf>
    <xf numFmtId="4" fontId="0" fillId="4" borderId="50" xfId="0" applyNumberForma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/>
      <protection hidden="1"/>
    </xf>
    <xf numFmtId="0" fontId="0" fillId="4" borderId="2" xfId="0" applyFill="1" applyBorder="1" applyAlignment="1" applyProtection="1">
      <alignment horizontal="center" vertical="center" wrapText="1"/>
      <protection locked="0"/>
    </xf>
    <xf numFmtId="0" fontId="0" fillId="4" borderId="46" xfId="0" applyFill="1" applyBorder="1" applyAlignment="1" applyProtection="1">
      <alignment horizontal="center" vertical="center" wrapText="1"/>
      <protection locked="0"/>
    </xf>
    <xf numFmtId="0" fontId="1" fillId="4" borderId="52" xfId="0" applyFont="1" applyFill="1" applyBorder="1" applyAlignment="1" applyProtection="1">
      <alignment horizontal="left" vertical="top" wrapText="1"/>
      <protection locked="0"/>
    </xf>
    <xf numFmtId="0" fontId="0" fillId="4" borderId="48" xfId="0" applyFill="1" applyBorder="1" applyAlignment="1" applyProtection="1">
      <alignment horizontal="left" vertical="top" wrapText="1"/>
      <protection locked="0"/>
    </xf>
    <xf numFmtId="0" fontId="0" fillId="4" borderId="53" xfId="0" applyFill="1" applyBorder="1" applyAlignment="1" applyProtection="1">
      <alignment horizontal="left" vertical="top" wrapText="1"/>
      <protection locked="0"/>
    </xf>
    <xf numFmtId="0" fontId="0" fillId="4" borderId="33" xfId="0" applyFill="1" applyBorder="1" applyAlignment="1" applyProtection="1">
      <alignment horizontal="left" vertical="top" wrapText="1"/>
      <protection locked="0"/>
    </xf>
    <xf numFmtId="0" fontId="0" fillId="4" borderId="0" xfId="0" applyFill="1" applyBorder="1" applyAlignment="1" applyProtection="1">
      <alignment horizontal="left" vertical="top" wrapText="1"/>
      <protection locked="0"/>
    </xf>
    <xf numFmtId="0" fontId="0" fillId="4" borderId="35" xfId="0" applyFill="1" applyBorder="1" applyAlignment="1" applyProtection="1">
      <alignment horizontal="left" vertical="top" wrapText="1"/>
      <protection locked="0"/>
    </xf>
    <xf numFmtId="0" fontId="0" fillId="4" borderId="54" xfId="0" applyFill="1" applyBorder="1" applyAlignment="1" applyProtection="1">
      <alignment horizontal="left" vertical="top" wrapText="1"/>
      <protection locked="0"/>
    </xf>
    <xf numFmtId="0" fontId="0" fillId="4" borderId="27" xfId="0" applyFill="1" applyBorder="1" applyAlignment="1" applyProtection="1">
      <alignment horizontal="left" vertical="top" wrapText="1"/>
      <protection locked="0"/>
    </xf>
    <xf numFmtId="0" fontId="0" fillId="4" borderId="44" xfId="0" applyFill="1" applyBorder="1" applyAlignment="1" applyProtection="1">
      <alignment horizontal="left" vertical="top" wrapText="1"/>
      <protection locked="0"/>
    </xf>
    <xf numFmtId="0" fontId="0" fillId="4" borderId="13" xfId="0" applyFill="1" applyBorder="1" applyAlignment="1" applyProtection="1">
      <alignment horizontal="center" vertical="center" wrapText="1"/>
      <protection locked="0"/>
    </xf>
    <xf numFmtId="0" fontId="0" fillId="4" borderId="49" xfId="0" applyFill="1" applyBorder="1" applyAlignment="1" applyProtection="1">
      <alignment horizontal="center" vertical="center" wrapText="1"/>
      <protection locked="0"/>
    </xf>
    <xf numFmtId="0" fontId="0" fillId="4" borderId="14" xfId="0" applyFill="1" applyBorder="1" applyAlignment="1" applyProtection="1">
      <alignment horizontal="center" vertical="center" wrapText="1"/>
      <protection locked="0"/>
    </xf>
    <xf numFmtId="0" fontId="0" fillId="4" borderId="15" xfId="0" applyFill="1" applyBorder="1" applyAlignment="1" applyProtection="1">
      <alignment horizontal="center" vertical="center" wrapText="1"/>
      <protection locked="0"/>
    </xf>
    <xf numFmtId="0" fontId="0" fillId="4" borderId="16" xfId="0" applyFill="1" applyBorder="1" applyAlignment="1" applyProtection="1">
      <alignment horizontal="center" vertical="center" wrapText="1"/>
      <protection locked="0"/>
    </xf>
    <xf numFmtId="0" fontId="0" fillId="4" borderId="43" xfId="0" applyFill="1" applyBorder="1" applyAlignment="1" applyProtection="1">
      <alignment horizontal="center" vertical="center" wrapText="1"/>
      <protection locked="0"/>
    </xf>
    <xf numFmtId="0" fontId="0" fillId="4" borderId="27" xfId="0" applyFill="1" applyBorder="1" applyAlignment="1" applyProtection="1">
      <alignment horizontal="center" vertical="center" wrapText="1"/>
      <protection locked="0"/>
    </xf>
    <xf numFmtId="0" fontId="0" fillId="4" borderId="51" xfId="0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justify" vertical="center" wrapText="1"/>
      <protection hidden="1"/>
    </xf>
    <xf numFmtId="0" fontId="9" fillId="0" borderId="1" xfId="0" applyFont="1" applyBorder="1" applyAlignment="1" applyProtection="1">
      <alignment horizontal="center"/>
      <protection hidden="1"/>
    </xf>
    <xf numFmtId="4" fontId="0" fillId="0" borderId="1" xfId="0" applyNumberForma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left" vertical="center"/>
      <protection hidden="1"/>
    </xf>
    <xf numFmtId="164" fontId="0" fillId="4" borderId="2" xfId="0" applyNumberFormat="1" applyFill="1" applyBorder="1" applyAlignment="1" applyProtection="1">
      <alignment horizontal="center" vertical="center" wrapText="1"/>
      <protection locked="0"/>
    </xf>
    <xf numFmtId="164" fontId="0" fillId="4" borderId="45" xfId="0" applyNumberFormat="1" applyFill="1" applyBorder="1" applyAlignment="1" applyProtection="1">
      <alignment horizontal="center" vertical="center" wrapText="1"/>
      <protection locked="0"/>
    </xf>
    <xf numFmtId="164" fontId="0" fillId="4" borderId="46" xfId="0" applyNumberFormat="1" applyFill="1" applyBorder="1" applyAlignment="1" applyProtection="1">
      <alignment horizontal="center" vertical="center" wrapText="1"/>
      <protection locked="0"/>
    </xf>
    <xf numFmtId="164" fontId="0" fillId="4" borderId="47" xfId="0" applyNumberFormat="1" applyFill="1" applyBorder="1" applyAlignment="1" applyProtection="1">
      <alignment horizontal="center" vertical="center" wrapText="1"/>
      <protection locked="0"/>
    </xf>
    <xf numFmtId="0" fontId="0" fillId="4" borderId="20" xfId="0" applyFill="1" applyBorder="1" applyAlignment="1" applyProtection="1">
      <alignment horizontal="center" vertical="center" wrapText="1"/>
      <protection locked="0"/>
    </xf>
    <xf numFmtId="0" fontId="0" fillId="4" borderId="29" xfId="0" applyFill="1" applyBorder="1" applyAlignment="1" applyProtection="1">
      <alignment horizontal="center" vertical="center" wrapText="1"/>
      <protection locked="0"/>
    </xf>
    <xf numFmtId="0" fontId="0" fillId="4" borderId="1" xfId="0" applyFill="1" applyBorder="1" applyAlignment="1" applyProtection="1">
      <alignment horizontal="center" vertical="center" wrapText="1"/>
      <protection locked="0"/>
    </xf>
    <xf numFmtId="0" fontId="0" fillId="4" borderId="5" xfId="0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hidden="1"/>
    </xf>
    <xf numFmtId="0" fontId="9" fillId="0" borderId="18" xfId="0" applyFont="1" applyBorder="1" applyAlignment="1" applyProtection="1">
      <alignment horizontal="center" vertical="center" wrapText="1"/>
      <protection hidden="1"/>
    </xf>
    <xf numFmtId="0" fontId="0" fillId="0" borderId="18" xfId="0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justify"/>
      <protection hidden="1"/>
    </xf>
    <xf numFmtId="0" fontId="1" fillId="4" borderId="52" xfId="0" applyFont="1" applyFill="1" applyBorder="1" applyAlignment="1" applyProtection="1">
      <alignment horizontal="justify" vertical="top"/>
      <protection locked="0"/>
    </xf>
    <xf numFmtId="0" fontId="9" fillId="4" borderId="48" xfId="0" applyFont="1" applyFill="1" applyBorder="1" applyAlignment="1" applyProtection="1">
      <alignment horizontal="justify" vertical="top"/>
      <protection locked="0"/>
    </xf>
    <xf numFmtId="0" fontId="9" fillId="4" borderId="53" xfId="0" applyFont="1" applyFill="1" applyBorder="1" applyAlignment="1" applyProtection="1">
      <alignment horizontal="justify" vertical="top"/>
      <protection locked="0"/>
    </xf>
    <xf numFmtId="0" fontId="9" fillId="4" borderId="33" xfId="0" applyFont="1" applyFill="1" applyBorder="1" applyAlignment="1" applyProtection="1">
      <alignment horizontal="justify" vertical="top"/>
      <protection locked="0"/>
    </xf>
    <xf numFmtId="0" fontId="9" fillId="4" borderId="0" xfId="0" applyFont="1" applyFill="1" applyBorder="1" applyAlignment="1" applyProtection="1">
      <alignment horizontal="justify" vertical="top"/>
      <protection locked="0"/>
    </xf>
    <xf numFmtId="0" fontId="9" fillId="4" borderId="35" xfId="0" applyFont="1" applyFill="1" applyBorder="1" applyAlignment="1" applyProtection="1">
      <alignment horizontal="justify" vertical="top"/>
      <protection locked="0"/>
    </xf>
    <xf numFmtId="0" fontId="9" fillId="4" borderId="54" xfId="0" applyFont="1" applyFill="1" applyBorder="1" applyAlignment="1" applyProtection="1">
      <alignment horizontal="justify" vertical="top"/>
      <protection locked="0"/>
    </xf>
    <xf numFmtId="0" fontId="9" fillId="4" borderId="27" xfId="0" applyFont="1" applyFill="1" applyBorder="1" applyAlignment="1" applyProtection="1">
      <alignment horizontal="justify" vertical="top"/>
      <protection locked="0"/>
    </xf>
    <xf numFmtId="0" fontId="9" fillId="4" borderId="44" xfId="0" applyFont="1" applyFill="1" applyBorder="1" applyAlignment="1" applyProtection="1">
      <alignment horizontal="justify" vertical="top"/>
      <protection locked="0"/>
    </xf>
    <xf numFmtId="0" fontId="1" fillId="4" borderId="14" xfId="0" applyFont="1" applyFill="1" applyBorder="1" applyAlignment="1" applyProtection="1">
      <alignment horizontal="center" vertical="center" wrapText="1"/>
      <protection locked="0"/>
    </xf>
    <xf numFmtId="0" fontId="14" fillId="0" borderId="52" xfId="0" applyFont="1" applyBorder="1" applyAlignment="1" applyProtection="1">
      <alignment horizontal="center" vertical="center"/>
      <protection hidden="1"/>
    </xf>
    <xf numFmtId="0" fontId="14" fillId="0" borderId="48" xfId="0" applyFont="1" applyBorder="1" applyAlignment="1" applyProtection="1">
      <alignment horizontal="center" vertical="center"/>
      <protection hidden="1"/>
    </xf>
    <xf numFmtId="0" fontId="14" fillId="0" borderId="53" xfId="0" applyFont="1" applyBorder="1" applyAlignment="1" applyProtection="1">
      <alignment horizontal="center" vertical="center"/>
      <protection hidden="1"/>
    </xf>
    <xf numFmtId="0" fontId="14" fillId="0" borderId="28" xfId="0" applyFont="1" applyBorder="1" applyAlignment="1" applyProtection="1">
      <alignment horizontal="center" vertical="center"/>
      <protection hidden="1"/>
    </xf>
    <xf numFmtId="0" fontId="14" fillId="0" borderId="1" xfId="0" applyFont="1" applyBorder="1" applyAlignment="1" applyProtection="1">
      <alignment horizontal="center" vertical="center"/>
      <protection hidden="1"/>
    </xf>
    <xf numFmtId="0" fontId="14" fillId="0" borderId="30" xfId="0" applyFont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19" xfId="0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0" fillId="0" borderId="57" xfId="0" applyBorder="1" applyAlignment="1" applyProtection="1">
      <alignment horizontal="center" vertical="center" wrapText="1"/>
      <protection hidden="1"/>
    </xf>
    <xf numFmtId="0" fontId="0" fillId="0" borderId="59" xfId="0" applyBorder="1" applyAlignment="1" applyProtection="1">
      <alignment horizontal="center" vertical="center" wrapText="1"/>
      <protection hidden="1"/>
    </xf>
    <xf numFmtId="0" fontId="0" fillId="0" borderId="60" xfId="0" applyBorder="1" applyAlignment="1" applyProtection="1">
      <alignment horizontal="center" vertical="center" wrapText="1"/>
      <protection hidden="1"/>
    </xf>
    <xf numFmtId="0" fontId="9" fillId="0" borderId="14" xfId="0" applyFont="1" applyBorder="1" applyAlignment="1" applyProtection="1">
      <alignment horizontal="center" vertical="center" wrapText="1"/>
      <protection hidden="1"/>
    </xf>
    <xf numFmtId="0" fontId="0" fillId="0" borderId="15" xfId="0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2" fillId="0" borderId="0" xfId="0" applyFont="1" applyBorder="1" applyAlignment="1" applyProtection="1">
      <alignment horizontal="left" wrapText="1"/>
      <protection hidden="1"/>
    </xf>
    <xf numFmtId="0" fontId="2" fillId="0" borderId="1" xfId="0" applyFont="1" applyBorder="1" applyAlignment="1" applyProtection="1">
      <alignment horizontal="left" wrapText="1"/>
      <protection hidden="1"/>
    </xf>
    <xf numFmtId="0" fontId="2" fillId="0" borderId="1" xfId="0" applyFont="1" applyBorder="1" applyAlignment="1" applyProtection="1">
      <alignment horizontal="left" vertical="center"/>
      <protection hidden="1"/>
    </xf>
    <xf numFmtId="4" fontId="0" fillId="0" borderId="58" xfId="0" applyNumberFormat="1" applyBorder="1" applyAlignment="1" applyProtection="1">
      <alignment horizontal="center" vertical="center" wrapText="1"/>
      <protection hidden="1"/>
    </xf>
    <xf numFmtId="164" fontId="0" fillId="4" borderId="14" xfId="0" applyNumberFormat="1" applyFill="1" applyBorder="1" applyAlignment="1" applyProtection="1">
      <alignment horizontal="center" vertical="center" wrapText="1"/>
      <protection locked="0"/>
    </xf>
    <xf numFmtId="164" fontId="0" fillId="4" borderId="17" xfId="0" applyNumberFormat="1" applyFill="1" applyBorder="1" applyAlignment="1" applyProtection="1">
      <alignment horizontal="center" vertical="center" wrapText="1"/>
      <protection locked="0"/>
    </xf>
    <xf numFmtId="164" fontId="0" fillId="4" borderId="29" xfId="0" applyNumberFormat="1" applyFill="1" applyBorder="1" applyAlignment="1" applyProtection="1">
      <alignment horizontal="center" vertical="center" wrapText="1"/>
      <protection locked="0"/>
    </xf>
    <xf numFmtId="164" fontId="0" fillId="4" borderId="30" xfId="0" applyNumberFormat="1" applyFill="1" applyBorder="1" applyAlignment="1" applyProtection="1">
      <alignment horizontal="center" vertical="center" wrapText="1"/>
      <protection locked="0"/>
    </xf>
    <xf numFmtId="164" fontId="0" fillId="0" borderId="23" xfId="0" applyNumberFormat="1" applyBorder="1" applyAlignment="1" applyProtection="1">
      <alignment horizontal="center"/>
      <protection hidden="1"/>
    </xf>
    <xf numFmtId="164" fontId="0" fillId="0" borderId="3" xfId="0" applyNumberFormat="1" applyBorder="1" applyAlignment="1" applyProtection="1">
      <alignment horizontal="center"/>
      <protection hidden="1"/>
    </xf>
    <xf numFmtId="164" fontId="0" fillId="0" borderId="2" xfId="0" applyNumberFormat="1" applyBorder="1" applyAlignment="1" applyProtection="1">
      <alignment horizontal="center"/>
      <protection hidden="1"/>
    </xf>
    <xf numFmtId="0" fontId="9" fillId="0" borderId="0" xfId="0" applyFont="1" applyAlignment="1" applyProtection="1">
      <alignment horizontal="right"/>
      <protection hidden="1"/>
    </xf>
    <xf numFmtId="2" fontId="0" fillId="0" borderId="23" xfId="0" applyNumberFormat="1" applyFill="1" applyBorder="1" applyAlignment="1" applyProtection="1">
      <alignment horizontal="center"/>
      <protection hidden="1"/>
    </xf>
    <xf numFmtId="0" fontId="0" fillId="0" borderId="3" xfId="0" applyNumberFormat="1" applyFill="1" applyBorder="1" applyAlignment="1" applyProtection="1">
      <alignment horizontal="center"/>
      <protection hidden="1"/>
    </xf>
    <xf numFmtId="0" fontId="0" fillId="0" borderId="22" xfId="0" applyNumberFormat="1" applyFill="1" applyBorder="1" applyAlignment="1" applyProtection="1">
      <alignment horizontal="center"/>
      <protection hidden="1"/>
    </xf>
    <xf numFmtId="164" fontId="0" fillId="0" borderId="23" xfId="0" applyNumberFormat="1" applyBorder="1" applyAlignment="1" applyProtection="1">
      <alignment horizontal="center" vertical="center"/>
      <protection hidden="1"/>
    </xf>
    <xf numFmtId="164" fontId="0" fillId="0" borderId="3" xfId="0" applyNumberFormat="1" applyBorder="1" applyAlignment="1" applyProtection="1">
      <alignment horizontal="center" vertical="center"/>
      <protection hidden="1"/>
    </xf>
    <xf numFmtId="164" fontId="0" fillId="0" borderId="22" xfId="0" applyNumberFormat="1" applyBorder="1" applyAlignment="1" applyProtection="1">
      <alignment horizontal="center" vertical="center"/>
      <protection hidden="1"/>
    </xf>
    <xf numFmtId="0" fontId="0" fillId="0" borderId="23" xfId="0" applyNumberFormat="1" applyBorder="1" applyAlignment="1" applyProtection="1">
      <alignment horizontal="center" vertical="center"/>
      <protection hidden="1"/>
    </xf>
    <xf numFmtId="0" fontId="0" fillId="0" borderId="22" xfId="0" applyNumberFormat="1" applyBorder="1" applyAlignment="1" applyProtection="1">
      <alignment horizontal="center" vertical="center"/>
      <protection hidden="1"/>
    </xf>
    <xf numFmtId="2" fontId="0" fillId="0" borderId="2" xfId="0" applyNumberFormat="1" applyBorder="1" applyAlignment="1" applyProtection="1">
      <alignment horizontal="center"/>
      <protection hidden="1"/>
    </xf>
    <xf numFmtId="0" fontId="0" fillId="0" borderId="2" xfId="0" applyNumberFormat="1" applyBorder="1" applyAlignment="1" applyProtection="1">
      <alignment horizontal="center"/>
      <protection hidden="1"/>
    </xf>
    <xf numFmtId="2" fontId="0" fillId="0" borderId="22" xfId="0" applyNumberFormat="1" applyBorder="1" applyAlignment="1" applyProtection="1">
      <alignment horizontal="center"/>
      <protection hidden="1"/>
    </xf>
    <xf numFmtId="0" fontId="16" fillId="0" borderId="29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6" fillId="0" borderId="5" xfId="0" applyFont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15" fillId="0" borderId="2" xfId="0" applyFont="1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15" fillId="0" borderId="0" xfId="0" applyFont="1" applyBorder="1" applyAlignment="1" applyProtection="1">
      <alignment horizontal="center"/>
      <protection hidden="1"/>
    </xf>
    <xf numFmtId="0" fontId="15" fillId="0" borderId="38" xfId="0" applyFont="1" applyBorder="1" applyAlignment="1" applyProtection="1">
      <alignment horizontal="center"/>
      <protection hidden="1"/>
    </xf>
    <xf numFmtId="0" fontId="15" fillId="0" borderId="34" xfId="0" applyFont="1" applyBorder="1" applyAlignment="1" applyProtection="1">
      <alignment horizontal="center"/>
      <protection hidden="1"/>
    </xf>
    <xf numFmtId="0" fontId="17" fillId="0" borderId="23" xfId="0" applyFont="1" applyFill="1" applyBorder="1" applyAlignment="1" applyProtection="1">
      <alignment horizontal="center"/>
      <protection hidden="1"/>
    </xf>
    <xf numFmtId="0" fontId="17" fillId="0" borderId="3" xfId="0" applyFont="1" applyFill="1" applyBorder="1" applyAlignment="1" applyProtection="1">
      <alignment horizontal="center"/>
      <protection hidden="1"/>
    </xf>
    <xf numFmtId="0" fontId="17" fillId="0" borderId="22" xfId="0" applyFont="1" applyFill="1" applyBorder="1" applyAlignment="1" applyProtection="1">
      <alignment horizontal="center"/>
      <protection hidden="1"/>
    </xf>
    <xf numFmtId="0" fontId="15" fillId="0" borderId="23" xfId="0" applyFont="1" applyBorder="1" applyAlignment="1" applyProtection="1">
      <alignment horizontal="center"/>
      <protection hidden="1"/>
    </xf>
    <xf numFmtId="0" fontId="15" fillId="0" borderId="3" xfId="0" applyFont="1" applyBorder="1" applyAlignment="1" applyProtection="1">
      <alignment horizontal="center"/>
      <protection hidden="1"/>
    </xf>
    <xf numFmtId="0" fontId="15" fillId="0" borderId="22" xfId="0" applyFont="1" applyBorder="1" applyAlignment="1" applyProtection="1">
      <alignment horizontal="center"/>
      <protection hidden="1"/>
    </xf>
    <xf numFmtId="0" fontId="16" fillId="0" borderId="34" xfId="0" applyFont="1" applyBorder="1" applyAlignment="1" applyProtection="1">
      <alignment horizontal="center"/>
      <protection hidden="1"/>
    </xf>
    <xf numFmtId="0" fontId="16" fillId="0" borderId="0" xfId="0" applyFont="1" applyBorder="1" applyAlignment="1" applyProtection="1">
      <alignment horizontal="center"/>
      <protection hidden="1"/>
    </xf>
    <xf numFmtId="0" fontId="16" fillId="0" borderId="38" xfId="0" applyFont="1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16" fillId="0" borderId="14" xfId="0" applyFont="1" applyBorder="1" applyAlignment="1" applyProtection="1">
      <alignment horizontal="center"/>
      <protection hidden="1"/>
    </xf>
    <xf numFmtId="0" fontId="16" fillId="0" borderId="16" xfId="0" applyFont="1" applyBorder="1" applyAlignment="1" applyProtection="1">
      <alignment horizontal="center"/>
      <protection hidden="1"/>
    </xf>
    <xf numFmtId="0" fontId="16" fillId="0" borderId="15" xfId="0" applyFont="1" applyBorder="1" applyAlignment="1" applyProtection="1">
      <alignment horizont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left" vertical="center"/>
      <protection hidden="1"/>
    </xf>
    <xf numFmtId="0" fontId="0" fillId="0" borderId="15" xfId="0" applyBorder="1" applyAlignment="1" applyProtection="1">
      <alignment horizontal="left" vertical="center"/>
      <protection hidden="1"/>
    </xf>
    <xf numFmtId="0" fontId="0" fillId="0" borderId="16" xfId="0" applyBorder="1" applyAlignment="1" applyProtection="1">
      <alignment horizontal="left" vertical="center"/>
      <protection hidden="1"/>
    </xf>
    <xf numFmtId="0" fontId="0" fillId="0" borderId="29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5" xfId="0" applyBorder="1" applyAlignment="1" applyProtection="1">
      <alignment horizontal="left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166" fontId="2" fillId="0" borderId="3" xfId="0" applyNumberFormat="1" applyFont="1" applyBorder="1" applyAlignment="1" applyProtection="1">
      <alignment horizontal="left"/>
      <protection hidden="1"/>
    </xf>
    <xf numFmtId="0" fontId="2" fillId="0" borderId="1" xfId="0" applyFont="1" applyFill="1" applyBorder="1" applyAlignment="1" applyProtection="1">
      <alignment horizontal="center"/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9" fillId="0" borderId="0" xfId="0" applyFont="1" applyAlignment="1" applyProtection="1">
      <alignment horizontal="left"/>
      <protection hidden="1"/>
    </xf>
    <xf numFmtId="0" fontId="0" fillId="0" borderId="0" xfId="0" applyAlignment="1"/>
    <xf numFmtId="0" fontId="1" fillId="0" borderId="14" xfId="0" applyFont="1" applyBorder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8" fillId="4" borderId="2" xfId="0" applyFont="1" applyFill="1" applyBorder="1" applyAlignment="1" applyProtection="1">
      <alignment horizontal="center"/>
      <protection locked="0"/>
    </xf>
    <xf numFmtId="0" fontId="8" fillId="4" borderId="23" xfId="0" applyFont="1" applyFill="1" applyBorder="1" applyAlignment="1" applyProtection="1">
      <alignment horizontal="center"/>
      <protection locked="0"/>
    </xf>
    <xf numFmtId="0" fontId="8" fillId="4" borderId="3" xfId="0" applyFont="1" applyFill="1" applyBorder="1" applyAlignment="1" applyProtection="1">
      <alignment horizontal="center"/>
      <protection locked="0"/>
    </xf>
    <xf numFmtId="0" fontId="8" fillId="4" borderId="22" xfId="0" applyFont="1" applyFill="1" applyBorder="1" applyAlignment="1" applyProtection="1">
      <alignment horizontal="center"/>
      <protection locked="0"/>
    </xf>
  </cellXfs>
  <cellStyles count="5">
    <cellStyle name="Currency" xfId="1" builtinId="4"/>
    <cellStyle name="Currency 2" xfId="2" xr:uid="{00000000-0005-0000-0000-000001000000}"/>
    <cellStyle name="Normal" xfId="0" builtinId="0"/>
    <cellStyle name="Normal 2" xfId="3" xr:uid="{00000000-0005-0000-0000-000003000000}"/>
    <cellStyle name="Percent" xfId="4" builtinId="5"/>
  </cellStyles>
  <dxfs count="37"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9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9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top/>
      </border>
      <protection locked="1"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9"/>
          <bgColor theme="9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enguiat Frisky ATT"/>
        <scheme val="none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enguiat Frisky ATT"/>
        <scheme val="none"/>
      </font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enguiat Frisky ATT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enguiat Frisky ATT"/>
        <scheme val="none"/>
      </font>
      <alignment horizontal="lef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top" textRotation="0" wrapText="0" relativeIndent="0" justifyLastLine="0" shrinkToFit="0" readingOrder="0"/>
      <border diagonalUp="0" diagonalDown="0">
        <right style="thin">
          <color indexed="64"/>
        </right>
        <top/>
      </border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I$2" lockText="1" noThreeD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11</xdr:row>
          <xdr:rowOff>6350</xdr:rowOff>
        </xdr:from>
        <xdr:to>
          <xdr:col>1</xdr:col>
          <xdr:colOff>323850</xdr:colOff>
          <xdr:row>12</xdr:row>
          <xdr:rowOff>63500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B98B09C-05A2-4FD7-8257-A00512925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Force Account con Unión</a:t>
              </a:r>
            </a:p>
          </xdr:txBody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368300</xdr:colOff>
          <xdr:row>0</xdr:row>
          <xdr:rowOff>50800</xdr:rowOff>
        </xdr:from>
        <xdr:to>
          <xdr:col>10</xdr:col>
          <xdr:colOff>444500</xdr:colOff>
          <xdr:row>0</xdr:row>
          <xdr:rowOff>330200</xdr:rowOff>
        </xdr:to>
        <xdr:sp macro="" textlink="">
          <xdr:nvSpPr>
            <xdr:cNvPr id="4248" name="cmdNew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3D638846-81C8-44BD-B62D-2F268D34D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0</xdr:row>
          <xdr:rowOff>50800</xdr:rowOff>
        </xdr:from>
        <xdr:to>
          <xdr:col>3</xdr:col>
          <xdr:colOff>273050</xdr:colOff>
          <xdr:row>0</xdr:row>
          <xdr:rowOff>330200</xdr:rowOff>
        </xdr:to>
        <xdr:sp macro="" textlink="">
          <xdr:nvSpPr>
            <xdr:cNvPr id="4265" name="cmdNext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EF305CA1-D2EA-46A4-88B5-BCFC614A4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0</xdr:row>
          <xdr:rowOff>50800</xdr:rowOff>
        </xdr:from>
        <xdr:to>
          <xdr:col>2</xdr:col>
          <xdr:colOff>95250</xdr:colOff>
          <xdr:row>0</xdr:row>
          <xdr:rowOff>330200</xdr:rowOff>
        </xdr:to>
        <xdr:sp macro="" textlink="">
          <xdr:nvSpPr>
            <xdr:cNvPr id="4266" name="cmdPrev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23E27D86-6763-41E2-8E7C-29A5145EA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488950</xdr:colOff>
          <xdr:row>0</xdr:row>
          <xdr:rowOff>50800</xdr:rowOff>
        </xdr:from>
        <xdr:to>
          <xdr:col>11</xdr:col>
          <xdr:colOff>590550</xdr:colOff>
          <xdr:row>0</xdr:row>
          <xdr:rowOff>330200</xdr:rowOff>
        </xdr:to>
        <xdr:sp macro="" textlink="">
          <xdr:nvSpPr>
            <xdr:cNvPr id="4275" name="cmdDel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F7839E2E-47F2-4FCB-BDB0-EE55BE8CA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311150</xdr:colOff>
          <xdr:row>0</xdr:row>
          <xdr:rowOff>50800</xdr:rowOff>
        </xdr:from>
        <xdr:to>
          <xdr:col>4</xdr:col>
          <xdr:colOff>304800</xdr:colOff>
          <xdr:row>0</xdr:row>
          <xdr:rowOff>330200</xdr:rowOff>
        </xdr:to>
        <xdr:sp macro="" textlink="">
          <xdr:nvSpPr>
            <xdr:cNvPr id="4276" name="CmdSave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91436FA2-3A08-4E4F-959A-E60FDB4CA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pleados" displayName="Empleados" ref="A1:E51" totalsRowShown="0" headerRowDxfId="36" dataDxfId="34" headerRowBorderDxfId="35" tableBorderDxfId="33" totalsRowBorderDxfId="32">
  <autoFilter ref="A1:E51" xr:uid="{00000000-0009-0000-0100-000001000000}"/>
  <tableColumns count="5">
    <tableColumn id="2" xr3:uid="{00000000-0010-0000-0000-000002000000}" name="Nombre y Apellidos" dataDxfId="31"/>
    <tableColumn id="3" xr3:uid="{00000000-0010-0000-0000-000003000000}" name="Seguro Social" dataDxfId="30"/>
    <tableColumn id="4" xr3:uid="{00000000-0010-0000-0000-000004000000}" name="Clasificación" dataDxfId="29"/>
    <tableColumn id="5" xr3:uid="{00000000-0010-0000-0000-000005000000}" name="Salario/hora" dataDxfId="28"/>
    <tableColumn id="6" xr3:uid="{00000000-0010-0000-0000-000006000000}" name="Unión" dataDxfId="27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1000000}" name="Table17" displayName="Table17" ref="A1:K151" totalsRowShown="0" headerRowDxfId="26" dataDxfId="24" headerRowBorderDxfId="25" tableBorderDxfId="23">
  <autoFilter ref="A1:K151" xr:uid="{00000000-0009-0000-0100-000011000000}"/>
  <tableColumns count="11">
    <tableColumn id="1" xr3:uid="{00000000-0010-0000-0100-000001000000}" name="Desc + ID" dataDxfId="22">
      <calculatedColumnFormula>IF(ISBLANK(C2),"",IF(ISBLANK(Table17[[#This Row],[ID Num.]]),Table17[[#This Row],[Descripción]],C2&amp;" (" &amp;B2&amp;")"))</calculatedColumnFormula>
    </tableColumn>
    <tableColumn id="2" xr3:uid="{00000000-0010-0000-0100-000002000000}" name="ID Num." dataDxfId="21"/>
    <tableColumn id="3" xr3:uid="{00000000-0010-0000-0100-000003000000}" name="Descripción" dataDxfId="20"/>
    <tableColumn id="4" xr3:uid="{00000000-0010-0000-0100-000004000000}" name="Modelo" dataDxfId="19"/>
    <tableColumn id="5" xr3:uid="{00000000-0010-0000-0100-000005000000}" name="Año" dataDxfId="18"/>
    <tableColumn id="6" xr3:uid="{00000000-0010-0000-0100-000006000000}" name="Capacidad" dataDxfId="17"/>
    <tableColumn id="7" xr3:uid="{00000000-0010-0000-0100-000007000000}" name="Diesel/     Gasolina" dataDxfId="16"/>
    <tableColumn id="8" xr3:uid="{00000000-0010-0000-0100-000008000000}" name="Alquilado/   Propio" dataDxfId="15"/>
    <tableColumn id="9" xr3:uid="{00000000-0010-0000-0100-000009000000}" name="Renta Mensual" dataDxfId="14"/>
    <tableColumn id="10" xr3:uid="{00000000-0010-0000-0100-00000A000000}" name="Factor de Zona" dataDxfId="13"/>
    <tableColumn id="11" xr3:uid="{00000000-0010-0000-0100-00000B000000}" name="Costo Operacional" dataDxfId="12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showGridLines="0" showRowColHeaders="0" tabSelected="1" zoomScaleNormal="100" workbookViewId="0">
      <selection activeCell="B1" sqref="B1:G1"/>
    </sheetView>
  </sheetViews>
  <sheetFormatPr defaultColWidth="0" defaultRowHeight="12.5" zeroHeight="1"/>
  <cols>
    <col min="1" max="1" width="20.453125" style="3" customWidth="1"/>
    <col min="2" max="8" width="8.6328125" style="3" customWidth="1"/>
    <col min="9" max="16384" width="8.6328125" style="3" hidden="1"/>
  </cols>
  <sheetData>
    <row r="1" spans="1:9">
      <c r="A1" s="289" t="s">
        <v>91</v>
      </c>
      <c r="B1" s="324"/>
      <c r="C1" s="324"/>
      <c r="D1" s="324"/>
      <c r="E1" s="324"/>
      <c r="F1" s="324"/>
      <c r="G1" s="324"/>
      <c r="I1" s="250" t="b">
        <v>1</v>
      </c>
    </row>
    <row r="2" spans="1:9" ht="24.5" customHeight="1">
      <c r="A2" s="289" t="s">
        <v>6</v>
      </c>
      <c r="B2" s="322"/>
      <c r="C2" s="323"/>
      <c r="D2" s="323"/>
      <c r="E2" s="323"/>
      <c r="F2" s="323"/>
      <c r="G2" s="323"/>
      <c r="I2" s="251" t="b">
        <v>0</v>
      </c>
    </row>
    <row r="3" spans="1:9">
      <c r="A3" s="289" t="s">
        <v>92</v>
      </c>
      <c r="B3" s="325"/>
      <c r="C3" s="325"/>
      <c r="D3" s="325"/>
      <c r="E3" s="325"/>
      <c r="F3" s="172"/>
      <c r="G3" s="172"/>
    </row>
    <row r="4" spans="1:9">
      <c r="A4" s="289" t="s">
        <v>90</v>
      </c>
      <c r="B4" s="325"/>
      <c r="C4" s="325"/>
      <c r="D4" s="325"/>
      <c r="E4" s="325"/>
      <c r="F4" s="172"/>
      <c r="G4" s="172"/>
    </row>
    <row r="5" spans="1:9">
      <c r="A5" s="289" t="s">
        <v>87</v>
      </c>
      <c r="B5" s="325"/>
      <c r="C5" s="325"/>
      <c r="D5" s="325"/>
      <c r="E5" s="325"/>
      <c r="F5" s="172"/>
      <c r="G5" s="172"/>
    </row>
    <row r="6" spans="1:9" hidden="1">
      <c r="A6" s="289" t="s">
        <v>96</v>
      </c>
      <c r="B6" s="285"/>
      <c r="C6" s="286" t="s">
        <v>209</v>
      </c>
      <c r="D6" s="287"/>
      <c r="E6" s="172"/>
      <c r="F6" s="172"/>
      <c r="G6" s="172"/>
    </row>
    <row r="7" spans="1:9">
      <c r="A7" s="289" t="s">
        <v>93</v>
      </c>
      <c r="B7" s="321"/>
      <c r="C7" s="321"/>
      <c r="D7" s="288"/>
      <c r="E7" s="172"/>
      <c r="F7" s="172"/>
      <c r="G7" s="172"/>
    </row>
    <row r="8" spans="1:9">
      <c r="A8" s="289" t="s">
        <v>95</v>
      </c>
      <c r="B8" s="321"/>
      <c r="C8" s="321"/>
      <c r="D8" s="288"/>
      <c r="E8" s="172"/>
      <c r="F8" s="172"/>
      <c r="G8" s="172"/>
    </row>
    <row r="9" spans="1:9">
      <c r="A9" s="289" t="s">
        <v>94</v>
      </c>
      <c r="B9" s="321"/>
      <c r="C9" s="321"/>
      <c r="D9" s="288"/>
      <c r="E9" s="172"/>
      <c r="F9" s="172"/>
      <c r="G9" s="172"/>
    </row>
    <row r="10" spans="1:9"/>
    <row r="11" spans="1:9"/>
    <row r="12" spans="1:9"/>
    <row r="13" spans="1:9">
      <c r="F13" s="155"/>
    </row>
    <row r="14" spans="1:9"/>
  </sheetData>
  <sheetProtection password="AE77" sheet="1" objects="1" scenarios="1"/>
  <mergeCells count="8">
    <mergeCell ref="B9:C9"/>
    <mergeCell ref="B2:G2"/>
    <mergeCell ref="B1:G1"/>
    <mergeCell ref="B3:E3"/>
    <mergeCell ref="B4:E4"/>
    <mergeCell ref="B5:E5"/>
    <mergeCell ref="B7:C7"/>
    <mergeCell ref="B8:C8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locked="0" defaultSize="0" autoFill="0" autoLine="0" autoPict="0">
                <anchor moveWithCells="1">
                  <from>
                    <xdr:col>0</xdr:col>
                    <xdr:colOff>69850</xdr:colOff>
                    <xdr:row>11</xdr:row>
                    <xdr:rowOff>6350</xdr:rowOff>
                  </from>
                  <to>
                    <xdr:col>1</xdr:col>
                    <xdr:colOff>323850</xdr:colOff>
                    <xdr:row>12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51"/>
  <sheetViews>
    <sheetView showGridLines="0" showRowColHeaders="0" zoomScaleNormal="100" workbookViewId="0">
      <selection activeCell="A30" sqref="A30"/>
    </sheetView>
  </sheetViews>
  <sheetFormatPr defaultColWidth="0" defaultRowHeight="12.5"/>
  <cols>
    <col min="1" max="1" width="35.6328125" style="239" customWidth="1"/>
    <col min="2" max="2" width="17.1796875" style="247" bestFit="1" customWidth="1"/>
    <col min="3" max="3" width="17.6328125" style="239" customWidth="1"/>
    <col min="4" max="4" width="15.81640625" style="248" bestFit="1" customWidth="1"/>
    <col min="5" max="5" width="11.81640625" style="230" customWidth="1"/>
    <col min="6" max="6" width="1.36328125" style="3" customWidth="1"/>
    <col min="7" max="16384" width="8.6328125" style="3" hidden="1"/>
  </cols>
  <sheetData>
    <row r="1" spans="1:8" ht="13">
      <c r="A1" s="308" t="s">
        <v>200</v>
      </c>
      <c r="B1" s="309" t="s">
        <v>201</v>
      </c>
      <c r="C1" s="308" t="s">
        <v>106</v>
      </c>
      <c r="D1" s="310" t="s">
        <v>202</v>
      </c>
      <c r="E1" s="311" t="s">
        <v>208</v>
      </c>
      <c r="H1" s="3">
        <f>COUNTA(Nombre_Apellidos)</f>
        <v>0</v>
      </c>
    </row>
    <row r="2" spans="1:8">
      <c r="A2" s="176"/>
      <c r="B2" s="177"/>
      <c r="C2" s="177"/>
      <c r="D2" s="314"/>
      <c r="E2" s="317"/>
    </row>
    <row r="3" spans="1:8">
      <c r="A3" s="176"/>
      <c r="B3" s="177"/>
      <c r="C3" s="177"/>
      <c r="D3" s="314"/>
      <c r="E3" s="317"/>
    </row>
    <row r="4" spans="1:8">
      <c r="A4" s="176"/>
      <c r="B4" s="177"/>
      <c r="C4" s="177"/>
      <c r="D4" s="314"/>
      <c r="E4" s="317"/>
    </row>
    <row r="5" spans="1:8">
      <c r="A5" s="176"/>
      <c r="B5" s="177"/>
      <c r="C5" s="177"/>
      <c r="D5" s="314"/>
      <c r="E5" s="317"/>
    </row>
    <row r="6" spans="1:8">
      <c r="A6" s="176"/>
      <c r="B6" s="177"/>
      <c r="C6" s="177"/>
      <c r="D6" s="314"/>
      <c r="E6" s="317"/>
    </row>
    <row r="7" spans="1:8">
      <c r="A7" s="176"/>
      <c r="B7" s="177"/>
      <c r="C7" s="177"/>
      <c r="D7" s="314"/>
      <c r="E7" s="317"/>
    </row>
    <row r="8" spans="1:8">
      <c r="A8" s="176"/>
      <c r="B8" s="177"/>
      <c r="C8" s="177"/>
      <c r="D8" s="314"/>
      <c r="E8" s="317"/>
    </row>
    <row r="9" spans="1:8">
      <c r="A9" s="176"/>
      <c r="B9" s="177"/>
      <c r="C9" s="177"/>
      <c r="D9" s="314"/>
      <c r="E9" s="317"/>
    </row>
    <row r="10" spans="1:8">
      <c r="A10" s="176"/>
      <c r="B10" s="177"/>
      <c r="C10" s="177"/>
      <c r="D10" s="314"/>
      <c r="E10" s="317"/>
    </row>
    <row r="11" spans="1:8">
      <c r="A11" s="176"/>
      <c r="B11" s="177"/>
      <c r="C11" s="177"/>
      <c r="D11" s="314"/>
      <c r="E11" s="317"/>
    </row>
    <row r="12" spans="1:8">
      <c r="A12" s="176"/>
      <c r="B12" s="177"/>
      <c r="C12" s="177"/>
      <c r="D12" s="314"/>
      <c r="E12" s="317"/>
    </row>
    <row r="13" spans="1:8">
      <c r="A13" s="176"/>
      <c r="B13" s="177"/>
      <c r="C13" s="177"/>
      <c r="D13" s="314"/>
      <c r="E13" s="317"/>
    </row>
    <row r="14" spans="1:8">
      <c r="A14" s="176"/>
      <c r="B14" s="177"/>
      <c r="C14" s="177"/>
      <c r="D14" s="314"/>
      <c r="E14" s="317"/>
    </row>
    <row r="15" spans="1:8">
      <c r="A15" s="176"/>
      <c r="B15" s="177"/>
      <c r="C15" s="177"/>
      <c r="D15" s="314"/>
      <c r="E15" s="317"/>
    </row>
    <row r="16" spans="1:8">
      <c r="A16" s="176"/>
      <c r="B16" s="177"/>
      <c r="C16" s="177"/>
      <c r="D16" s="314"/>
      <c r="E16" s="317"/>
    </row>
    <row r="17" spans="1:5">
      <c r="A17" s="176"/>
      <c r="B17" s="177"/>
      <c r="C17" s="177"/>
      <c r="D17" s="314"/>
      <c r="E17" s="317"/>
    </row>
    <row r="18" spans="1:5">
      <c r="A18" s="183"/>
      <c r="B18" s="184"/>
      <c r="C18" s="184"/>
      <c r="D18" s="315"/>
      <c r="E18" s="317"/>
    </row>
    <row r="19" spans="1:5">
      <c r="A19" s="186"/>
      <c r="B19" s="187"/>
      <c r="C19" s="188"/>
      <c r="D19" s="316"/>
      <c r="E19" s="317"/>
    </row>
    <row r="20" spans="1:5">
      <c r="A20" s="186"/>
      <c r="B20" s="187"/>
      <c r="C20" s="188"/>
      <c r="D20" s="316"/>
      <c r="E20" s="317"/>
    </row>
    <row r="21" spans="1:5">
      <c r="A21" s="186"/>
      <c r="B21" s="187"/>
      <c r="C21" s="188"/>
      <c r="D21" s="316"/>
      <c r="E21" s="317"/>
    </row>
    <row r="22" spans="1:5">
      <c r="A22" s="186"/>
      <c r="B22" s="187"/>
      <c r="C22" s="188"/>
      <c r="D22" s="316"/>
      <c r="E22" s="317"/>
    </row>
    <row r="23" spans="1:5">
      <c r="A23" s="186"/>
      <c r="B23" s="187"/>
      <c r="C23" s="188"/>
      <c r="D23" s="316"/>
      <c r="E23" s="317"/>
    </row>
    <row r="24" spans="1:5">
      <c r="A24" s="186"/>
      <c r="B24" s="187"/>
      <c r="C24" s="188"/>
      <c r="D24" s="316"/>
      <c r="E24" s="317"/>
    </row>
    <row r="25" spans="1:5">
      <c r="A25" s="183"/>
      <c r="B25" s="189"/>
      <c r="C25" s="184"/>
      <c r="D25" s="315"/>
      <c r="E25" s="318"/>
    </row>
    <row r="26" spans="1:5">
      <c r="A26" s="186"/>
      <c r="B26" s="187"/>
      <c r="C26" s="188"/>
      <c r="D26" s="316"/>
      <c r="E26" s="317"/>
    </row>
    <row r="27" spans="1:5">
      <c r="A27" s="186"/>
      <c r="B27" s="187"/>
      <c r="C27" s="188"/>
      <c r="D27" s="316"/>
      <c r="E27" s="317"/>
    </row>
    <row r="28" spans="1:5">
      <c r="A28" s="186"/>
      <c r="B28" s="187"/>
      <c r="C28" s="188"/>
      <c r="D28" s="316"/>
      <c r="E28" s="317"/>
    </row>
    <row r="29" spans="1:5">
      <c r="A29" s="186"/>
      <c r="B29" s="187"/>
      <c r="C29" s="188"/>
      <c r="D29" s="316"/>
      <c r="E29" s="317"/>
    </row>
    <row r="30" spans="1:5">
      <c r="A30" s="186"/>
      <c r="B30" s="187"/>
      <c r="C30" s="188"/>
      <c r="D30" s="316"/>
      <c r="E30" s="317"/>
    </row>
    <row r="31" spans="1:5">
      <c r="A31" s="186"/>
      <c r="B31" s="187"/>
      <c r="C31" s="188"/>
      <c r="D31" s="316"/>
      <c r="E31" s="317"/>
    </row>
    <row r="32" spans="1:5">
      <c r="A32" s="186"/>
      <c r="B32" s="187"/>
      <c r="C32" s="188"/>
      <c r="D32" s="316"/>
      <c r="E32" s="317"/>
    </row>
    <row r="33" spans="1:5">
      <c r="A33" s="186"/>
      <c r="B33" s="187"/>
      <c r="C33" s="188"/>
      <c r="D33" s="316"/>
      <c r="E33" s="317"/>
    </row>
    <row r="34" spans="1:5">
      <c r="A34" s="186"/>
      <c r="B34" s="187"/>
      <c r="C34" s="188"/>
      <c r="D34" s="316"/>
      <c r="E34" s="317"/>
    </row>
    <row r="35" spans="1:5">
      <c r="A35" s="186"/>
      <c r="B35" s="187"/>
      <c r="C35" s="188"/>
      <c r="D35" s="316"/>
      <c r="E35" s="317"/>
    </row>
    <row r="36" spans="1:5">
      <c r="A36" s="186"/>
      <c r="B36" s="187"/>
      <c r="C36" s="188"/>
      <c r="D36" s="316"/>
      <c r="E36" s="317"/>
    </row>
    <row r="37" spans="1:5">
      <c r="A37" s="186"/>
      <c r="B37" s="187"/>
      <c r="C37" s="188"/>
      <c r="D37" s="316"/>
      <c r="E37" s="317"/>
    </row>
    <row r="38" spans="1:5">
      <c r="A38" s="186"/>
      <c r="B38" s="187"/>
      <c r="C38" s="188"/>
      <c r="D38" s="316"/>
      <c r="E38" s="317"/>
    </row>
    <row r="39" spans="1:5">
      <c r="A39" s="186"/>
      <c r="B39" s="187"/>
      <c r="C39" s="188"/>
      <c r="D39" s="316"/>
      <c r="E39" s="317"/>
    </row>
    <row r="40" spans="1:5">
      <c r="A40" s="186"/>
      <c r="B40" s="187"/>
      <c r="C40" s="188"/>
      <c r="D40" s="316"/>
      <c r="E40" s="317"/>
    </row>
    <row r="41" spans="1:5">
      <c r="A41" s="186"/>
      <c r="B41" s="187"/>
      <c r="C41" s="188"/>
      <c r="D41" s="316"/>
      <c r="E41" s="317"/>
    </row>
    <row r="42" spans="1:5">
      <c r="A42" s="186"/>
      <c r="B42" s="187"/>
      <c r="C42" s="188"/>
      <c r="D42" s="316"/>
      <c r="E42" s="317"/>
    </row>
    <row r="43" spans="1:5">
      <c r="A43" s="186"/>
      <c r="B43" s="187"/>
      <c r="C43" s="188"/>
      <c r="D43" s="316"/>
      <c r="E43" s="317"/>
    </row>
    <row r="44" spans="1:5">
      <c r="A44" s="186"/>
      <c r="B44" s="187"/>
      <c r="C44" s="188"/>
      <c r="D44" s="316"/>
      <c r="E44" s="317"/>
    </row>
    <row r="45" spans="1:5">
      <c r="A45" s="186"/>
      <c r="B45" s="187"/>
      <c r="C45" s="188"/>
      <c r="D45" s="316"/>
      <c r="E45" s="317"/>
    </row>
    <row r="46" spans="1:5">
      <c r="A46" s="186"/>
      <c r="B46" s="187"/>
      <c r="C46" s="188"/>
      <c r="D46" s="316"/>
      <c r="E46" s="317"/>
    </row>
    <row r="47" spans="1:5">
      <c r="A47" s="186"/>
      <c r="B47" s="187"/>
      <c r="C47" s="188"/>
      <c r="D47" s="316"/>
      <c r="E47" s="317"/>
    </row>
    <row r="48" spans="1:5">
      <c r="A48" s="186"/>
      <c r="B48" s="187"/>
      <c r="C48" s="188"/>
      <c r="D48" s="316"/>
      <c r="E48" s="317"/>
    </row>
    <row r="49" spans="1:5">
      <c r="A49" s="186"/>
      <c r="B49" s="187"/>
      <c r="C49" s="188"/>
      <c r="D49" s="316"/>
      <c r="E49" s="317"/>
    </row>
    <row r="50" spans="1:5">
      <c r="A50" s="186"/>
      <c r="B50" s="187"/>
      <c r="C50" s="188"/>
      <c r="D50" s="316"/>
      <c r="E50" s="317"/>
    </row>
    <row r="51" spans="1:5">
      <c r="A51" s="183"/>
      <c r="B51" s="189"/>
      <c r="C51" s="184"/>
      <c r="D51" s="315"/>
      <c r="E51" s="318"/>
    </row>
  </sheetData>
  <sheetProtection password="AE77" sheet="1" objects="1" scenarios="1"/>
  <dataValidations count="1">
    <dataValidation type="list" allowBlank="1" showInputMessage="1" showErrorMessage="1" sqref="E2:E51" xr:uid="{00000000-0002-0000-0100-000000000000}">
      <formula1>"Carpinteros,Operadores"</formula1>
    </dataValidation>
  </dataValidations>
  <pageMargins left="0.75" right="0.75" top="1" bottom="1" header="0.5" footer="0.5"/>
  <pageSetup scale="92" orientation="portrait" r:id="rId1"/>
  <headerFooter alignWithMargins="0"/>
  <colBreaks count="1" manualBreakCount="1">
    <brk id="254" max="1048575" man="1"/>
  </colBreak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N151"/>
  <sheetViews>
    <sheetView showGridLines="0" showRowColHeader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E2" sqref="E2"/>
    </sheetView>
  </sheetViews>
  <sheetFormatPr defaultColWidth="0" defaultRowHeight="12.5"/>
  <cols>
    <col min="1" max="1" width="25.6328125" style="3" hidden="1" customWidth="1"/>
    <col min="2" max="2" width="12.6328125" style="2" customWidth="1"/>
    <col min="3" max="4" width="25.6328125" style="3" customWidth="1"/>
    <col min="5" max="8" width="12.6328125" style="2" customWidth="1"/>
    <col min="9" max="9" width="12.6328125" style="178" customWidth="1"/>
    <col min="10" max="10" width="12.6328125" style="2" customWidth="1"/>
    <col min="11" max="11" width="12.6328125" style="185" customWidth="1"/>
    <col min="12" max="12" width="2.6328125" style="3" customWidth="1"/>
    <col min="13" max="14" width="0" style="3" hidden="1" customWidth="1"/>
    <col min="15" max="16384" width="8.90625" style="3" hidden="1"/>
  </cols>
  <sheetData>
    <row r="1" spans="1:14" ht="26">
      <c r="A1" s="191" t="s">
        <v>224</v>
      </c>
      <c r="B1" s="222" t="s">
        <v>223</v>
      </c>
      <c r="C1" s="222" t="s">
        <v>115</v>
      </c>
      <c r="D1" s="222" t="s">
        <v>116</v>
      </c>
      <c r="E1" s="222" t="s">
        <v>117</v>
      </c>
      <c r="F1" s="222" t="s">
        <v>118</v>
      </c>
      <c r="G1" s="222" t="s">
        <v>203</v>
      </c>
      <c r="H1" s="222" t="s">
        <v>204</v>
      </c>
      <c r="I1" s="223" t="s">
        <v>205</v>
      </c>
      <c r="J1" s="222" t="s">
        <v>206</v>
      </c>
      <c r="K1" s="224" t="s">
        <v>207</v>
      </c>
      <c r="N1" s="3">
        <f>MAX(N2:N151)-1</f>
        <v>-1</v>
      </c>
    </row>
    <row r="2" spans="1:14">
      <c r="A2" s="192" t="str">
        <f>IF(ISBLANK(C2),"",IF(ISBLANK(Table17[[#This Row],[ID Num.]]),Table17[[#This Row],[Descripción]],C2&amp;" (" &amp;B2&amp;")"))</f>
        <v/>
      </c>
      <c r="B2" s="195"/>
      <c r="C2" s="196"/>
      <c r="D2" s="196"/>
      <c r="E2" s="195"/>
      <c r="F2" s="197"/>
      <c r="G2" s="198"/>
      <c r="H2" s="195"/>
      <c r="I2" s="199"/>
      <c r="J2" s="196"/>
      <c r="K2" s="200"/>
      <c r="N2" s="3" t="str">
        <f>IF(ISBLANK(C2),"",ROW(C2))</f>
        <v/>
      </c>
    </row>
    <row r="3" spans="1:14">
      <c r="A3" s="193" t="str">
        <f>IF(ISBLANK(C3),"",IF(ISBLANK(Table17[[#This Row],[ID Num.]]),Table17[[#This Row],[Descripción]],C3&amp;" (" &amp;B3&amp;")"))</f>
        <v/>
      </c>
      <c r="B3" s="195"/>
      <c r="C3" s="196"/>
      <c r="D3" s="197"/>
      <c r="E3" s="195"/>
      <c r="F3" s="196"/>
      <c r="G3" s="195"/>
      <c r="H3" s="195"/>
      <c r="I3" s="201"/>
      <c r="J3" s="197"/>
      <c r="K3" s="200"/>
      <c r="N3" s="3" t="str">
        <f t="shared" ref="N3:N66" si="0">IF(ISBLANK(C3),"",ROW(C3))</f>
        <v/>
      </c>
    </row>
    <row r="4" spans="1:14">
      <c r="A4" s="193" t="str">
        <f>IF(ISBLANK(C4),"",IF(ISBLANK(Table17[[#This Row],[ID Num.]]),Table17[[#This Row],[Descripción]],C4&amp;" (" &amp;B4&amp;")"))</f>
        <v/>
      </c>
      <c r="B4" s="195"/>
      <c r="C4" s="196"/>
      <c r="D4" s="197"/>
      <c r="E4" s="195"/>
      <c r="F4" s="197"/>
      <c r="G4" s="195"/>
      <c r="H4" s="195"/>
      <c r="I4" s="199"/>
      <c r="J4" s="197"/>
      <c r="K4" s="200"/>
      <c r="N4" s="3" t="str">
        <f t="shared" si="0"/>
        <v/>
      </c>
    </row>
    <row r="5" spans="1:14">
      <c r="A5" s="193" t="str">
        <f>IF(ISBLANK(C5),"",IF(ISBLANK(Table17[[#This Row],[ID Num.]]),Table17[[#This Row],[Descripción]],C5&amp;" (" &amp;B5&amp;")"))</f>
        <v/>
      </c>
      <c r="B5" s="195"/>
      <c r="C5" s="196"/>
      <c r="D5" s="197"/>
      <c r="E5" s="195"/>
      <c r="F5" s="197"/>
      <c r="G5" s="195"/>
      <c r="H5" s="195"/>
      <c r="I5" s="201"/>
      <c r="J5" s="197"/>
      <c r="K5" s="200"/>
      <c r="N5" s="3" t="str">
        <f t="shared" si="0"/>
        <v/>
      </c>
    </row>
    <row r="6" spans="1:14">
      <c r="A6" s="193" t="str">
        <f>IF(ISBLANK(C6),"",IF(ISBLANK(Table17[[#This Row],[ID Num.]]),Table17[[#This Row],[Descripción]],C6&amp;" (" &amp;B6&amp;")"))</f>
        <v/>
      </c>
      <c r="B6" s="195"/>
      <c r="C6" s="196"/>
      <c r="D6" s="197"/>
      <c r="E6" s="195"/>
      <c r="F6" s="197"/>
      <c r="G6" s="195"/>
      <c r="H6" s="195"/>
      <c r="I6" s="199"/>
      <c r="J6" s="197"/>
      <c r="K6" s="200"/>
      <c r="N6" s="3" t="str">
        <f t="shared" si="0"/>
        <v/>
      </c>
    </row>
    <row r="7" spans="1:14">
      <c r="A7" s="193" t="str">
        <f>IF(ISBLANK(C7),"",IF(ISBLANK(Table17[[#This Row],[ID Num.]]),Table17[[#This Row],[Descripción]],C7&amp;" (" &amp;B7&amp;")"))</f>
        <v/>
      </c>
      <c r="B7" s="195"/>
      <c r="C7" s="196"/>
      <c r="D7" s="197"/>
      <c r="E7" s="195"/>
      <c r="F7" s="197"/>
      <c r="G7" s="195"/>
      <c r="H7" s="195"/>
      <c r="I7" s="201"/>
      <c r="J7" s="197"/>
      <c r="K7" s="200"/>
      <c r="N7" s="3" t="str">
        <f t="shared" si="0"/>
        <v/>
      </c>
    </row>
    <row r="8" spans="1:14">
      <c r="A8" s="193" t="str">
        <f>IF(ISBLANK(C8),"",IF(ISBLANK(Table17[[#This Row],[ID Num.]]),Table17[[#This Row],[Descripción]],C8&amp;" (" &amp;B8&amp;")"))</f>
        <v/>
      </c>
      <c r="B8" s="195"/>
      <c r="C8" s="196"/>
      <c r="D8" s="197"/>
      <c r="E8" s="195"/>
      <c r="F8" s="197"/>
      <c r="G8" s="195"/>
      <c r="H8" s="195"/>
      <c r="I8" s="199"/>
      <c r="J8" s="197"/>
      <c r="K8" s="200"/>
      <c r="N8" s="3" t="str">
        <f t="shared" si="0"/>
        <v/>
      </c>
    </row>
    <row r="9" spans="1:14">
      <c r="A9" s="193" t="str">
        <f>IF(ISBLANK(C9),"",IF(ISBLANK(Table17[[#This Row],[ID Num.]]),Table17[[#This Row],[Descripción]],C9&amp;" (" &amp;B9&amp;")"))</f>
        <v/>
      </c>
      <c r="B9" s="195"/>
      <c r="C9" s="196"/>
      <c r="D9" s="197"/>
      <c r="E9" s="195"/>
      <c r="F9" s="197"/>
      <c r="G9" s="195"/>
      <c r="H9" s="195"/>
      <c r="I9" s="201"/>
      <c r="J9" s="197"/>
      <c r="K9" s="200"/>
      <c r="N9" s="3" t="str">
        <f t="shared" si="0"/>
        <v/>
      </c>
    </row>
    <row r="10" spans="1:14">
      <c r="A10" s="193" t="str">
        <f>IF(ISBLANK(C10),"",IF(ISBLANK(Table17[[#This Row],[ID Num.]]),Table17[[#This Row],[Descripción]],C10&amp;" (" &amp;B10&amp;")"))</f>
        <v/>
      </c>
      <c r="B10" s="195"/>
      <c r="C10" s="196"/>
      <c r="D10" s="197"/>
      <c r="E10" s="195"/>
      <c r="F10" s="197"/>
      <c r="G10" s="195"/>
      <c r="H10" s="195"/>
      <c r="I10" s="199"/>
      <c r="J10" s="197"/>
      <c r="K10" s="200"/>
      <c r="N10" s="3" t="str">
        <f t="shared" si="0"/>
        <v/>
      </c>
    </row>
    <row r="11" spans="1:14">
      <c r="A11" s="193" t="str">
        <f>IF(ISBLANK(C11),"",IF(ISBLANK(Table17[[#This Row],[ID Num.]]),Table17[[#This Row],[Descripción]],C11&amp;" (" &amp;B11&amp;")"))</f>
        <v/>
      </c>
      <c r="B11" s="195"/>
      <c r="C11" s="196"/>
      <c r="D11" s="197"/>
      <c r="E11" s="195"/>
      <c r="F11" s="197"/>
      <c r="G11" s="195"/>
      <c r="H11" s="195"/>
      <c r="I11" s="201"/>
      <c r="J11" s="197"/>
      <c r="K11" s="200"/>
      <c r="N11" s="3" t="str">
        <f t="shared" si="0"/>
        <v/>
      </c>
    </row>
    <row r="12" spans="1:14">
      <c r="A12" s="193" t="str">
        <f>IF(ISBLANK(C12),"",IF(ISBLANK(Table17[[#This Row],[ID Num.]]),Table17[[#This Row],[Descripción]],C12&amp;" (" &amp;B12&amp;")"))</f>
        <v/>
      </c>
      <c r="B12" s="195"/>
      <c r="C12" s="197"/>
      <c r="D12" s="197"/>
      <c r="E12" s="195"/>
      <c r="F12" s="197"/>
      <c r="G12" s="195"/>
      <c r="H12" s="195"/>
      <c r="I12" s="201"/>
      <c r="J12" s="197"/>
      <c r="K12" s="202"/>
      <c r="N12" s="3" t="str">
        <f t="shared" si="0"/>
        <v/>
      </c>
    </row>
    <row r="13" spans="1:14">
      <c r="A13" s="193" t="str">
        <f>IF(ISBLANK(C13),"",IF(ISBLANK(Table17[[#This Row],[ID Num.]]),Table17[[#This Row],[Descripción]],C13&amp;" (" &amp;B13&amp;")"))</f>
        <v/>
      </c>
      <c r="B13" s="195"/>
      <c r="C13" s="197"/>
      <c r="D13" s="197"/>
      <c r="E13" s="195"/>
      <c r="F13" s="197"/>
      <c r="G13" s="195"/>
      <c r="H13" s="195"/>
      <c r="I13" s="201"/>
      <c r="J13" s="197"/>
      <c r="K13" s="202"/>
      <c r="N13" s="3" t="str">
        <f t="shared" si="0"/>
        <v/>
      </c>
    </row>
    <row r="14" spans="1:14">
      <c r="A14" s="193" t="str">
        <f>IF(ISBLANK(C14),"",IF(ISBLANK(Table17[[#This Row],[ID Num.]]),Table17[[#This Row],[Descripción]],C14&amp;" (" &amp;B14&amp;")"))</f>
        <v/>
      </c>
      <c r="B14" s="195"/>
      <c r="C14" s="197"/>
      <c r="D14" s="197"/>
      <c r="E14" s="195"/>
      <c r="F14" s="197"/>
      <c r="G14" s="195"/>
      <c r="H14" s="195"/>
      <c r="I14" s="201"/>
      <c r="J14" s="197"/>
      <c r="K14" s="202"/>
      <c r="N14" s="3" t="str">
        <f t="shared" si="0"/>
        <v/>
      </c>
    </row>
    <row r="15" spans="1:14">
      <c r="A15" s="193" t="str">
        <f>IF(ISBLANK(C15),"",IF(ISBLANK(Table17[[#This Row],[ID Num.]]),Table17[[#This Row],[Descripción]],C15&amp;" (" &amp;B15&amp;")"))</f>
        <v/>
      </c>
      <c r="B15" s="195"/>
      <c r="C15" s="197"/>
      <c r="D15" s="197"/>
      <c r="E15" s="195"/>
      <c r="F15" s="197"/>
      <c r="G15" s="195"/>
      <c r="H15" s="195"/>
      <c r="I15" s="201"/>
      <c r="J15" s="197"/>
      <c r="K15" s="202"/>
      <c r="N15" s="3" t="str">
        <f t="shared" si="0"/>
        <v/>
      </c>
    </row>
    <row r="16" spans="1:14">
      <c r="A16" s="193" t="str">
        <f>IF(ISBLANK(C16),"",IF(ISBLANK(Table17[[#This Row],[ID Num.]]),Table17[[#This Row],[Descripción]],C16&amp;" (" &amp;B16&amp;")"))</f>
        <v/>
      </c>
      <c r="B16" s="195"/>
      <c r="C16" s="197"/>
      <c r="D16" s="197"/>
      <c r="E16" s="195"/>
      <c r="F16" s="197"/>
      <c r="G16" s="195"/>
      <c r="H16" s="195"/>
      <c r="I16" s="201"/>
      <c r="J16" s="197"/>
      <c r="K16" s="202"/>
      <c r="N16" s="3" t="str">
        <f t="shared" si="0"/>
        <v/>
      </c>
    </row>
    <row r="17" spans="1:14">
      <c r="A17" s="193" t="str">
        <f>IF(ISBLANK(C17),"",IF(ISBLANK(Table17[[#This Row],[ID Num.]]),Table17[[#This Row],[Descripción]],C17&amp;" (" &amp;B17&amp;")"))</f>
        <v/>
      </c>
      <c r="B17" s="195"/>
      <c r="C17" s="197"/>
      <c r="D17" s="197"/>
      <c r="E17" s="195"/>
      <c r="F17" s="197"/>
      <c r="G17" s="195"/>
      <c r="H17" s="195"/>
      <c r="I17" s="201"/>
      <c r="J17" s="197"/>
      <c r="K17" s="202"/>
      <c r="N17" s="3" t="str">
        <f t="shared" si="0"/>
        <v/>
      </c>
    </row>
    <row r="18" spans="1:14">
      <c r="A18" s="193" t="str">
        <f>IF(ISBLANK(C18),"",IF(ISBLANK(Table17[[#This Row],[ID Num.]]),Table17[[#This Row],[Descripción]],C18&amp;" (" &amp;B18&amp;")"))</f>
        <v/>
      </c>
      <c r="B18" s="195"/>
      <c r="C18" s="197"/>
      <c r="D18" s="197"/>
      <c r="E18" s="195"/>
      <c r="F18" s="197"/>
      <c r="G18" s="195"/>
      <c r="H18" s="195"/>
      <c r="I18" s="201"/>
      <c r="J18" s="197"/>
      <c r="K18" s="202"/>
      <c r="N18" s="3" t="str">
        <f t="shared" si="0"/>
        <v/>
      </c>
    </row>
    <row r="19" spans="1:14">
      <c r="A19" s="193" t="str">
        <f>IF(ISBLANK(C19),"",IF(ISBLANK(Table17[[#This Row],[ID Num.]]),Table17[[#This Row],[Descripción]],C19&amp;" (" &amp;B19&amp;")"))</f>
        <v/>
      </c>
      <c r="B19" s="195"/>
      <c r="C19" s="197"/>
      <c r="D19" s="197"/>
      <c r="E19" s="195"/>
      <c r="F19" s="197"/>
      <c r="G19" s="195"/>
      <c r="H19" s="195"/>
      <c r="I19" s="201"/>
      <c r="J19" s="197"/>
      <c r="K19" s="202"/>
      <c r="N19" s="3" t="str">
        <f t="shared" si="0"/>
        <v/>
      </c>
    </row>
    <row r="20" spans="1:14">
      <c r="A20" s="193" t="str">
        <f>IF(ISBLANK(C20),"",IF(ISBLANK(Table17[[#This Row],[ID Num.]]),Table17[[#This Row],[Descripción]],C20&amp;" (" &amp;B20&amp;")"))</f>
        <v/>
      </c>
      <c r="B20" s="195"/>
      <c r="C20" s="197"/>
      <c r="D20" s="197"/>
      <c r="E20" s="195"/>
      <c r="F20" s="197"/>
      <c r="G20" s="195"/>
      <c r="H20" s="195"/>
      <c r="I20" s="201"/>
      <c r="J20" s="197"/>
      <c r="K20" s="202"/>
      <c r="N20" s="3" t="str">
        <f t="shared" si="0"/>
        <v/>
      </c>
    </row>
    <row r="21" spans="1:14">
      <c r="A21" s="193" t="str">
        <f>IF(ISBLANK(C21),"",IF(ISBLANK(Table17[[#This Row],[ID Num.]]),Table17[[#This Row],[Descripción]],C21&amp;" (" &amp;B21&amp;")"))</f>
        <v/>
      </c>
      <c r="B21" s="195"/>
      <c r="C21" s="197"/>
      <c r="D21" s="197"/>
      <c r="E21" s="195"/>
      <c r="F21" s="197"/>
      <c r="G21" s="195"/>
      <c r="H21" s="195"/>
      <c r="I21" s="201"/>
      <c r="J21" s="197"/>
      <c r="K21" s="202"/>
      <c r="N21" s="3" t="str">
        <f t="shared" si="0"/>
        <v/>
      </c>
    </row>
    <row r="22" spans="1:14">
      <c r="A22" s="193" t="str">
        <f>IF(ISBLANK(C22),"",IF(ISBLANK(Table17[[#This Row],[ID Num.]]),Table17[[#This Row],[Descripción]],C22&amp;" (" &amp;B22&amp;")"))</f>
        <v/>
      </c>
      <c r="B22" s="195"/>
      <c r="C22" s="197"/>
      <c r="D22" s="197"/>
      <c r="E22" s="195"/>
      <c r="F22" s="197"/>
      <c r="G22" s="195"/>
      <c r="H22" s="195"/>
      <c r="I22" s="201"/>
      <c r="J22" s="197"/>
      <c r="K22" s="202"/>
      <c r="N22" s="3" t="str">
        <f t="shared" si="0"/>
        <v/>
      </c>
    </row>
    <row r="23" spans="1:14">
      <c r="A23" s="193" t="str">
        <f>IF(ISBLANK(C23),"",IF(ISBLANK(Table17[[#This Row],[ID Num.]]),Table17[[#This Row],[Descripción]],C23&amp;" (" &amp;B23&amp;")"))</f>
        <v/>
      </c>
      <c r="B23" s="195"/>
      <c r="C23" s="197"/>
      <c r="D23" s="197"/>
      <c r="E23" s="195"/>
      <c r="F23" s="197"/>
      <c r="G23" s="195"/>
      <c r="H23" s="195"/>
      <c r="I23" s="201"/>
      <c r="J23" s="197"/>
      <c r="K23" s="202"/>
      <c r="N23" s="3" t="str">
        <f t="shared" si="0"/>
        <v/>
      </c>
    </row>
    <row r="24" spans="1:14">
      <c r="A24" s="193" t="str">
        <f>IF(ISBLANK(C24),"",IF(ISBLANK(Table17[[#This Row],[ID Num.]]),Table17[[#This Row],[Descripción]],C24&amp;" (" &amp;B24&amp;")"))</f>
        <v/>
      </c>
      <c r="B24" s="195"/>
      <c r="C24" s="197"/>
      <c r="D24" s="197"/>
      <c r="E24" s="195"/>
      <c r="F24" s="197"/>
      <c r="G24" s="195"/>
      <c r="H24" s="195"/>
      <c r="I24" s="201"/>
      <c r="J24" s="197"/>
      <c r="K24" s="203"/>
      <c r="N24" s="3" t="str">
        <f t="shared" si="0"/>
        <v/>
      </c>
    </row>
    <row r="25" spans="1:14">
      <c r="A25" s="193" t="str">
        <f>IF(ISBLANK(C25),"",IF(ISBLANK(Table17[[#This Row],[ID Num.]]),Table17[[#This Row],[Descripción]],C25&amp;" (" &amp;B25&amp;")"))</f>
        <v/>
      </c>
      <c r="B25" s="195"/>
      <c r="C25" s="197"/>
      <c r="D25" s="197"/>
      <c r="E25" s="195"/>
      <c r="F25" s="197"/>
      <c r="G25" s="195"/>
      <c r="H25" s="195"/>
      <c r="I25" s="201"/>
      <c r="J25" s="197"/>
      <c r="K25" s="202"/>
      <c r="N25" s="3" t="str">
        <f t="shared" si="0"/>
        <v/>
      </c>
    </row>
    <row r="26" spans="1:14">
      <c r="A26" s="193" t="str">
        <f>IF(ISBLANK(C26),"",IF(ISBLANK(Table17[[#This Row],[ID Num.]]),Table17[[#This Row],[Descripción]],C26&amp;" (" &amp;B26&amp;")"))</f>
        <v/>
      </c>
      <c r="B26" s="195"/>
      <c r="C26" s="197"/>
      <c r="D26" s="197"/>
      <c r="E26" s="195"/>
      <c r="F26" s="197"/>
      <c r="G26" s="195"/>
      <c r="H26" s="195"/>
      <c r="I26" s="201"/>
      <c r="J26" s="197"/>
      <c r="K26" s="202"/>
      <c r="N26" s="3" t="str">
        <f t="shared" si="0"/>
        <v/>
      </c>
    </row>
    <row r="27" spans="1:14">
      <c r="A27" s="193" t="str">
        <f>IF(ISBLANK(C27),"",IF(ISBLANK(Table17[[#This Row],[ID Num.]]),Table17[[#This Row],[Descripción]],C27&amp;" (" &amp;B27&amp;")"))</f>
        <v/>
      </c>
      <c r="B27" s="195"/>
      <c r="C27" s="197"/>
      <c r="D27" s="197"/>
      <c r="E27" s="195"/>
      <c r="F27" s="197"/>
      <c r="G27" s="195"/>
      <c r="H27" s="195"/>
      <c r="I27" s="201"/>
      <c r="J27" s="197"/>
      <c r="K27" s="202"/>
      <c r="N27" s="3" t="str">
        <f t="shared" si="0"/>
        <v/>
      </c>
    </row>
    <row r="28" spans="1:14">
      <c r="A28" s="193" t="str">
        <f>IF(ISBLANK(C28),"",IF(ISBLANK(Table17[[#This Row],[ID Num.]]),Table17[[#This Row],[Descripción]],C28&amp;" (" &amp;B28&amp;")"))</f>
        <v/>
      </c>
      <c r="B28" s="195"/>
      <c r="C28" s="197"/>
      <c r="D28" s="197"/>
      <c r="E28" s="195"/>
      <c r="F28" s="197"/>
      <c r="G28" s="195"/>
      <c r="H28" s="195"/>
      <c r="I28" s="201"/>
      <c r="J28" s="197"/>
      <c r="K28" s="202"/>
      <c r="N28" s="3" t="str">
        <f t="shared" si="0"/>
        <v/>
      </c>
    </row>
    <row r="29" spans="1:14">
      <c r="A29" s="193" t="str">
        <f>IF(ISBLANK(C29),"",IF(ISBLANK(Table17[[#This Row],[ID Num.]]),Table17[[#This Row],[Descripción]],C29&amp;" (" &amp;B29&amp;")"))</f>
        <v/>
      </c>
      <c r="B29" s="195"/>
      <c r="C29" s="197"/>
      <c r="D29" s="197"/>
      <c r="E29" s="195"/>
      <c r="F29" s="197"/>
      <c r="G29" s="195"/>
      <c r="H29" s="195"/>
      <c r="I29" s="201"/>
      <c r="J29" s="197"/>
      <c r="K29" s="202"/>
      <c r="N29" s="3" t="str">
        <f t="shared" si="0"/>
        <v/>
      </c>
    </row>
    <row r="30" spans="1:14">
      <c r="A30" s="193" t="str">
        <f>IF(ISBLANK(C30),"",IF(ISBLANK(Table17[[#This Row],[ID Num.]]),Table17[[#This Row],[Descripción]],C30&amp;" (" &amp;B30&amp;")"))</f>
        <v/>
      </c>
      <c r="B30" s="195"/>
      <c r="C30" s="197"/>
      <c r="D30" s="197"/>
      <c r="E30" s="195"/>
      <c r="F30" s="197"/>
      <c r="G30" s="195"/>
      <c r="H30" s="195"/>
      <c r="I30" s="201"/>
      <c r="J30" s="197"/>
      <c r="K30" s="202"/>
      <c r="N30" s="3" t="str">
        <f t="shared" si="0"/>
        <v/>
      </c>
    </row>
    <row r="31" spans="1:14">
      <c r="A31" s="193" t="str">
        <f>IF(ISBLANK(C31),"",IF(ISBLANK(Table17[[#This Row],[ID Num.]]),Table17[[#This Row],[Descripción]],C31&amp;" (" &amp;B31&amp;")"))</f>
        <v/>
      </c>
      <c r="B31" s="195"/>
      <c r="C31" s="197"/>
      <c r="D31" s="197"/>
      <c r="E31" s="195"/>
      <c r="F31" s="197"/>
      <c r="G31" s="195"/>
      <c r="H31" s="195"/>
      <c r="I31" s="201"/>
      <c r="J31" s="197"/>
      <c r="K31" s="202"/>
      <c r="N31" s="3" t="str">
        <f t="shared" si="0"/>
        <v/>
      </c>
    </row>
    <row r="32" spans="1:14">
      <c r="A32" s="193" t="str">
        <f>IF(ISBLANK(C32),"",IF(ISBLANK(Table17[[#This Row],[ID Num.]]),Table17[[#This Row],[Descripción]],C32&amp;" (" &amp;B32&amp;")"))</f>
        <v/>
      </c>
      <c r="B32" s="195"/>
      <c r="C32" s="197"/>
      <c r="D32" s="197"/>
      <c r="E32" s="195"/>
      <c r="F32" s="197"/>
      <c r="G32" s="195"/>
      <c r="H32" s="195"/>
      <c r="I32" s="201"/>
      <c r="J32" s="197"/>
      <c r="K32" s="202"/>
      <c r="N32" s="3" t="str">
        <f t="shared" si="0"/>
        <v/>
      </c>
    </row>
    <row r="33" spans="1:14">
      <c r="A33" s="193" t="str">
        <f>IF(ISBLANK(C33),"",IF(ISBLANK(Table17[[#This Row],[ID Num.]]),Table17[[#This Row],[Descripción]],C33&amp;" (" &amp;B33&amp;")"))</f>
        <v/>
      </c>
      <c r="B33" s="195"/>
      <c r="C33" s="197"/>
      <c r="D33" s="197"/>
      <c r="E33" s="195"/>
      <c r="F33" s="197"/>
      <c r="G33" s="195"/>
      <c r="H33" s="195"/>
      <c r="I33" s="201"/>
      <c r="J33" s="197"/>
      <c r="K33" s="202"/>
      <c r="N33" s="3" t="str">
        <f t="shared" si="0"/>
        <v/>
      </c>
    </row>
    <row r="34" spans="1:14">
      <c r="A34" s="193" t="str">
        <f>IF(ISBLANK(C34),"",IF(ISBLANK(Table17[[#This Row],[ID Num.]]),Table17[[#This Row],[Descripción]],C34&amp;" (" &amp;B34&amp;")"))</f>
        <v/>
      </c>
      <c r="B34" s="195"/>
      <c r="C34" s="197"/>
      <c r="D34" s="197"/>
      <c r="E34" s="195"/>
      <c r="F34" s="197"/>
      <c r="G34" s="195"/>
      <c r="H34" s="195"/>
      <c r="I34" s="201"/>
      <c r="J34" s="197"/>
      <c r="K34" s="202"/>
      <c r="N34" s="3" t="str">
        <f t="shared" si="0"/>
        <v/>
      </c>
    </row>
    <row r="35" spans="1:14">
      <c r="A35" s="193" t="str">
        <f>IF(ISBLANK(C35),"",IF(ISBLANK(Table17[[#This Row],[ID Num.]]),Table17[[#This Row],[Descripción]],C35&amp;" (" &amp;B35&amp;")"))</f>
        <v/>
      </c>
      <c r="B35" s="195"/>
      <c r="C35" s="197"/>
      <c r="D35" s="197"/>
      <c r="E35" s="195"/>
      <c r="F35" s="197"/>
      <c r="G35" s="195"/>
      <c r="H35" s="195"/>
      <c r="I35" s="201"/>
      <c r="J35" s="197"/>
      <c r="K35" s="202"/>
      <c r="N35" s="3" t="str">
        <f t="shared" si="0"/>
        <v/>
      </c>
    </row>
    <row r="36" spans="1:14">
      <c r="A36" s="193" t="str">
        <f>IF(ISBLANK(C36),"",IF(ISBLANK(Table17[[#This Row],[ID Num.]]),Table17[[#This Row],[Descripción]],C36&amp;" (" &amp;B36&amp;")"))</f>
        <v/>
      </c>
      <c r="B36" s="195"/>
      <c r="C36" s="197"/>
      <c r="D36" s="197"/>
      <c r="E36" s="195"/>
      <c r="F36" s="197"/>
      <c r="G36" s="195"/>
      <c r="H36" s="195"/>
      <c r="I36" s="201"/>
      <c r="J36" s="197"/>
      <c r="K36" s="202"/>
      <c r="N36" s="3" t="str">
        <f t="shared" si="0"/>
        <v/>
      </c>
    </row>
    <row r="37" spans="1:14">
      <c r="A37" s="193" t="str">
        <f>IF(ISBLANK(C37),"",IF(ISBLANK(Table17[[#This Row],[ID Num.]]),Table17[[#This Row],[Descripción]],C37&amp;" (" &amp;B37&amp;")"))</f>
        <v/>
      </c>
      <c r="B37" s="195"/>
      <c r="C37" s="197"/>
      <c r="D37" s="197"/>
      <c r="E37" s="195"/>
      <c r="F37" s="197"/>
      <c r="G37" s="195"/>
      <c r="H37" s="195"/>
      <c r="I37" s="201"/>
      <c r="J37" s="197"/>
      <c r="K37" s="203"/>
      <c r="N37" s="3" t="str">
        <f t="shared" si="0"/>
        <v/>
      </c>
    </row>
    <row r="38" spans="1:14">
      <c r="A38" s="193" t="str">
        <f>IF(ISBLANK(C38),"",IF(ISBLANK(Table17[[#This Row],[ID Num.]]),Table17[[#This Row],[Descripción]],C38&amp;" (" &amp;B38&amp;")"))</f>
        <v/>
      </c>
      <c r="B38" s="195"/>
      <c r="C38" s="197"/>
      <c r="D38" s="197"/>
      <c r="E38" s="195"/>
      <c r="F38" s="197"/>
      <c r="G38" s="195"/>
      <c r="H38" s="195"/>
      <c r="I38" s="201"/>
      <c r="J38" s="197"/>
      <c r="K38" s="202"/>
      <c r="N38" s="3" t="str">
        <f t="shared" si="0"/>
        <v/>
      </c>
    </row>
    <row r="39" spans="1:14">
      <c r="A39" s="193" t="str">
        <f>IF(ISBLANK(C39),"",IF(ISBLANK(Table17[[#This Row],[ID Num.]]),Table17[[#This Row],[Descripción]],C39&amp;" (" &amp;B39&amp;")"))</f>
        <v/>
      </c>
      <c r="B39" s="195"/>
      <c r="C39" s="197"/>
      <c r="D39" s="197"/>
      <c r="E39" s="195"/>
      <c r="F39" s="197"/>
      <c r="G39" s="195"/>
      <c r="H39" s="195"/>
      <c r="I39" s="201"/>
      <c r="J39" s="197"/>
      <c r="K39" s="202"/>
      <c r="N39" s="3" t="str">
        <f t="shared" si="0"/>
        <v/>
      </c>
    </row>
    <row r="40" spans="1:14">
      <c r="A40" s="193" t="str">
        <f>IF(ISBLANK(C40),"",IF(ISBLANK(Table17[[#This Row],[ID Num.]]),Table17[[#This Row],[Descripción]],C40&amp;" (" &amp;B40&amp;")"))</f>
        <v/>
      </c>
      <c r="B40" s="195"/>
      <c r="C40" s="197"/>
      <c r="D40" s="197"/>
      <c r="E40" s="195"/>
      <c r="F40" s="197"/>
      <c r="G40" s="195"/>
      <c r="H40" s="195"/>
      <c r="I40" s="201"/>
      <c r="J40" s="197"/>
      <c r="K40" s="202"/>
      <c r="N40" s="3" t="str">
        <f t="shared" si="0"/>
        <v/>
      </c>
    </row>
    <row r="41" spans="1:14">
      <c r="A41" s="193" t="str">
        <f>IF(ISBLANK(C41),"",IF(ISBLANK(Table17[[#This Row],[ID Num.]]),Table17[[#This Row],[Descripción]],C41&amp;" (" &amp;B41&amp;")"))</f>
        <v/>
      </c>
      <c r="B41" s="195"/>
      <c r="C41" s="197"/>
      <c r="D41" s="197"/>
      <c r="E41" s="195"/>
      <c r="F41" s="197"/>
      <c r="G41" s="195"/>
      <c r="H41" s="195"/>
      <c r="I41" s="201"/>
      <c r="J41" s="197"/>
      <c r="K41" s="202"/>
      <c r="N41" s="3" t="str">
        <f t="shared" si="0"/>
        <v/>
      </c>
    </row>
    <row r="42" spans="1:14">
      <c r="A42" s="193" t="str">
        <f>IF(ISBLANK(C42),"",IF(ISBLANK(Table17[[#This Row],[ID Num.]]),Table17[[#This Row],[Descripción]],C42&amp;" (" &amp;B42&amp;")"))</f>
        <v/>
      </c>
      <c r="B42" s="195"/>
      <c r="C42" s="197"/>
      <c r="D42" s="197"/>
      <c r="E42" s="195"/>
      <c r="F42" s="197"/>
      <c r="G42" s="195"/>
      <c r="H42" s="195"/>
      <c r="I42" s="201"/>
      <c r="J42" s="197"/>
      <c r="K42" s="202"/>
      <c r="N42" s="3" t="str">
        <f t="shared" si="0"/>
        <v/>
      </c>
    </row>
    <row r="43" spans="1:14">
      <c r="A43" s="193" t="str">
        <f>IF(ISBLANK(C43),"",IF(ISBLANK(Table17[[#This Row],[ID Num.]]),Table17[[#This Row],[Descripción]],C43&amp;" (" &amp;B43&amp;")"))</f>
        <v/>
      </c>
      <c r="B43" s="195"/>
      <c r="C43" s="197"/>
      <c r="D43" s="197"/>
      <c r="E43" s="195"/>
      <c r="F43" s="197"/>
      <c r="G43" s="195"/>
      <c r="H43" s="195"/>
      <c r="I43" s="201"/>
      <c r="J43" s="197"/>
      <c r="K43" s="202"/>
      <c r="N43" s="3" t="str">
        <f t="shared" si="0"/>
        <v/>
      </c>
    </row>
    <row r="44" spans="1:14">
      <c r="A44" s="193" t="str">
        <f>IF(ISBLANK(C44),"",IF(ISBLANK(Table17[[#This Row],[ID Num.]]),Table17[[#This Row],[Descripción]],C44&amp;" (" &amp;B44&amp;")"))</f>
        <v/>
      </c>
      <c r="B44" s="195"/>
      <c r="C44" s="197"/>
      <c r="D44" s="197"/>
      <c r="E44" s="195"/>
      <c r="F44" s="197"/>
      <c r="G44" s="195"/>
      <c r="H44" s="195"/>
      <c r="I44" s="201"/>
      <c r="J44" s="197"/>
      <c r="K44" s="202"/>
      <c r="N44" s="3" t="str">
        <f t="shared" si="0"/>
        <v/>
      </c>
    </row>
    <row r="45" spans="1:14">
      <c r="A45" s="193" t="str">
        <f>IF(ISBLANK(C45),"",IF(ISBLANK(Table17[[#This Row],[ID Num.]]),Table17[[#This Row],[Descripción]],C45&amp;" (" &amp;B45&amp;")"))</f>
        <v/>
      </c>
      <c r="B45" s="195"/>
      <c r="C45" s="197"/>
      <c r="D45" s="197"/>
      <c r="E45" s="195"/>
      <c r="F45" s="197"/>
      <c r="G45" s="195"/>
      <c r="H45" s="195"/>
      <c r="I45" s="201"/>
      <c r="J45" s="197"/>
      <c r="K45" s="202"/>
      <c r="N45" s="3" t="str">
        <f t="shared" si="0"/>
        <v/>
      </c>
    </row>
    <row r="46" spans="1:14">
      <c r="A46" s="193" t="str">
        <f>IF(ISBLANK(C46),"",IF(ISBLANK(Table17[[#This Row],[ID Num.]]),Table17[[#This Row],[Descripción]],C46&amp;" (" &amp;B46&amp;")"))</f>
        <v/>
      </c>
      <c r="B46" s="195"/>
      <c r="C46" s="197"/>
      <c r="D46" s="197"/>
      <c r="E46" s="195"/>
      <c r="F46" s="197"/>
      <c r="G46" s="195"/>
      <c r="H46" s="195"/>
      <c r="I46" s="201"/>
      <c r="J46" s="197"/>
      <c r="K46" s="202"/>
      <c r="N46" s="3" t="str">
        <f t="shared" si="0"/>
        <v/>
      </c>
    </row>
    <row r="47" spans="1:14">
      <c r="A47" s="193" t="str">
        <f>IF(ISBLANK(C47),"",IF(ISBLANK(Table17[[#This Row],[ID Num.]]),Table17[[#This Row],[Descripción]],C47&amp;" (" &amp;B47&amp;")"))</f>
        <v/>
      </c>
      <c r="B47" s="195"/>
      <c r="C47" s="197"/>
      <c r="D47" s="197"/>
      <c r="E47" s="195"/>
      <c r="F47" s="197"/>
      <c r="G47" s="195"/>
      <c r="H47" s="195"/>
      <c r="I47" s="201"/>
      <c r="J47" s="197"/>
      <c r="K47" s="202"/>
      <c r="N47" s="3" t="str">
        <f t="shared" si="0"/>
        <v/>
      </c>
    </row>
    <row r="48" spans="1:14">
      <c r="A48" s="193" t="str">
        <f>IF(ISBLANK(C48),"",IF(ISBLANK(Table17[[#This Row],[ID Num.]]),Table17[[#This Row],[Descripción]],C48&amp;" (" &amp;B48&amp;")"))</f>
        <v/>
      </c>
      <c r="B48" s="195"/>
      <c r="C48" s="197"/>
      <c r="D48" s="197"/>
      <c r="E48" s="195"/>
      <c r="F48" s="197"/>
      <c r="G48" s="195"/>
      <c r="H48" s="195"/>
      <c r="I48" s="201"/>
      <c r="J48" s="197"/>
      <c r="K48" s="202"/>
      <c r="N48" s="3" t="str">
        <f t="shared" si="0"/>
        <v/>
      </c>
    </row>
    <row r="49" spans="1:14">
      <c r="A49" s="193" t="str">
        <f>IF(ISBLANK(C49),"",IF(ISBLANK(Table17[[#This Row],[ID Num.]]),Table17[[#This Row],[Descripción]],C49&amp;" (" &amp;B49&amp;")"))</f>
        <v/>
      </c>
      <c r="B49" s="195"/>
      <c r="C49" s="197"/>
      <c r="D49" s="197"/>
      <c r="E49" s="195"/>
      <c r="F49" s="197"/>
      <c r="G49" s="195"/>
      <c r="H49" s="195"/>
      <c r="I49" s="201"/>
      <c r="J49" s="197"/>
      <c r="K49" s="202"/>
      <c r="N49" s="3" t="str">
        <f t="shared" si="0"/>
        <v/>
      </c>
    </row>
    <row r="50" spans="1:14">
      <c r="A50" s="193" t="str">
        <f>IF(ISBLANK(C50),"",IF(ISBLANK(Table17[[#This Row],[ID Num.]]),Table17[[#This Row],[Descripción]],C50&amp;" (" &amp;B50&amp;")"))</f>
        <v/>
      </c>
      <c r="B50" s="195"/>
      <c r="C50" s="197"/>
      <c r="D50" s="197"/>
      <c r="E50" s="195"/>
      <c r="F50" s="197"/>
      <c r="G50" s="195"/>
      <c r="H50" s="195"/>
      <c r="I50" s="201"/>
      <c r="J50" s="197"/>
      <c r="K50" s="202"/>
      <c r="N50" s="3" t="str">
        <f t="shared" si="0"/>
        <v/>
      </c>
    </row>
    <row r="51" spans="1:14">
      <c r="A51" s="193" t="str">
        <f>IF(ISBLANK(C51),"",IF(ISBLANK(Table17[[#This Row],[ID Num.]]),Table17[[#This Row],[Descripción]],C51&amp;" (" &amp;B51&amp;")"))</f>
        <v/>
      </c>
      <c r="B51" s="195"/>
      <c r="C51" s="197"/>
      <c r="D51" s="197"/>
      <c r="E51" s="195"/>
      <c r="F51" s="197"/>
      <c r="G51" s="195"/>
      <c r="H51" s="195"/>
      <c r="I51" s="201"/>
      <c r="J51" s="197"/>
      <c r="K51" s="202"/>
      <c r="N51" s="3" t="str">
        <f t="shared" si="0"/>
        <v/>
      </c>
    </row>
    <row r="52" spans="1:14">
      <c r="A52" s="193" t="str">
        <f>IF(ISBLANK(C52),"",IF(ISBLANK(Table17[[#This Row],[ID Num.]]),Table17[[#This Row],[Descripción]],C52&amp;" (" &amp;B52&amp;")"))</f>
        <v/>
      </c>
      <c r="B52" s="195"/>
      <c r="C52" s="197"/>
      <c r="D52" s="197"/>
      <c r="E52" s="195"/>
      <c r="F52" s="197"/>
      <c r="G52" s="195"/>
      <c r="H52" s="195"/>
      <c r="I52" s="201"/>
      <c r="J52" s="197"/>
      <c r="K52" s="202"/>
      <c r="N52" s="3" t="str">
        <f t="shared" si="0"/>
        <v/>
      </c>
    </row>
    <row r="53" spans="1:14">
      <c r="A53" s="193" t="str">
        <f>IF(ISBLANK(C53),"",IF(ISBLANK(Table17[[#This Row],[ID Num.]]),Table17[[#This Row],[Descripción]],C53&amp;" (" &amp;B53&amp;")"))</f>
        <v/>
      </c>
      <c r="B53" s="195"/>
      <c r="C53" s="197"/>
      <c r="D53" s="197"/>
      <c r="E53" s="195"/>
      <c r="F53" s="197"/>
      <c r="G53" s="195"/>
      <c r="H53" s="195"/>
      <c r="I53" s="201"/>
      <c r="J53" s="197"/>
      <c r="K53" s="202"/>
      <c r="N53" s="3" t="str">
        <f t="shared" si="0"/>
        <v/>
      </c>
    </row>
    <row r="54" spans="1:14">
      <c r="A54" s="193" t="str">
        <f>IF(ISBLANK(C54),"",IF(ISBLANK(Table17[[#This Row],[ID Num.]]),Table17[[#This Row],[Descripción]],C54&amp;" (" &amp;B54&amp;")"))</f>
        <v/>
      </c>
      <c r="B54" s="195"/>
      <c r="C54" s="197"/>
      <c r="D54" s="197"/>
      <c r="E54" s="195"/>
      <c r="F54" s="197"/>
      <c r="G54" s="195"/>
      <c r="H54" s="195"/>
      <c r="I54" s="201"/>
      <c r="J54" s="197"/>
      <c r="K54" s="202"/>
      <c r="N54" s="3" t="str">
        <f t="shared" si="0"/>
        <v/>
      </c>
    </row>
    <row r="55" spans="1:14">
      <c r="A55" s="193" t="str">
        <f>IF(ISBLANK(C55),"",IF(ISBLANK(Table17[[#This Row],[ID Num.]]),Table17[[#This Row],[Descripción]],C55&amp;" (" &amp;B55&amp;")"))</f>
        <v/>
      </c>
      <c r="B55" s="195"/>
      <c r="C55" s="197"/>
      <c r="D55" s="197"/>
      <c r="E55" s="195"/>
      <c r="F55" s="197"/>
      <c r="G55" s="195"/>
      <c r="H55" s="195"/>
      <c r="I55" s="201"/>
      <c r="J55" s="197"/>
      <c r="K55" s="202"/>
      <c r="N55" s="3" t="str">
        <f t="shared" si="0"/>
        <v/>
      </c>
    </row>
    <row r="56" spans="1:14">
      <c r="A56" s="193" t="str">
        <f>IF(ISBLANK(C56),"",IF(ISBLANK(Table17[[#This Row],[ID Num.]]),Table17[[#This Row],[Descripción]],C56&amp;" (" &amp;B56&amp;")"))</f>
        <v/>
      </c>
      <c r="B56" s="195"/>
      <c r="C56" s="197"/>
      <c r="D56" s="197"/>
      <c r="E56" s="195"/>
      <c r="F56" s="197"/>
      <c r="G56" s="195"/>
      <c r="H56" s="195"/>
      <c r="I56" s="201"/>
      <c r="J56" s="197"/>
      <c r="K56" s="202"/>
      <c r="N56" s="3" t="str">
        <f t="shared" si="0"/>
        <v/>
      </c>
    </row>
    <row r="57" spans="1:14">
      <c r="A57" s="193" t="str">
        <f>IF(ISBLANK(C57),"",IF(ISBLANK(Table17[[#This Row],[ID Num.]]),Table17[[#This Row],[Descripción]],C57&amp;" (" &amp;B57&amp;")"))</f>
        <v/>
      </c>
      <c r="B57" s="195"/>
      <c r="C57" s="197"/>
      <c r="D57" s="197"/>
      <c r="E57" s="195"/>
      <c r="F57" s="197"/>
      <c r="G57" s="195"/>
      <c r="H57" s="195"/>
      <c r="I57" s="201"/>
      <c r="J57" s="197"/>
      <c r="K57" s="202"/>
      <c r="N57" s="3" t="str">
        <f t="shared" si="0"/>
        <v/>
      </c>
    </row>
    <row r="58" spans="1:14">
      <c r="A58" s="193" t="str">
        <f>IF(ISBLANK(C58),"",IF(ISBLANK(Table17[[#This Row],[ID Num.]]),Table17[[#This Row],[Descripción]],C58&amp;" (" &amp;B58&amp;")"))</f>
        <v/>
      </c>
      <c r="B58" s="195"/>
      <c r="C58" s="197"/>
      <c r="D58" s="197"/>
      <c r="E58" s="195"/>
      <c r="F58" s="197"/>
      <c r="G58" s="195"/>
      <c r="H58" s="195"/>
      <c r="I58" s="201"/>
      <c r="J58" s="197"/>
      <c r="K58" s="202"/>
      <c r="N58" s="3" t="str">
        <f t="shared" si="0"/>
        <v/>
      </c>
    </row>
    <row r="59" spans="1:14">
      <c r="A59" s="193" t="str">
        <f>IF(ISBLANK(C59),"",IF(ISBLANK(Table17[[#This Row],[ID Num.]]),Table17[[#This Row],[Descripción]],C59&amp;" (" &amp;B59&amp;")"))</f>
        <v/>
      </c>
      <c r="B59" s="195"/>
      <c r="C59" s="197"/>
      <c r="D59" s="197"/>
      <c r="E59" s="195"/>
      <c r="F59" s="197"/>
      <c r="G59" s="195"/>
      <c r="H59" s="195"/>
      <c r="I59" s="201"/>
      <c r="J59" s="197"/>
      <c r="K59" s="202"/>
      <c r="N59" s="3" t="str">
        <f t="shared" si="0"/>
        <v/>
      </c>
    </row>
    <row r="60" spans="1:14">
      <c r="A60" s="193" t="str">
        <f>IF(ISBLANK(C60),"",IF(ISBLANK(Table17[[#This Row],[ID Num.]]),Table17[[#This Row],[Descripción]],C60&amp;" (" &amp;B60&amp;")"))</f>
        <v/>
      </c>
      <c r="B60" s="195"/>
      <c r="C60" s="197"/>
      <c r="D60" s="197"/>
      <c r="E60" s="195"/>
      <c r="F60" s="197"/>
      <c r="G60" s="195"/>
      <c r="H60" s="195"/>
      <c r="I60" s="201"/>
      <c r="J60" s="197"/>
      <c r="K60" s="202"/>
      <c r="N60" s="3" t="str">
        <f t="shared" si="0"/>
        <v/>
      </c>
    </row>
    <row r="61" spans="1:14">
      <c r="A61" s="193" t="str">
        <f>IF(ISBLANK(C61),"",IF(ISBLANK(Table17[[#This Row],[ID Num.]]),Table17[[#This Row],[Descripción]],C61&amp;" (" &amp;B61&amp;")"))</f>
        <v/>
      </c>
      <c r="B61" s="195"/>
      <c r="C61" s="197"/>
      <c r="D61" s="197"/>
      <c r="E61" s="195"/>
      <c r="F61" s="197"/>
      <c r="G61" s="195"/>
      <c r="H61" s="195"/>
      <c r="I61" s="201"/>
      <c r="J61" s="197"/>
      <c r="K61" s="203"/>
      <c r="N61" s="3" t="str">
        <f t="shared" si="0"/>
        <v/>
      </c>
    </row>
    <row r="62" spans="1:14">
      <c r="A62" s="193" t="str">
        <f>IF(ISBLANK(C62),"",IF(ISBLANK(Table17[[#This Row],[ID Num.]]),Table17[[#This Row],[Descripción]],C62&amp;" (" &amp;B62&amp;")"))</f>
        <v/>
      </c>
      <c r="B62" s="195"/>
      <c r="C62" s="197"/>
      <c r="D62" s="197"/>
      <c r="E62" s="195"/>
      <c r="F62" s="197"/>
      <c r="G62" s="195"/>
      <c r="H62" s="195"/>
      <c r="I62" s="201"/>
      <c r="J62" s="197"/>
      <c r="K62" s="203"/>
      <c r="N62" s="3" t="str">
        <f t="shared" si="0"/>
        <v/>
      </c>
    </row>
    <row r="63" spans="1:14">
      <c r="A63" s="193" t="str">
        <f>IF(ISBLANK(C63),"",IF(ISBLANK(Table17[[#This Row],[ID Num.]]),Table17[[#This Row],[Descripción]],C63&amp;" (" &amp;B63&amp;")"))</f>
        <v/>
      </c>
      <c r="B63" s="195"/>
      <c r="C63" s="197"/>
      <c r="D63" s="197"/>
      <c r="E63" s="195"/>
      <c r="F63" s="197"/>
      <c r="G63" s="195"/>
      <c r="H63" s="195"/>
      <c r="I63" s="201"/>
      <c r="J63" s="197"/>
      <c r="K63" s="203"/>
      <c r="N63" s="3" t="str">
        <f t="shared" si="0"/>
        <v/>
      </c>
    </row>
    <row r="64" spans="1:14">
      <c r="A64" s="193" t="str">
        <f>IF(ISBLANK(C64),"",IF(ISBLANK(Table17[[#This Row],[ID Num.]]),Table17[[#This Row],[Descripción]],C64&amp;" (" &amp;B64&amp;")"))</f>
        <v/>
      </c>
      <c r="B64" s="195"/>
      <c r="C64" s="197"/>
      <c r="D64" s="197"/>
      <c r="E64" s="195"/>
      <c r="F64" s="197"/>
      <c r="G64" s="195"/>
      <c r="H64" s="195"/>
      <c r="I64" s="201"/>
      <c r="J64" s="197"/>
      <c r="K64" s="203"/>
      <c r="N64" s="3" t="str">
        <f t="shared" si="0"/>
        <v/>
      </c>
    </row>
    <row r="65" spans="1:14">
      <c r="A65" s="193" t="str">
        <f>IF(ISBLANK(C65),"",IF(ISBLANK(Table17[[#This Row],[ID Num.]]),Table17[[#This Row],[Descripción]],C65&amp;" (" &amp;B65&amp;")"))</f>
        <v/>
      </c>
      <c r="B65" s="195"/>
      <c r="C65" s="197"/>
      <c r="D65" s="197"/>
      <c r="E65" s="195"/>
      <c r="F65" s="197"/>
      <c r="G65" s="195"/>
      <c r="H65" s="195"/>
      <c r="I65" s="201"/>
      <c r="J65" s="197"/>
      <c r="K65" s="203"/>
      <c r="N65" s="3" t="str">
        <f t="shared" si="0"/>
        <v/>
      </c>
    </row>
    <row r="66" spans="1:14">
      <c r="A66" s="193" t="str">
        <f>IF(ISBLANK(C66),"",IF(ISBLANK(Table17[[#This Row],[ID Num.]]),Table17[[#This Row],[Descripción]],C66&amp;" (" &amp;B66&amp;")"))</f>
        <v/>
      </c>
      <c r="B66" s="195"/>
      <c r="C66" s="197"/>
      <c r="D66" s="197"/>
      <c r="E66" s="195"/>
      <c r="F66" s="197"/>
      <c r="G66" s="195"/>
      <c r="H66" s="195"/>
      <c r="I66" s="201"/>
      <c r="J66" s="197"/>
      <c r="K66" s="203"/>
      <c r="N66" s="3" t="str">
        <f t="shared" si="0"/>
        <v/>
      </c>
    </row>
    <row r="67" spans="1:14">
      <c r="A67" s="193" t="str">
        <f>IF(ISBLANK(C67),"",IF(ISBLANK(Table17[[#This Row],[ID Num.]]),Table17[[#This Row],[Descripción]],C67&amp;" (" &amp;B67&amp;")"))</f>
        <v/>
      </c>
      <c r="B67" s="195"/>
      <c r="C67" s="197"/>
      <c r="D67" s="197"/>
      <c r="E67" s="195"/>
      <c r="F67" s="197"/>
      <c r="G67" s="195"/>
      <c r="H67" s="195"/>
      <c r="I67" s="201"/>
      <c r="J67" s="197"/>
      <c r="K67" s="203"/>
      <c r="N67" s="3" t="str">
        <f t="shared" ref="N67:N130" si="1">IF(ISBLANK(C67),"",ROW(C67))</f>
        <v/>
      </c>
    </row>
    <row r="68" spans="1:14">
      <c r="A68" s="193" t="str">
        <f>IF(ISBLANK(C68),"",IF(ISBLANK(Table17[[#This Row],[ID Num.]]),Table17[[#This Row],[Descripción]],C68&amp;" (" &amp;B68&amp;")"))</f>
        <v/>
      </c>
      <c r="B68" s="195"/>
      <c r="C68" s="197"/>
      <c r="D68" s="197"/>
      <c r="E68" s="195"/>
      <c r="F68" s="197"/>
      <c r="G68" s="195"/>
      <c r="H68" s="195"/>
      <c r="I68" s="201"/>
      <c r="J68" s="197"/>
      <c r="K68" s="203"/>
      <c r="N68" s="3" t="str">
        <f t="shared" si="1"/>
        <v/>
      </c>
    </row>
    <row r="69" spans="1:14">
      <c r="A69" s="193" t="str">
        <f>IF(ISBLANK(C69),"",IF(ISBLANK(Table17[[#This Row],[ID Num.]]),Table17[[#This Row],[Descripción]],C69&amp;" (" &amp;B69&amp;")"))</f>
        <v/>
      </c>
      <c r="B69" s="195"/>
      <c r="C69" s="197"/>
      <c r="D69" s="197"/>
      <c r="E69" s="195"/>
      <c r="F69" s="197"/>
      <c r="G69" s="195"/>
      <c r="H69" s="195"/>
      <c r="I69" s="201"/>
      <c r="J69" s="197"/>
      <c r="K69" s="203"/>
      <c r="N69" s="3" t="str">
        <f t="shared" si="1"/>
        <v/>
      </c>
    </row>
    <row r="70" spans="1:14">
      <c r="A70" s="193" t="str">
        <f>IF(ISBLANK(C70),"",IF(ISBLANK(Table17[[#This Row],[ID Num.]]),Table17[[#This Row],[Descripción]],C70&amp;" (" &amp;B70&amp;")"))</f>
        <v/>
      </c>
      <c r="B70" s="195"/>
      <c r="C70" s="197"/>
      <c r="D70" s="197"/>
      <c r="E70" s="195"/>
      <c r="F70" s="197"/>
      <c r="G70" s="195"/>
      <c r="H70" s="195"/>
      <c r="I70" s="201"/>
      <c r="J70" s="197"/>
      <c r="K70" s="203"/>
      <c r="N70" s="3" t="str">
        <f t="shared" si="1"/>
        <v/>
      </c>
    </row>
    <row r="71" spans="1:14">
      <c r="A71" s="193" t="str">
        <f>IF(ISBLANK(C71),"",IF(ISBLANK(Table17[[#This Row],[ID Num.]]),Table17[[#This Row],[Descripción]],C71&amp;" (" &amp;B71&amp;")"))</f>
        <v/>
      </c>
      <c r="B71" s="195"/>
      <c r="C71" s="197"/>
      <c r="D71" s="197"/>
      <c r="E71" s="195"/>
      <c r="F71" s="197"/>
      <c r="G71" s="195"/>
      <c r="H71" s="195"/>
      <c r="I71" s="201"/>
      <c r="J71" s="197"/>
      <c r="K71" s="203"/>
      <c r="N71" s="3" t="str">
        <f t="shared" si="1"/>
        <v/>
      </c>
    </row>
    <row r="72" spans="1:14">
      <c r="A72" s="193" t="str">
        <f>IF(ISBLANK(C72),"",IF(ISBLANK(Table17[[#This Row],[ID Num.]]),Table17[[#This Row],[Descripción]],C72&amp;" (" &amp;B72&amp;")"))</f>
        <v/>
      </c>
      <c r="B72" s="195"/>
      <c r="C72" s="197"/>
      <c r="D72" s="197"/>
      <c r="E72" s="195"/>
      <c r="F72" s="197"/>
      <c r="G72" s="195"/>
      <c r="H72" s="195"/>
      <c r="I72" s="201"/>
      <c r="J72" s="197"/>
      <c r="K72" s="203"/>
      <c r="N72" s="3" t="str">
        <f t="shared" si="1"/>
        <v/>
      </c>
    </row>
    <row r="73" spans="1:14">
      <c r="A73" s="193" t="str">
        <f>IF(ISBLANK(C73),"",IF(ISBLANK(Table17[[#This Row],[ID Num.]]),Table17[[#This Row],[Descripción]],C73&amp;" (" &amp;B73&amp;")"))</f>
        <v/>
      </c>
      <c r="B73" s="195"/>
      <c r="C73" s="197"/>
      <c r="D73" s="197"/>
      <c r="E73" s="195"/>
      <c r="F73" s="197"/>
      <c r="G73" s="195"/>
      <c r="H73" s="195"/>
      <c r="I73" s="201"/>
      <c r="J73" s="197"/>
      <c r="K73" s="203"/>
      <c r="N73" s="3" t="str">
        <f t="shared" si="1"/>
        <v/>
      </c>
    </row>
    <row r="74" spans="1:14">
      <c r="A74" s="193" t="str">
        <f>IF(ISBLANK(C74),"",IF(ISBLANK(Table17[[#This Row],[ID Num.]]),Table17[[#This Row],[Descripción]],C74&amp;" (" &amp;B74&amp;")"))</f>
        <v/>
      </c>
      <c r="B74" s="195"/>
      <c r="C74" s="197"/>
      <c r="D74" s="197"/>
      <c r="E74" s="195"/>
      <c r="F74" s="197"/>
      <c r="G74" s="195"/>
      <c r="H74" s="195"/>
      <c r="I74" s="201"/>
      <c r="J74" s="197"/>
      <c r="K74" s="203"/>
      <c r="N74" s="3" t="str">
        <f t="shared" si="1"/>
        <v/>
      </c>
    </row>
    <row r="75" spans="1:14">
      <c r="A75" s="193" t="str">
        <f>IF(ISBLANK(C75),"",IF(ISBLANK(Table17[[#This Row],[ID Num.]]),Table17[[#This Row],[Descripción]],C75&amp;" (" &amp;B75&amp;")"))</f>
        <v/>
      </c>
      <c r="B75" s="195"/>
      <c r="C75" s="197"/>
      <c r="D75" s="197"/>
      <c r="E75" s="195"/>
      <c r="F75" s="197"/>
      <c r="G75" s="195"/>
      <c r="H75" s="195"/>
      <c r="I75" s="201"/>
      <c r="J75" s="197"/>
      <c r="K75" s="203"/>
      <c r="N75" s="3" t="str">
        <f t="shared" si="1"/>
        <v/>
      </c>
    </row>
    <row r="76" spans="1:14">
      <c r="A76" s="193" t="str">
        <f>IF(ISBLANK(C76),"",IF(ISBLANK(Table17[[#This Row],[ID Num.]]),Table17[[#This Row],[Descripción]],C76&amp;" (" &amp;B76&amp;")"))</f>
        <v/>
      </c>
      <c r="B76" s="195"/>
      <c r="C76" s="197"/>
      <c r="D76" s="197"/>
      <c r="E76" s="195"/>
      <c r="F76" s="197"/>
      <c r="G76" s="195"/>
      <c r="H76" s="195"/>
      <c r="I76" s="201"/>
      <c r="J76" s="197"/>
      <c r="K76" s="203"/>
      <c r="N76" s="3" t="str">
        <f t="shared" si="1"/>
        <v/>
      </c>
    </row>
    <row r="77" spans="1:14">
      <c r="A77" s="193" t="str">
        <f>IF(ISBLANK(C77),"",IF(ISBLANK(Table17[[#This Row],[ID Num.]]),Table17[[#This Row],[Descripción]],C77&amp;" (" &amp;B77&amp;")"))</f>
        <v/>
      </c>
      <c r="B77" s="195"/>
      <c r="C77" s="197"/>
      <c r="D77" s="197"/>
      <c r="E77" s="204"/>
      <c r="F77" s="197"/>
      <c r="G77" s="195"/>
      <c r="H77" s="195"/>
      <c r="I77" s="201"/>
      <c r="J77" s="197"/>
      <c r="K77" s="203"/>
      <c r="N77" s="3" t="str">
        <f t="shared" si="1"/>
        <v/>
      </c>
    </row>
    <row r="78" spans="1:14">
      <c r="A78" s="193" t="str">
        <f>IF(ISBLANK(C78),"",IF(ISBLANK(Table17[[#This Row],[ID Num.]]),Table17[[#This Row],[Descripción]],C78&amp;" (" &amp;B78&amp;")"))</f>
        <v/>
      </c>
      <c r="B78" s="205"/>
      <c r="C78" s="197"/>
      <c r="D78" s="197"/>
      <c r="E78" s="206"/>
      <c r="F78" s="207"/>
      <c r="G78" s="195"/>
      <c r="H78" s="195"/>
      <c r="I78" s="201"/>
      <c r="J78" s="197"/>
      <c r="K78" s="203"/>
      <c r="N78" s="3" t="str">
        <f t="shared" si="1"/>
        <v/>
      </c>
    </row>
    <row r="79" spans="1:14">
      <c r="A79" s="194" t="str">
        <f>IF(ISBLANK(C79),"",IF(ISBLANK(Table17[[#This Row],[ID Num.]]),Table17[[#This Row],[Descripción]],C79&amp;" (" &amp;B79&amp;")"))</f>
        <v/>
      </c>
      <c r="B79" s="208"/>
      <c r="C79" s="209"/>
      <c r="D79" s="209"/>
      <c r="E79" s="206"/>
      <c r="F79" s="209"/>
      <c r="G79" s="208"/>
      <c r="H79" s="208"/>
      <c r="I79" s="210"/>
      <c r="J79" s="209"/>
      <c r="K79" s="211"/>
      <c r="N79" s="3" t="str">
        <f t="shared" si="1"/>
        <v/>
      </c>
    </row>
    <row r="80" spans="1:14">
      <c r="A80" s="193" t="str">
        <f>IF(ISBLANK(C80),"",IF(ISBLANK(Table17[[#This Row],[ID Num.]]),Table17[[#This Row],[Descripción]],C80&amp;" (" &amp;B80&amp;")"))</f>
        <v/>
      </c>
      <c r="B80" s="195"/>
      <c r="C80" s="197"/>
      <c r="D80" s="197"/>
      <c r="E80" s="195"/>
      <c r="F80" s="197"/>
      <c r="G80" s="195"/>
      <c r="H80" s="195"/>
      <c r="I80" s="201"/>
      <c r="J80" s="195"/>
      <c r="K80" s="203"/>
      <c r="N80" s="3" t="str">
        <f t="shared" si="1"/>
        <v/>
      </c>
    </row>
    <row r="81" spans="1:14">
      <c r="A81" s="193" t="str">
        <f>IF(ISBLANK(C81),"",IF(ISBLANK(Table17[[#This Row],[ID Num.]]),Table17[[#This Row],[Descripción]],C81&amp;" (" &amp;B81&amp;")"))</f>
        <v/>
      </c>
      <c r="B81" s="195"/>
      <c r="C81" s="197"/>
      <c r="D81" s="197"/>
      <c r="E81" s="195"/>
      <c r="F81" s="195"/>
      <c r="G81" s="195"/>
      <c r="H81" s="195"/>
      <c r="I81" s="201"/>
      <c r="J81" s="195"/>
      <c r="K81" s="203"/>
      <c r="N81" s="3" t="str">
        <f t="shared" si="1"/>
        <v/>
      </c>
    </row>
    <row r="82" spans="1:14">
      <c r="A82" s="193" t="str">
        <f>IF(ISBLANK(C82),"",IF(ISBLANK(Table17[[#This Row],[ID Num.]]),Table17[[#This Row],[Descripción]],C82&amp;" (" &amp;B82&amp;")"))</f>
        <v/>
      </c>
      <c r="B82" s="195"/>
      <c r="C82" s="197"/>
      <c r="D82" s="197"/>
      <c r="E82" s="195"/>
      <c r="F82" s="195"/>
      <c r="G82" s="195"/>
      <c r="H82" s="195"/>
      <c r="I82" s="201"/>
      <c r="J82" s="195"/>
      <c r="K82" s="203"/>
      <c r="N82" s="3" t="str">
        <f t="shared" si="1"/>
        <v/>
      </c>
    </row>
    <row r="83" spans="1:14">
      <c r="A83" s="193" t="str">
        <f>IF(ISBLANK(C83),"",IF(ISBLANK(Table17[[#This Row],[ID Num.]]),Table17[[#This Row],[Descripción]],C83&amp;" (" &amp;B83&amp;")"))</f>
        <v/>
      </c>
      <c r="B83" s="195"/>
      <c r="C83" s="197"/>
      <c r="D83" s="197"/>
      <c r="E83" s="195"/>
      <c r="F83" s="195"/>
      <c r="G83" s="195"/>
      <c r="H83" s="195"/>
      <c r="I83" s="201"/>
      <c r="J83" s="195"/>
      <c r="K83" s="203"/>
      <c r="N83" s="3" t="str">
        <f t="shared" si="1"/>
        <v/>
      </c>
    </row>
    <row r="84" spans="1:14">
      <c r="A84" s="193" t="str">
        <f>IF(ISBLANK(C84),"",IF(ISBLANK(Table17[[#This Row],[ID Num.]]),Table17[[#This Row],[Descripción]],C84&amp;" (" &amp;B84&amp;")"))</f>
        <v/>
      </c>
      <c r="B84" s="195"/>
      <c r="C84" s="197"/>
      <c r="D84" s="197"/>
      <c r="E84" s="195"/>
      <c r="F84" s="195"/>
      <c r="G84" s="195"/>
      <c r="H84" s="195"/>
      <c r="I84" s="201"/>
      <c r="J84" s="195"/>
      <c r="K84" s="203"/>
      <c r="N84" s="3" t="str">
        <f t="shared" si="1"/>
        <v/>
      </c>
    </row>
    <row r="85" spans="1:14">
      <c r="A85" s="193" t="str">
        <f>IF(ISBLANK(C85),"",IF(ISBLANK(Table17[[#This Row],[ID Num.]]),Table17[[#This Row],[Descripción]],C85&amp;" (" &amp;B85&amp;")"))</f>
        <v/>
      </c>
      <c r="B85" s="195"/>
      <c r="C85" s="197"/>
      <c r="D85" s="197"/>
      <c r="E85" s="195"/>
      <c r="F85" s="195"/>
      <c r="G85" s="195"/>
      <c r="H85" s="195"/>
      <c r="I85" s="201"/>
      <c r="J85" s="195"/>
      <c r="K85" s="203"/>
      <c r="N85" s="3" t="str">
        <f t="shared" si="1"/>
        <v/>
      </c>
    </row>
    <row r="86" spans="1:14">
      <c r="A86" s="193" t="str">
        <f>IF(ISBLANK(C86),"",IF(ISBLANK(Table17[[#This Row],[ID Num.]]),Table17[[#This Row],[Descripción]],C86&amp;" (" &amp;B86&amp;")"))</f>
        <v/>
      </c>
      <c r="B86" s="195"/>
      <c r="C86" s="197"/>
      <c r="D86" s="197"/>
      <c r="E86" s="195"/>
      <c r="F86" s="195"/>
      <c r="G86" s="195"/>
      <c r="H86" s="195"/>
      <c r="I86" s="201"/>
      <c r="J86" s="195"/>
      <c r="K86" s="203"/>
      <c r="N86" s="3" t="str">
        <f t="shared" si="1"/>
        <v/>
      </c>
    </row>
    <row r="87" spans="1:14">
      <c r="A87" s="193" t="str">
        <f>IF(ISBLANK(C87),"",IF(ISBLANK(Table17[[#This Row],[ID Num.]]),Table17[[#This Row],[Descripción]],C87&amp;" (" &amp;B87&amp;")"))</f>
        <v/>
      </c>
      <c r="B87" s="195"/>
      <c r="C87" s="197"/>
      <c r="D87" s="197"/>
      <c r="E87" s="195"/>
      <c r="F87" s="195"/>
      <c r="G87" s="195"/>
      <c r="H87" s="195"/>
      <c r="I87" s="201"/>
      <c r="J87" s="195"/>
      <c r="K87" s="203"/>
      <c r="N87" s="3" t="str">
        <f t="shared" si="1"/>
        <v/>
      </c>
    </row>
    <row r="88" spans="1:14">
      <c r="A88" s="193" t="str">
        <f>IF(ISBLANK(C88),"",IF(ISBLANK(Table17[[#This Row],[ID Num.]]),Table17[[#This Row],[Descripción]],C88&amp;" (" &amp;B88&amp;")"))</f>
        <v/>
      </c>
      <c r="B88" s="195"/>
      <c r="C88" s="197"/>
      <c r="D88" s="197"/>
      <c r="E88" s="195"/>
      <c r="F88" s="195"/>
      <c r="G88" s="195"/>
      <c r="H88" s="195"/>
      <c r="I88" s="201"/>
      <c r="J88" s="195"/>
      <c r="K88" s="203"/>
      <c r="N88" s="3" t="str">
        <f t="shared" si="1"/>
        <v/>
      </c>
    </row>
    <row r="89" spans="1:14">
      <c r="A89" s="193" t="str">
        <f>IF(ISBLANK(C89),"",IF(ISBLANK(Table17[[#This Row],[ID Num.]]),Table17[[#This Row],[Descripción]],C89&amp;" (" &amp;B89&amp;")"))</f>
        <v/>
      </c>
      <c r="B89" s="195"/>
      <c r="C89" s="197"/>
      <c r="D89" s="197"/>
      <c r="E89" s="195"/>
      <c r="F89" s="195"/>
      <c r="G89" s="195"/>
      <c r="H89" s="195"/>
      <c r="I89" s="201"/>
      <c r="J89" s="195"/>
      <c r="K89" s="203"/>
      <c r="N89" s="3" t="str">
        <f t="shared" si="1"/>
        <v/>
      </c>
    </row>
    <row r="90" spans="1:14">
      <c r="A90" s="193" t="str">
        <f>IF(ISBLANK(C90),"",IF(ISBLANK(Table17[[#This Row],[ID Num.]]),Table17[[#This Row],[Descripción]],C90&amp;" (" &amp;B90&amp;")"))</f>
        <v/>
      </c>
      <c r="B90" s="195"/>
      <c r="C90" s="197"/>
      <c r="D90" s="197"/>
      <c r="E90" s="195"/>
      <c r="F90" s="195"/>
      <c r="G90" s="195"/>
      <c r="H90" s="195"/>
      <c r="I90" s="201"/>
      <c r="J90" s="195"/>
      <c r="K90" s="203"/>
      <c r="N90" s="3" t="str">
        <f t="shared" si="1"/>
        <v/>
      </c>
    </row>
    <row r="91" spans="1:14">
      <c r="A91" s="193" t="str">
        <f>IF(ISBLANK(C91),"",IF(ISBLANK(Table17[[#This Row],[ID Num.]]),Table17[[#This Row],[Descripción]],C91&amp;" (" &amp;B91&amp;")"))</f>
        <v/>
      </c>
      <c r="B91" s="195"/>
      <c r="C91" s="197"/>
      <c r="D91" s="197"/>
      <c r="E91" s="195"/>
      <c r="F91" s="195"/>
      <c r="G91" s="195"/>
      <c r="H91" s="195"/>
      <c r="I91" s="201"/>
      <c r="J91" s="195"/>
      <c r="K91" s="203"/>
      <c r="N91" s="3" t="str">
        <f t="shared" si="1"/>
        <v/>
      </c>
    </row>
    <row r="92" spans="1:14">
      <c r="A92" s="193" t="str">
        <f>IF(ISBLANK(C92),"",IF(ISBLANK(Table17[[#This Row],[ID Num.]]),Table17[[#This Row],[Descripción]],C92&amp;" (" &amp;B92&amp;")"))</f>
        <v/>
      </c>
      <c r="B92" s="195"/>
      <c r="C92" s="197"/>
      <c r="D92" s="197"/>
      <c r="E92" s="195"/>
      <c r="F92" s="195"/>
      <c r="G92" s="195"/>
      <c r="H92" s="195"/>
      <c r="I92" s="201"/>
      <c r="J92" s="195"/>
      <c r="K92" s="203"/>
      <c r="N92" s="3" t="str">
        <f t="shared" si="1"/>
        <v/>
      </c>
    </row>
    <row r="93" spans="1:14">
      <c r="A93" s="193" t="str">
        <f>IF(ISBLANK(C93),"",IF(ISBLANK(Table17[[#This Row],[ID Num.]]),Table17[[#This Row],[Descripción]],C93&amp;" (" &amp;B93&amp;")"))</f>
        <v/>
      </c>
      <c r="B93" s="195"/>
      <c r="C93" s="197"/>
      <c r="D93" s="197"/>
      <c r="E93" s="195"/>
      <c r="F93" s="195"/>
      <c r="G93" s="195"/>
      <c r="H93" s="195"/>
      <c r="I93" s="201"/>
      <c r="J93" s="195"/>
      <c r="K93" s="203"/>
      <c r="N93" s="3" t="str">
        <f t="shared" si="1"/>
        <v/>
      </c>
    </row>
    <row r="94" spans="1:14">
      <c r="A94" s="193" t="str">
        <f>IF(ISBLANK(C94),"",IF(ISBLANK(Table17[[#This Row],[ID Num.]]),Table17[[#This Row],[Descripción]],C94&amp;" (" &amp;B94&amp;")"))</f>
        <v/>
      </c>
      <c r="B94" s="195"/>
      <c r="C94" s="197"/>
      <c r="D94" s="197"/>
      <c r="E94" s="195"/>
      <c r="F94" s="195"/>
      <c r="G94" s="195"/>
      <c r="H94" s="195"/>
      <c r="I94" s="201"/>
      <c r="J94" s="195"/>
      <c r="K94" s="203"/>
      <c r="N94" s="3" t="str">
        <f t="shared" si="1"/>
        <v/>
      </c>
    </row>
    <row r="95" spans="1:14">
      <c r="A95" s="193" t="str">
        <f>IF(ISBLANK(C95),"",IF(ISBLANK(Table17[[#This Row],[ID Num.]]),Table17[[#This Row],[Descripción]],C95&amp;" (" &amp;B95&amp;")"))</f>
        <v/>
      </c>
      <c r="B95" s="195"/>
      <c r="C95" s="197"/>
      <c r="D95" s="197"/>
      <c r="E95" s="195"/>
      <c r="F95" s="195"/>
      <c r="G95" s="195"/>
      <c r="H95" s="195"/>
      <c r="I95" s="201"/>
      <c r="J95" s="195"/>
      <c r="K95" s="203"/>
      <c r="N95" s="3" t="str">
        <f t="shared" si="1"/>
        <v/>
      </c>
    </row>
    <row r="96" spans="1:14">
      <c r="A96" s="193" t="str">
        <f>IF(ISBLANK(C96),"",IF(ISBLANK(Table17[[#This Row],[ID Num.]]),Table17[[#This Row],[Descripción]],C96&amp;" (" &amp;B96&amp;")"))</f>
        <v/>
      </c>
      <c r="B96" s="195"/>
      <c r="C96" s="197"/>
      <c r="D96" s="197"/>
      <c r="E96" s="195"/>
      <c r="F96" s="195"/>
      <c r="G96" s="195"/>
      <c r="H96" s="195"/>
      <c r="I96" s="201"/>
      <c r="J96" s="195"/>
      <c r="K96" s="203"/>
      <c r="N96" s="3" t="str">
        <f t="shared" si="1"/>
        <v/>
      </c>
    </row>
    <row r="97" spans="1:14">
      <c r="A97" s="193" t="str">
        <f>IF(ISBLANK(C97),"",IF(ISBLANK(Table17[[#This Row],[ID Num.]]),Table17[[#This Row],[Descripción]],C97&amp;" (" &amp;B97&amp;")"))</f>
        <v/>
      </c>
      <c r="B97" s="195"/>
      <c r="C97" s="197"/>
      <c r="D97" s="197"/>
      <c r="E97" s="195"/>
      <c r="F97" s="195"/>
      <c r="G97" s="195"/>
      <c r="H97" s="195"/>
      <c r="I97" s="201"/>
      <c r="J97" s="195"/>
      <c r="K97" s="203"/>
      <c r="N97" s="3" t="str">
        <f t="shared" si="1"/>
        <v/>
      </c>
    </row>
    <row r="98" spans="1:14">
      <c r="A98" s="193" t="str">
        <f>IF(ISBLANK(C98),"",IF(ISBLANK(Table17[[#This Row],[ID Num.]]),Table17[[#This Row],[Descripción]],C98&amp;" (" &amp;B98&amp;")"))</f>
        <v/>
      </c>
      <c r="B98" s="195"/>
      <c r="C98" s="197"/>
      <c r="D98" s="197"/>
      <c r="E98" s="195"/>
      <c r="F98" s="195"/>
      <c r="G98" s="195"/>
      <c r="H98" s="195"/>
      <c r="I98" s="201"/>
      <c r="J98" s="195"/>
      <c r="K98" s="203"/>
      <c r="N98" s="3" t="str">
        <f t="shared" si="1"/>
        <v/>
      </c>
    </row>
    <row r="99" spans="1:14">
      <c r="A99" s="193" t="str">
        <f>IF(ISBLANK(C99),"",IF(ISBLANK(Table17[[#This Row],[ID Num.]]),Table17[[#This Row],[Descripción]],C99&amp;" (" &amp;B99&amp;")"))</f>
        <v/>
      </c>
      <c r="B99" s="195"/>
      <c r="C99" s="197"/>
      <c r="D99" s="197"/>
      <c r="E99" s="195"/>
      <c r="F99" s="195"/>
      <c r="G99" s="195"/>
      <c r="H99" s="195"/>
      <c r="I99" s="201"/>
      <c r="J99" s="195"/>
      <c r="K99" s="203"/>
      <c r="N99" s="3" t="str">
        <f t="shared" si="1"/>
        <v/>
      </c>
    </row>
    <row r="100" spans="1:14">
      <c r="A100" s="193" t="str">
        <f>IF(ISBLANK(C100),"",IF(ISBLANK(Table17[[#This Row],[ID Num.]]),Table17[[#This Row],[Descripción]],C100&amp;" (" &amp;B100&amp;")"))</f>
        <v/>
      </c>
      <c r="B100" s="195"/>
      <c r="C100" s="197"/>
      <c r="D100" s="197"/>
      <c r="E100" s="195"/>
      <c r="F100" s="195"/>
      <c r="G100" s="195"/>
      <c r="H100" s="195"/>
      <c r="I100" s="201"/>
      <c r="J100" s="195"/>
      <c r="K100" s="203"/>
      <c r="N100" s="3" t="str">
        <f t="shared" si="1"/>
        <v/>
      </c>
    </row>
    <row r="101" spans="1:14">
      <c r="A101" s="193" t="str">
        <f>IF(ISBLANK(C101),"",IF(ISBLANK(Table17[[#This Row],[ID Num.]]),Table17[[#This Row],[Descripción]],C101&amp;" (" &amp;B101&amp;")"))</f>
        <v/>
      </c>
      <c r="B101" s="195"/>
      <c r="C101" s="197"/>
      <c r="D101" s="197"/>
      <c r="E101" s="195"/>
      <c r="F101" s="195"/>
      <c r="G101" s="195"/>
      <c r="H101" s="195"/>
      <c r="I101" s="201"/>
      <c r="J101" s="195"/>
      <c r="K101" s="203"/>
      <c r="N101" s="3" t="str">
        <f t="shared" si="1"/>
        <v/>
      </c>
    </row>
    <row r="102" spans="1:14">
      <c r="A102" s="193" t="str">
        <f>IF(ISBLANK(C102),"",IF(ISBLANK(Table17[[#This Row],[ID Num.]]),Table17[[#This Row],[Descripción]],C102&amp;" (" &amp;B102&amp;")"))</f>
        <v/>
      </c>
      <c r="B102" s="195"/>
      <c r="C102" s="197"/>
      <c r="D102" s="197"/>
      <c r="E102" s="195"/>
      <c r="F102" s="195"/>
      <c r="G102" s="195"/>
      <c r="H102" s="195"/>
      <c r="I102" s="201"/>
      <c r="J102" s="195"/>
      <c r="K102" s="203"/>
      <c r="N102" s="3" t="str">
        <f t="shared" si="1"/>
        <v/>
      </c>
    </row>
    <row r="103" spans="1:14">
      <c r="A103" s="193" t="str">
        <f>IF(ISBLANK(C103),"",IF(ISBLANK(Table17[[#This Row],[ID Num.]]),Table17[[#This Row],[Descripción]],C103&amp;" (" &amp;B103&amp;")"))</f>
        <v/>
      </c>
      <c r="B103" s="195"/>
      <c r="C103" s="197"/>
      <c r="D103" s="197"/>
      <c r="E103" s="195"/>
      <c r="F103" s="195"/>
      <c r="G103" s="195"/>
      <c r="H103" s="195"/>
      <c r="I103" s="201"/>
      <c r="J103" s="195"/>
      <c r="K103" s="203"/>
      <c r="N103" s="3" t="str">
        <f t="shared" si="1"/>
        <v/>
      </c>
    </row>
    <row r="104" spans="1:14">
      <c r="A104" s="193" t="str">
        <f>IF(ISBLANK(C104),"",IF(ISBLANK(Table17[[#This Row],[ID Num.]]),Table17[[#This Row],[Descripción]],C104&amp;" (" &amp;B104&amp;")"))</f>
        <v/>
      </c>
      <c r="B104" s="195"/>
      <c r="C104" s="197"/>
      <c r="D104" s="197"/>
      <c r="E104" s="195"/>
      <c r="F104" s="195"/>
      <c r="G104" s="195"/>
      <c r="H104" s="195"/>
      <c r="I104" s="201"/>
      <c r="J104" s="195"/>
      <c r="K104" s="203"/>
      <c r="N104" s="3" t="str">
        <f t="shared" si="1"/>
        <v/>
      </c>
    </row>
    <row r="105" spans="1:14">
      <c r="A105" s="193" t="str">
        <f>IF(ISBLANK(C105),"",IF(ISBLANK(Table17[[#This Row],[ID Num.]]),Table17[[#This Row],[Descripción]],C105&amp;" (" &amp;B105&amp;")"))</f>
        <v/>
      </c>
      <c r="B105" s="195"/>
      <c r="C105" s="197"/>
      <c r="D105" s="197"/>
      <c r="E105" s="195"/>
      <c r="F105" s="195"/>
      <c r="G105" s="195"/>
      <c r="H105" s="195"/>
      <c r="I105" s="201"/>
      <c r="J105" s="195"/>
      <c r="K105" s="203"/>
      <c r="N105" s="3" t="str">
        <f t="shared" si="1"/>
        <v/>
      </c>
    </row>
    <row r="106" spans="1:14">
      <c r="A106" s="193" t="str">
        <f>IF(ISBLANK(C106),"",IF(ISBLANK(Table17[[#This Row],[ID Num.]]),Table17[[#This Row],[Descripción]],C106&amp;" (" &amp;B106&amp;")"))</f>
        <v/>
      </c>
      <c r="B106" s="195"/>
      <c r="C106" s="197"/>
      <c r="D106" s="197"/>
      <c r="E106" s="195"/>
      <c r="F106" s="195"/>
      <c r="G106" s="195"/>
      <c r="H106" s="195"/>
      <c r="I106" s="201"/>
      <c r="J106" s="195"/>
      <c r="K106" s="203"/>
      <c r="N106" s="3" t="str">
        <f t="shared" si="1"/>
        <v/>
      </c>
    </row>
    <row r="107" spans="1:14">
      <c r="A107" s="193" t="str">
        <f>IF(ISBLANK(C107),"",IF(ISBLANK(Table17[[#This Row],[ID Num.]]),Table17[[#This Row],[Descripción]],C107&amp;" (" &amp;B107&amp;")"))</f>
        <v/>
      </c>
      <c r="B107" s="195"/>
      <c r="C107" s="197"/>
      <c r="D107" s="197"/>
      <c r="E107" s="195"/>
      <c r="F107" s="195"/>
      <c r="G107" s="195"/>
      <c r="H107" s="195"/>
      <c r="I107" s="201"/>
      <c r="J107" s="195"/>
      <c r="K107" s="203"/>
      <c r="N107" s="3" t="str">
        <f t="shared" si="1"/>
        <v/>
      </c>
    </row>
    <row r="108" spans="1:14">
      <c r="A108" s="193" t="str">
        <f>IF(ISBLANK(C108),"",IF(ISBLANK(Table17[[#This Row],[ID Num.]]),Table17[[#This Row],[Descripción]],C108&amp;" (" &amp;B108&amp;")"))</f>
        <v/>
      </c>
      <c r="B108" s="195"/>
      <c r="C108" s="197"/>
      <c r="D108" s="197"/>
      <c r="E108" s="195"/>
      <c r="F108" s="195"/>
      <c r="G108" s="195"/>
      <c r="H108" s="195"/>
      <c r="I108" s="201"/>
      <c r="J108" s="195"/>
      <c r="K108" s="203"/>
      <c r="N108" s="3" t="str">
        <f t="shared" si="1"/>
        <v/>
      </c>
    </row>
    <row r="109" spans="1:14">
      <c r="A109" s="193" t="str">
        <f>IF(ISBLANK(C109),"",IF(ISBLANK(Table17[[#This Row],[ID Num.]]),Table17[[#This Row],[Descripción]],C109&amp;" (" &amp;B109&amp;")"))</f>
        <v/>
      </c>
      <c r="B109" s="195"/>
      <c r="C109" s="197"/>
      <c r="D109" s="197"/>
      <c r="E109" s="195"/>
      <c r="F109" s="195"/>
      <c r="G109" s="195"/>
      <c r="H109" s="195"/>
      <c r="I109" s="201"/>
      <c r="J109" s="195"/>
      <c r="K109" s="203"/>
      <c r="N109" s="3" t="str">
        <f t="shared" si="1"/>
        <v/>
      </c>
    </row>
    <row r="110" spans="1:14">
      <c r="A110" s="193" t="str">
        <f>IF(ISBLANK(C110),"",IF(ISBLANK(Table17[[#This Row],[ID Num.]]),Table17[[#This Row],[Descripción]],C110&amp;" (" &amp;B110&amp;")"))</f>
        <v/>
      </c>
      <c r="B110" s="195"/>
      <c r="C110" s="197"/>
      <c r="D110" s="197"/>
      <c r="E110" s="195"/>
      <c r="F110" s="195"/>
      <c r="G110" s="195"/>
      <c r="H110" s="195"/>
      <c r="I110" s="201"/>
      <c r="J110" s="195"/>
      <c r="K110" s="203"/>
      <c r="N110" s="3" t="str">
        <f t="shared" si="1"/>
        <v/>
      </c>
    </row>
    <row r="111" spans="1:14">
      <c r="A111" s="193" t="str">
        <f>IF(ISBLANK(C111),"",IF(ISBLANK(Table17[[#This Row],[ID Num.]]),Table17[[#This Row],[Descripción]],C111&amp;" (" &amp;B111&amp;")"))</f>
        <v/>
      </c>
      <c r="B111" s="195"/>
      <c r="C111" s="197"/>
      <c r="D111" s="197"/>
      <c r="E111" s="195"/>
      <c r="F111" s="195"/>
      <c r="G111" s="195"/>
      <c r="H111" s="195"/>
      <c r="I111" s="201"/>
      <c r="J111" s="195"/>
      <c r="K111" s="203"/>
      <c r="N111" s="3" t="str">
        <f t="shared" si="1"/>
        <v/>
      </c>
    </row>
    <row r="112" spans="1:14">
      <c r="A112" s="193" t="str">
        <f>IF(ISBLANK(C112),"",IF(ISBLANK(Table17[[#This Row],[ID Num.]]),Table17[[#This Row],[Descripción]],C112&amp;" (" &amp;B112&amp;")"))</f>
        <v/>
      </c>
      <c r="B112" s="195"/>
      <c r="C112" s="197"/>
      <c r="D112" s="197"/>
      <c r="E112" s="195"/>
      <c r="F112" s="195"/>
      <c r="G112" s="195"/>
      <c r="H112" s="195"/>
      <c r="I112" s="201"/>
      <c r="J112" s="195"/>
      <c r="K112" s="203"/>
      <c r="N112" s="3" t="str">
        <f t="shared" si="1"/>
        <v/>
      </c>
    </row>
    <row r="113" spans="1:14">
      <c r="A113" s="193" t="str">
        <f>IF(ISBLANK(C113),"",IF(ISBLANK(Table17[[#This Row],[ID Num.]]),Table17[[#This Row],[Descripción]],C113&amp;" (" &amp;B113&amp;")"))</f>
        <v/>
      </c>
      <c r="B113" s="195"/>
      <c r="C113" s="197"/>
      <c r="D113" s="197"/>
      <c r="E113" s="195"/>
      <c r="F113" s="195"/>
      <c r="G113" s="195"/>
      <c r="H113" s="195"/>
      <c r="I113" s="201"/>
      <c r="J113" s="195"/>
      <c r="K113" s="203"/>
      <c r="N113" s="3" t="str">
        <f t="shared" si="1"/>
        <v/>
      </c>
    </row>
    <row r="114" spans="1:14">
      <c r="A114" s="193" t="str">
        <f>IF(ISBLANK(C114),"",IF(ISBLANK(Table17[[#This Row],[ID Num.]]),Table17[[#This Row],[Descripción]],C114&amp;" (" &amp;B114&amp;")"))</f>
        <v/>
      </c>
      <c r="B114" s="195"/>
      <c r="C114" s="197"/>
      <c r="D114" s="197"/>
      <c r="E114" s="195"/>
      <c r="F114" s="195"/>
      <c r="G114" s="195"/>
      <c r="H114" s="195"/>
      <c r="I114" s="201"/>
      <c r="J114" s="195"/>
      <c r="K114" s="203"/>
      <c r="N114" s="3" t="str">
        <f t="shared" si="1"/>
        <v/>
      </c>
    </row>
    <row r="115" spans="1:14">
      <c r="A115" s="193" t="str">
        <f>IF(ISBLANK(C115),"",IF(ISBLANK(Table17[[#This Row],[ID Num.]]),Table17[[#This Row],[Descripción]],C115&amp;" (" &amp;B115&amp;")"))</f>
        <v/>
      </c>
      <c r="B115" s="195"/>
      <c r="C115" s="197"/>
      <c r="D115" s="197"/>
      <c r="E115" s="195"/>
      <c r="F115" s="195"/>
      <c r="G115" s="195"/>
      <c r="H115" s="195"/>
      <c r="I115" s="201"/>
      <c r="J115" s="195"/>
      <c r="K115" s="203"/>
      <c r="N115" s="3" t="str">
        <f t="shared" si="1"/>
        <v/>
      </c>
    </row>
    <row r="116" spans="1:14">
      <c r="A116" s="193" t="str">
        <f>IF(ISBLANK(C116),"",IF(ISBLANK(Table17[[#This Row],[ID Num.]]),Table17[[#This Row],[Descripción]],C116&amp;" (" &amp;B116&amp;")"))</f>
        <v/>
      </c>
      <c r="B116" s="195"/>
      <c r="C116" s="197"/>
      <c r="D116" s="197"/>
      <c r="E116" s="195"/>
      <c r="F116" s="195"/>
      <c r="G116" s="195"/>
      <c r="H116" s="195"/>
      <c r="I116" s="201"/>
      <c r="J116" s="195"/>
      <c r="K116" s="203"/>
      <c r="N116" s="3" t="str">
        <f t="shared" si="1"/>
        <v/>
      </c>
    </row>
    <row r="117" spans="1:14">
      <c r="A117" s="193" t="str">
        <f>IF(ISBLANK(C117),"",IF(ISBLANK(Table17[[#This Row],[ID Num.]]),Table17[[#This Row],[Descripción]],C117&amp;" (" &amp;B117&amp;")"))</f>
        <v/>
      </c>
      <c r="B117" s="195"/>
      <c r="C117" s="197"/>
      <c r="D117" s="197"/>
      <c r="E117" s="195"/>
      <c r="F117" s="195"/>
      <c r="G117" s="195"/>
      <c r="H117" s="195"/>
      <c r="I117" s="201"/>
      <c r="J117" s="195"/>
      <c r="K117" s="203"/>
      <c r="N117" s="3" t="str">
        <f t="shared" si="1"/>
        <v/>
      </c>
    </row>
    <row r="118" spans="1:14">
      <c r="A118" s="193" t="str">
        <f>IF(ISBLANK(C118),"",IF(ISBLANK(Table17[[#This Row],[ID Num.]]),Table17[[#This Row],[Descripción]],C118&amp;" (" &amp;B118&amp;")"))</f>
        <v/>
      </c>
      <c r="B118" s="195"/>
      <c r="C118" s="197"/>
      <c r="D118" s="197"/>
      <c r="E118" s="195"/>
      <c r="F118" s="195"/>
      <c r="G118" s="195"/>
      <c r="H118" s="195"/>
      <c r="I118" s="201"/>
      <c r="J118" s="195"/>
      <c r="K118" s="203"/>
      <c r="N118" s="3" t="str">
        <f t="shared" si="1"/>
        <v/>
      </c>
    </row>
    <row r="119" spans="1:14">
      <c r="A119" s="193" t="str">
        <f>IF(ISBLANK(C119),"",IF(ISBLANK(Table17[[#This Row],[ID Num.]]),Table17[[#This Row],[Descripción]],C119&amp;" (" &amp;B119&amp;")"))</f>
        <v/>
      </c>
      <c r="B119" s="195"/>
      <c r="C119" s="197"/>
      <c r="D119" s="197"/>
      <c r="E119" s="195"/>
      <c r="F119" s="195"/>
      <c r="G119" s="195"/>
      <c r="H119" s="195"/>
      <c r="I119" s="201"/>
      <c r="J119" s="195"/>
      <c r="K119" s="203"/>
      <c r="N119" s="3" t="str">
        <f t="shared" si="1"/>
        <v/>
      </c>
    </row>
    <row r="120" spans="1:14">
      <c r="A120" s="193" t="str">
        <f>IF(ISBLANK(C120),"",IF(ISBLANK(Table17[[#This Row],[ID Num.]]),Table17[[#This Row],[Descripción]],C120&amp;" (" &amp;B120&amp;")"))</f>
        <v/>
      </c>
      <c r="B120" s="195"/>
      <c r="C120" s="197"/>
      <c r="D120" s="197"/>
      <c r="E120" s="195"/>
      <c r="F120" s="195"/>
      <c r="G120" s="195"/>
      <c r="H120" s="195"/>
      <c r="I120" s="201"/>
      <c r="J120" s="195"/>
      <c r="K120" s="203"/>
      <c r="N120" s="3" t="str">
        <f t="shared" si="1"/>
        <v/>
      </c>
    </row>
    <row r="121" spans="1:14">
      <c r="A121" s="193" t="str">
        <f>IF(ISBLANK(C121),"",IF(ISBLANK(Table17[[#This Row],[ID Num.]]),Table17[[#This Row],[Descripción]],C121&amp;" (" &amp;B121&amp;")"))</f>
        <v/>
      </c>
      <c r="B121" s="195"/>
      <c r="C121" s="197"/>
      <c r="D121" s="197"/>
      <c r="E121" s="195"/>
      <c r="F121" s="195"/>
      <c r="G121" s="195"/>
      <c r="H121" s="195"/>
      <c r="I121" s="201"/>
      <c r="J121" s="195"/>
      <c r="K121" s="203"/>
      <c r="N121" s="3" t="str">
        <f t="shared" si="1"/>
        <v/>
      </c>
    </row>
    <row r="122" spans="1:14">
      <c r="A122" s="193" t="str">
        <f>IF(ISBLANK(C122),"",IF(ISBLANK(Table17[[#This Row],[ID Num.]]),Table17[[#This Row],[Descripción]],C122&amp;" (" &amp;B122&amp;")"))</f>
        <v/>
      </c>
      <c r="B122" s="195"/>
      <c r="C122" s="197"/>
      <c r="D122" s="197"/>
      <c r="E122" s="195"/>
      <c r="F122" s="195"/>
      <c r="G122" s="195"/>
      <c r="H122" s="195"/>
      <c r="I122" s="201"/>
      <c r="J122" s="195"/>
      <c r="K122" s="203"/>
      <c r="N122" s="3" t="str">
        <f t="shared" si="1"/>
        <v/>
      </c>
    </row>
    <row r="123" spans="1:14">
      <c r="A123" s="193" t="str">
        <f>IF(ISBLANK(C123),"",IF(ISBLANK(Table17[[#This Row],[ID Num.]]),Table17[[#This Row],[Descripción]],C123&amp;" (" &amp;B123&amp;")"))</f>
        <v/>
      </c>
      <c r="B123" s="195"/>
      <c r="C123" s="197"/>
      <c r="D123" s="197"/>
      <c r="E123" s="195"/>
      <c r="F123" s="195"/>
      <c r="G123" s="195"/>
      <c r="H123" s="195"/>
      <c r="I123" s="201"/>
      <c r="J123" s="195"/>
      <c r="K123" s="203"/>
      <c r="N123" s="3" t="str">
        <f t="shared" si="1"/>
        <v/>
      </c>
    </row>
    <row r="124" spans="1:14">
      <c r="A124" s="193" t="str">
        <f>IF(ISBLANK(C124),"",IF(ISBLANK(Table17[[#This Row],[ID Num.]]),Table17[[#This Row],[Descripción]],C124&amp;" (" &amp;B124&amp;")"))</f>
        <v/>
      </c>
      <c r="B124" s="195"/>
      <c r="C124" s="197"/>
      <c r="D124" s="197"/>
      <c r="E124" s="195"/>
      <c r="F124" s="195"/>
      <c r="G124" s="195"/>
      <c r="H124" s="195"/>
      <c r="I124" s="201"/>
      <c r="J124" s="195"/>
      <c r="K124" s="203"/>
      <c r="N124" s="3" t="str">
        <f t="shared" si="1"/>
        <v/>
      </c>
    </row>
    <row r="125" spans="1:14">
      <c r="A125" s="193" t="str">
        <f>IF(ISBLANK(C125),"",IF(ISBLANK(Table17[[#This Row],[ID Num.]]),Table17[[#This Row],[Descripción]],C125&amp;" (" &amp;B125&amp;")"))</f>
        <v/>
      </c>
      <c r="B125" s="195"/>
      <c r="C125" s="197"/>
      <c r="D125" s="197"/>
      <c r="E125" s="195"/>
      <c r="F125" s="195"/>
      <c r="G125" s="195"/>
      <c r="H125" s="195"/>
      <c r="I125" s="201"/>
      <c r="J125" s="195"/>
      <c r="K125" s="203"/>
      <c r="N125" s="3" t="str">
        <f t="shared" si="1"/>
        <v/>
      </c>
    </row>
    <row r="126" spans="1:14">
      <c r="A126" s="193" t="str">
        <f>IF(ISBLANK(C126),"",IF(ISBLANK(Table17[[#This Row],[ID Num.]]),Table17[[#This Row],[Descripción]],C126&amp;" (" &amp;B126&amp;")"))</f>
        <v/>
      </c>
      <c r="B126" s="195"/>
      <c r="C126" s="197"/>
      <c r="D126" s="197"/>
      <c r="E126" s="195"/>
      <c r="F126" s="195"/>
      <c r="G126" s="195"/>
      <c r="H126" s="195"/>
      <c r="I126" s="201"/>
      <c r="J126" s="195"/>
      <c r="K126" s="203"/>
      <c r="N126" s="3" t="str">
        <f t="shared" si="1"/>
        <v/>
      </c>
    </row>
    <row r="127" spans="1:14">
      <c r="A127" s="193" t="str">
        <f>IF(ISBLANK(C127),"",IF(ISBLANK(Table17[[#This Row],[ID Num.]]),Table17[[#This Row],[Descripción]],C127&amp;" (" &amp;B127&amp;")"))</f>
        <v/>
      </c>
      <c r="B127" s="195"/>
      <c r="C127" s="197"/>
      <c r="D127" s="197"/>
      <c r="E127" s="195"/>
      <c r="F127" s="195"/>
      <c r="G127" s="195"/>
      <c r="H127" s="195"/>
      <c r="I127" s="201"/>
      <c r="J127" s="195"/>
      <c r="K127" s="203"/>
      <c r="N127" s="3" t="str">
        <f t="shared" si="1"/>
        <v/>
      </c>
    </row>
    <row r="128" spans="1:14">
      <c r="A128" s="193" t="str">
        <f>IF(ISBLANK(C128),"",IF(ISBLANK(Table17[[#This Row],[ID Num.]]),Table17[[#This Row],[Descripción]],C128&amp;" (" &amp;B128&amp;")"))</f>
        <v/>
      </c>
      <c r="B128" s="195"/>
      <c r="C128" s="197"/>
      <c r="D128" s="197"/>
      <c r="E128" s="195"/>
      <c r="F128" s="195"/>
      <c r="G128" s="195"/>
      <c r="H128" s="195"/>
      <c r="I128" s="201"/>
      <c r="J128" s="195"/>
      <c r="K128" s="203"/>
      <c r="N128" s="3" t="str">
        <f t="shared" si="1"/>
        <v/>
      </c>
    </row>
    <row r="129" spans="1:14">
      <c r="A129" s="193" t="str">
        <f>IF(ISBLANK(C129),"",IF(ISBLANK(Table17[[#This Row],[ID Num.]]),Table17[[#This Row],[Descripción]],C129&amp;" (" &amp;B129&amp;")"))</f>
        <v/>
      </c>
      <c r="B129" s="195"/>
      <c r="C129" s="197"/>
      <c r="D129" s="197"/>
      <c r="E129" s="195"/>
      <c r="F129" s="195"/>
      <c r="G129" s="195"/>
      <c r="H129" s="195"/>
      <c r="I129" s="201"/>
      <c r="J129" s="195"/>
      <c r="K129" s="203"/>
      <c r="N129" s="3" t="str">
        <f t="shared" si="1"/>
        <v/>
      </c>
    </row>
    <row r="130" spans="1:14">
      <c r="A130" s="193" t="str">
        <f>IF(ISBLANK(C130),"",IF(ISBLANK(Table17[[#This Row],[ID Num.]]),Table17[[#This Row],[Descripción]],C130&amp;" (" &amp;B130&amp;")"))</f>
        <v/>
      </c>
      <c r="B130" s="195"/>
      <c r="C130" s="197"/>
      <c r="D130" s="197"/>
      <c r="E130" s="195"/>
      <c r="F130" s="195"/>
      <c r="G130" s="195"/>
      <c r="H130" s="195"/>
      <c r="I130" s="201"/>
      <c r="J130" s="195"/>
      <c r="K130" s="203"/>
      <c r="N130" s="3" t="str">
        <f t="shared" si="1"/>
        <v/>
      </c>
    </row>
    <row r="131" spans="1:14">
      <c r="A131" s="193" t="str">
        <f>IF(ISBLANK(C131),"",IF(ISBLANK(Table17[[#This Row],[ID Num.]]),Table17[[#This Row],[Descripción]],C131&amp;" (" &amp;B131&amp;")"))</f>
        <v/>
      </c>
      <c r="B131" s="195"/>
      <c r="C131" s="197"/>
      <c r="D131" s="197"/>
      <c r="E131" s="195"/>
      <c r="F131" s="195"/>
      <c r="G131" s="195"/>
      <c r="H131" s="195"/>
      <c r="I131" s="201"/>
      <c r="J131" s="195"/>
      <c r="K131" s="203"/>
      <c r="N131" s="3" t="str">
        <f t="shared" ref="N131:N151" si="2">IF(ISBLANK(C131),"",ROW(C131))</f>
        <v/>
      </c>
    </row>
    <row r="132" spans="1:14">
      <c r="A132" s="193" t="str">
        <f>IF(ISBLANK(C132),"",IF(ISBLANK(Table17[[#This Row],[ID Num.]]),Table17[[#This Row],[Descripción]],C132&amp;" (" &amp;B132&amp;")"))</f>
        <v/>
      </c>
      <c r="B132" s="195"/>
      <c r="C132" s="197"/>
      <c r="D132" s="197"/>
      <c r="E132" s="195"/>
      <c r="F132" s="195"/>
      <c r="G132" s="195"/>
      <c r="H132" s="195"/>
      <c r="I132" s="201"/>
      <c r="J132" s="195"/>
      <c r="K132" s="203"/>
      <c r="N132" s="3" t="str">
        <f t="shared" si="2"/>
        <v/>
      </c>
    </row>
    <row r="133" spans="1:14">
      <c r="A133" s="193" t="str">
        <f>IF(ISBLANK(C133),"",IF(ISBLANK(Table17[[#This Row],[ID Num.]]),Table17[[#This Row],[Descripción]],C133&amp;" (" &amp;B133&amp;")"))</f>
        <v/>
      </c>
      <c r="B133" s="195"/>
      <c r="C133" s="197"/>
      <c r="D133" s="197"/>
      <c r="E133" s="195"/>
      <c r="F133" s="195"/>
      <c r="G133" s="195"/>
      <c r="H133" s="195"/>
      <c r="I133" s="201"/>
      <c r="J133" s="195"/>
      <c r="K133" s="203"/>
      <c r="N133" s="3" t="str">
        <f t="shared" si="2"/>
        <v/>
      </c>
    </row>
    <row r="134" spans="1:14">
      <c r="A134" s="193" t="str">
        <f>IF(ISBLANK(C134),"",IF(ISBLANK(Table17[[#This Row],[ID Num.]]),Table17[[#This Row],[Descripción]],C134&amp;" (" &amp;B134&amp;")"))</f>
        <v/>
      </c>
      <c r="B134" s="195"/>
      <c r="C134" s="197"/>
      <c r="D134" s="197"/>
      <c r="E134" s="195"/>
      <c r="F134" s="195"/>
      <c r="G134" s="195"/>
      <c r="H134" s="195"/>
      <c r="I134" s="201"/>
      <c r="J134" s="195"/>
      <c r="K134" s="203"/>
      <c r="N134" s="3" t="str">
        <f t="shared" si="2"/>
        <v/>
      </c>
    </row>
    <row r="135" spans="1:14">
      <c r="A135" s="193" t="str">
        <f>IF(ISBLANK(C135),"",IF(ISBLANK(Table17[[#This Row],[ID Num.]]),Table17[[#This Row],[Descripción]],C135&amp;" (" &amp;B135&amp;")"))</f>
        <v/>
      </c>
      <c r="B135" s="195"/>
      <c r="C135" s="197"/>
      <c r="D135" s="197"/>
      <c r="E135" s="195"/>
      <c r="F135" s="195"/>
      <c r="G135" s="195"/>
      <c r="H135" s="195"/>
      <c r="I135" s="201"/>
      <c r="J135" s="195"/>
      <c r="K135" s="203"/>
      <c r="N135" s="3" t="str">
        <f t="shared" si="2"/>
        <v/>
      </c>
    </row>
    <row r="136" spans="1:14">
      <c r="A136" s="193" t="str">
        <f>IF(ISBLANK(C136),"",IF(ISBLANK(Table17[[#This Row],[ID Num.]]),Table17[[#This Row],[Descripción]],C136&amp;" (" &amp;B136&amp;")"))</f>
        <v/>
      </c>
      <c r="B136" s="195"/>
      <c r="C136" s="197"/>
      <c r="D136" s="197"/>
      <c r="E136" s="195"/>
      <c r="F136" s="195"/>
      <c r="G136" s="195"/>
      <c r="H136" s="195"/>
      <c r="I136" s="201"/>
      <c r="J136" s="195"/>
      <c r="K136" s="203"/>
      <c r="N136" s="3" t="str">
        <f t="shared" si="2"/>
        <v/>
      </c>
    </row>
    <row r="137" spans="1:14">
      <c r="A137" s="193" t="str">
        <f>IF(ISBLANK(C137),"",IF(ISBLANK(Table17[[#This Row],[ID Num.]]),Table17[[#This Row],[Descripción]],C137&amp;" (" &amp;B137&amp;")"))</f>
        <v/>
      </c>
      <c r="B137" s="195"/>
      <c r="C137" s="197"/>
      <c r="D137" s="197"/>
      <c r="E137" s="195"/>
      <c r="F137" s="195"/>
      <c r="G137" s="195"/>
      <c r="H137" s="195"/>
      <c r="I137" s="201"/>
      <c r="J137" s="195"/>
      <c r="K137" s="203"/>
      <c r="N137" s="3" t="str">
        <f t="shared" si="2"/>
        <v/>
      </c>
    </row>
    <row r="138" spans="1:14">
      <c r="A138" s="193" t="str">
        <f>IF(ISBLANK(C138),"",IF(ISBLANK(Table17[[#This Row],[ID Num.]]),Table17[[#This Row],[Descripción]],C138&amp;" (" &amp;B138&amp;")"))</f>
        <v/>
      </c>
      <c r="B138" s="195"/>
      <c r="C138" s="197"/>
      <c r="D138" s="197"/>
      <c r="E138" s="195"/>
      <c r="F138" s="195"/>
      <c r="G138" s="195"/>
      <c r="H138" s="195"/>
      <c r="I138" s="201"/>
      <c r="J138" s="195"/>
      <c r="K138" s="203"/>
      <c r="N138" s="3" t="str">
        <f t="shared" si="2"/>
        <v/>
      </c>
    </row>
    <row r="139" spans="1:14">
      <c r="A139" s="193" t="str">
        <f>IF(ISBLANK(C139),"",IF(ISBLANK(Table17[[#This Row],[ID Num.]]),Table17[[#This Row],[Descripción]],C139&amp;" (" &amp;B139&amp;")"))</f>
        <v/>
      </c>
      <c r="B139" s="195"/>
      <c r="C139" s="197"/>
      <c r="D139" s="197"/>
      <c r="E139" s="195"/>
      <c r="F139" s="195"/>
      <c r="G139" s="195"/>
      <c r="H139" s="195"/>
      <c r="I139" s="201"/>
      <c r="J139" s="195"/>
      <c r="K139" s="203"/>
      <c r="N139" s="3" t="str">
        <f t="shared" si="2"/>
        <v/>
      </c>
    </row>
    <row r="140" spans="1:14">
      <c r="A140" s="193" t="str">
        <f>IF(ISBLANK(C140),"",IF(ISBLANK(Table17[[#This Row],[ID Num.]]),Table17[[#This Row],[Descripción]],C140&amp;" (" &amp;B140&amp;")"))</f>
        <v/>
      </c>
      <c r="B140" s="195"/>
      <c r="C140" s="197"/>
      <c r="D140" s="197"/>
      <c r="E140" s="195"/>
      <c r="F140" s="195"/>
      <c r="G140" s="195"/>
      <c r="H140" s="195"/>
      <c r="I140" s="201"/>
      <c r="J140" s="195"/>
      <c r="K140" s="203"/>
      <c r="N140" s="3" t="str">
        <f t="shared" si="2"/>
        <v/>
      </c>
    </row>
    <row r="141" spans="1:14">
      <c r="A141" s="193" t="str">
        <f>IF(ISBLANK(C141),"",IF(ISBLANK(Table17[[#This Row],[ID Num.]]),Table17[[#This Row],[Descripción]],C141&amp;" (" &amp;B141&amp;")"))</f>
        <v/>
      </c>
      <c r="B141" s="195"/>
      <c r="C141" s="197"/>
      <c r="D141" s="197"/>
      <c r="E141" s="195"/>
      <c r="F141" s="195"/>
      <c r="G141" s="195"/>
      <c r="H141" s="195"/>
      <c r="I141" s="201"/>
      <c r="J141" s="195"/>
      <c r="K141" s="203"/>
      <c r="N141" s="3" t="str">
        <f t="shared" si="2"/>
        <v/>
      </c>
    </row>
    <row r="142" spans="1:14">
      <c r="A142" s="193" t="str">
        <f>IF(ISBLANK(C142),"",IF(ISBLANK(Table17[[#This Row],[ID Num.]]),Table17[[#This Row],[Descripción]],C142&amp;" (" &amp;B142&amp;")"))</f>
        <v/>
      </c>
      <c r="B142" s="195"/>
      <c r="C142" s="197"/>
      <c r="D142" s="197"/>
      <c r="E142" s="195"/>
      <c r="F142" s="195"/>
      <c r="G142" s="195"/>
      <c r="H142" s="195"/>
      <c r="I142" s="201"/>
      <c r="J142" s="195"/>
      <c r="K142" s="203"/>
      <c r="N142" s="3" t="str">
        <f t="shared" si="2"/>
        <v/>
      </c>
    </row>
    <row r="143" spans="1:14">
      <c r="A143" s="193" t="str">
        <f>IF(ISBLANK(C143),"",IF(ISBLANK(Table17[[#This Row],[ID Num.]]),Table17[[#This Row],[Descripción]],C143&amp;" (" &amp;B143&amp;")"))</f>
        <v/>
      </c>
      <c r="B143" s="195"/>
      <c r="C143" s="197"/>
      <c r="D143" s="197"/>
      <c r="E143" s="195"/>
      <c r="F143" s="195"/>
      <c r="G143" s="195"/>
      <c r="H143" s="195"/>
      <c r="I143" s="201"/>
      <c r="J143" s="195"/>
      <c r="K143" s="203"/>
      <c r="N143" s="3" t="str">
        <f t="shared" si="2"/>
        <v/>
      </c>
    </row>
    <row r="144" spans="1:14">
      <c r="A144" s="193" t="str">
        <f>IF(ISBLANK(C144),"",IF(ISBLANK(Table17[[#This Row],[ID Num.]]),Table17[[#This Row],[Descripción]],C144&amp;" (" &amp;B144&amp;")"))</f>
        <v/>
      </c>
      <c r="B144" s="195"/>
      <c r="C144" s="197"/>
      <c r="D144" s="197"/>
      <c r="E144" s="195"/>
      <c r="F144" s="195"/>
      <c r="G144" s="195"/>
      <c r="H144" s="195"/>
      <c r="I144" s="201"/>
      <c r="J144" s="195"/>
      <c r="K144" s="203"/>
      <c r="N144" s="3" t="str">
        <f t="shared" si="2"/>
        <v/>
      </c>
    </row>
    <row r="145" spans="1:14">
      <c r="A145" s="193" t="str">
        <f>IF(ISBLANK(C145),"",IF(ISBLANK(Table17[[#This Row],[ID Num.]]),Table17[[#This Row],[Descripción]],C145&amp;" (" &amp;B145&amp;")"))</f>
        <v/>
      </c>
      <c r="B145" s="195"/>
      <c r="C145" s="197"/>
      <c r="D145" s="197"/>
      <c r="E145" s="195"/>
      <c r="F145" s="195"/>
      <c r="G145" s="195"/>
      <c r="H145" s="195"/>
      <c r="I145" s="201"/>
      <c r="J145" s="195"/>
      <c r="K145" s="203"/>
      <c r="N145" s="3" t="str">
        <f t="shared" si="2"/>
        <v/>
      </c>
    </row>
    <row r="146" spans="1:14">
      <c r="A146" s="193" t="str">
        <f>IF(ISBLANK(C146),"",IF(ISBLANK(Table17[[#This Row],[ID Num.]]),Table17[[#This Row],[Descripción]],C146&amp;" (" &amp;B146&amp;")"))</f>
        <v/>
      </c>
      <c r="B146" s="195"/>
      <c r="C146" s="197"/>
      <c r="D146" s="197"/>
      <c r="E146" s="195"/>
      <c r="F146" s="195"/>
      <c r="G146" s="195"/>
      <c r="H146" s="195"/>
      <c r="I146" s="201"/>
      <c r="J146" s="195"/>
      <c r="K146" s="203"/>
      <c r="N146" s="3" t="str">
        <f t="shared" si="2"/>
        <v/>
      </c>
    </row>
    <row r="147" spans="1:14">
      <c r="A147" s="193" t="str">
        <f>IF(ISBLANK(C147),"",IF(ISBLANK(Table17[[#This Row],[ID Num.]]),Table17[[#This Row],[Descripción]],C147&amp;" (" &amp;B147&amp;")"))</f>
        <v/>
      </c>
      <c r="B147" s="195"/>
      <c r="C147" s="197"/>
      <c r="D147" s="197"/>
      <c r="E147" s="195"/>
      <c r="F147" s="195"/>
      <c r="G147" s="195"/>
      <c r="H147" s="195"/>
      <c r="I147" s="201"/>
      <c r="J147" s="195"/>
      <c r="K147" s="203"/>
      <c r="N147" s="3" t="str">
        <f t="shared" si="2"/>
        <v/>
      </c>
    </row>
    <row r="148" spans="1:14">
      <c r="A148" s="193" t="str">
        <f>IF(ISBLANK(C148),"",IF(ISBLANK(Table17[[#This Row],[ID Num.]]),Table17[[#This Row],[Descripción]],C148&amp;" (" &amp;B148&amp;")"))</f>
        <v/>
      </c>
      <c r="B148" s="195"/>
      <c r="C148" s="197"/>
      <c r="D148" s="197"/>
      <c r="E148" s="195"/>
      <c r="F148" s="195"/>
      <c r="G148" s="195"/>
      <c r="H148" s="195"/>
      <c r="I148" s="201"/>
      <c r="J148" s="195"/>
      <c r="K148" s="203"/>
      <c r="N148" s="3" t="str">
        <f t="shared" si="2"/>
        <v/>
      </c>
    </row>
    <row r="149" spans="1:14">
      <c r="A149" s="193" t="str">
        <f>IF(ISBLANK(C149),"",IF(ISBLANK(Table17[[#This Row],[ID Num.]]),Table17[[#This Row],[Descripción]],C149&amp;" (" &amp;B149&amp;")"))</f>
        <v/>
      </c>
      <c r="B149" s="195"/>
      <c r="C149" s="197"/>
      <c r="D149" s="197"/>
      <c r="E149" s="195"/>
      <c r="F149" s="195"/>
      <c r="G149" s="195"/>
      <c r="H149" s="195"/>
      <c r="I149" s="201"/>
      <c r="J149" s="195"/>
      <c r="K149" s="203"/>
      <c r="N149" s="3" t="str">
        <f t="shared" si="2"/>
        <v/>
      </c>
    </row>
    <row r="150" spans="1:14">
      <c r="A150" s="193" t="str">
        <f>IF(ISBLANK(C150),"",IF(ISBLANK(Table17[[#This Row],[ID Num.]]),Table17[[#This Row],[Descripción]],C150&amp;" (" &amp;B150&amp;")"))</f>
        <v/>
      </c>
      <c r="B150" s="195"/>
      <c r="C150" s="197"/>
      <c r="D150" s="197"/>
      <c r="E150" s="195"/>
      <c r="F150" s="195"/>
      <c r="G150" s="195"/>
      <c r="H150" s="195"/>
      <c r="I150" s="201"/>
      <c r="J150" s="195"/>
      <c r="K150" s="203"/>
      <c r="N150" s="3" t="str">
        <f t="shared" si="2"/>
        <v/>
      </c>
    </row>
    <row r="151" spans="1:14">
      <c r="A151" s="194" t="str">
        <f>IF(ISBLANK(C151),"",IF(ISBLANK(Table17[[#This Row],[ID Num.]]),Table17[[#This Row],[Descripción]],C151&amp;" (" &amp;B151&amp;")"))</f>
        <v/>
      </c>
      <c r="B151" s="208"/>
      <c r="C151" s="209"/>
      <c r="D151" s="209"/>
      <c r="E151" s="208"/>
      <c r="F151" s="208"/>
      <c r="G151" s="208"/>
      <c r="H151" s="208"/>
      <c r="I151" s="210"/>
      <c r="J151" s="208"/>
      <c r="K151" s="211"/>
      <c r="N151" s="3" t="str">
        <f t="shared" si="2"/>
        <v/>
      </c>
    </row>
  </sheetData>
  <sheetProtection password="AE77" sheet="1" objects="1" scenarios="1"/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U91"/>
  <sheetViews>
    <sheetView showGridLines="0" showRowColHeaders="0" view="pageBreakPreview" zoomScaleNormal="100" zoomScaleSheetLayoutView="100" workbookViewId="0"/>
  </sheetViews>
  <sheetFormatPr defaultColWidth="0" defaultRowHeight="15.5"/>
  <cols>
    <col min="1" max="1" width="1.6328125" style="293" customWidth="1"/>
    <col min="2" max="38" width="2.6328125" style="293" customWidth="1"/>
    <col min="39" max="39" width="1.6328125" style="293" customWidth="1"/>
    <col min="40" max="47" width="8.6328125" style="293" hidden="1"/>
    <col min="48" max="16384" width="10.6328125" style="293" hidden="1"/>
  </cols>
  <sheetData>
    <row r="1" spans="2:38">
      <c r="B1" s="328" t="s">
        <v>253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328"/>
      <c r="R1" s="328"/>
      <c r="S1" s="328"/>
      <c r="T1" s="328"/>
      <c r="U1" s="328"/>
      <c r="V1" s="328"/>
      <c r="W1" s="328"/>
      <c r="X1" s="328"/>
      <c r="Y1" s="328"/>
      <c r="Z1" s="328"/>
      <c r="AA1" s="328"/>
      <c r="AB1" s="328"/>
      <c r="AC1" s="328"/>
      <c r="AD1" s="328"/>
      <c r="AE1" s="328"/>
      <c r="AF1" s="328"/>
      <c r="AG1" s="328"/>
      <c r="AH1" s="328"/>
      <c r="AI1" s="328"/>
      <c r="AJ1" s="328"/>
      <c r="AK1" s="328"/>
      <c r="AL1" s="328"/>
    </row>
    <row r="2" spans="2:38">
      <c r="B2" s="328" t="s">
        <v>1</v>
      </c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  <c r="V2" s="328"/>
      <c r="W2" s="328"/>
      <c r="X2" s="328"/>
      <c r="Y2" s="328"/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  <c r="AK2" s="328"/>
      <c r="AL2" s="328"/>
    </row>
    <row r="3" spans="2:38">
      <c r="B3" s="328" t="s">
        <v>252</v>
      </c>
      <c r="C3" s="328"/>
      <c r="D3" s="328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28"/>
      <c r="R3" s="328"/>
      <c r="S3" s="328"/>
      <c r="T3" s="328"/>
      <c r="U3" s="328"/>
      <c r="V3" s="328"/>
      <c r="W3" s="328"/>
      <c r="X3" s="328"/>
      <c r="Y3" s="328"/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  <c r="AK3" s="328"/>
      <c r="AL3" s="328"/>
    </row>
    <row r="4" spans="2:38"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</row>
    <row r="5" spans="2:38" ht="18">
      <c r="B5" s="341" t="s">
        <v>283</v>
      </c>
      <c r="C5" s="341"/>
      <c r="D5" s="341"/>
      <c r="E5" s="341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1"/>
      <c r="Q5" s="341"/>
      <c r="R5" s="341"/>
      <c r="S5" s="341"/>
      <c r="T5" s="341"/>
      <c r="U5" s="341"/>
      <c r="V5" s="341"/>
      <c r="W5" s="341"/>
      <c r="X5" s="341"/>
      <c r="Y5" s="341"/>
      <c r="Z5" s="341"/>
      <c r="AA5" s="341"/>
      <c r="AB5" s="341"/>
      <c r="AC5" s="341"/>
      <c r="AD5" s="341"/>
      <c r="AE5" s="341"/>
      <c r="AF5" s="341"/>
      <c r="AG5" s="341"/>
      <c r="AH5" s="341"/>
      <c r="AI5" s="341"/>
      <c r="AJ5" s="341"/>
      <c r="AK5" s="341"/>
      <c r="AL5" s="341"/>
    </row>
    <row r="6" spans="2:38"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</row>
    <row r="7" spans="2:38">
      <c r="B7" s="33" t="s">
        <v>249</v>
      </c>
      <c r="C7" s="33"/>
      <c r="D7" s="33"/>
      <c r="E7" s="33"/>
      <c r="F7" s="33"/>
      <c r="G7" s="33"/>
      <c r="H7" s="33"/>
      <c r="I7" s="33"/>
      <c r="J7" s="33"/>
      <c r="K7" s="339">
        <f>'Información Force Account'!B1</f>
        <v>0</v>
      </c>
      <c r="L7" s="339"/>
      <c r="M7" s="339"/>
      <c r="N7" s="339"/>
      <c r="O7" s="339"/>
      <c r="P7" s="339"/>
      <c r="Q7" s="339"/>
      <c r="R7" s="339"/>
      <c r="S7" s="339"/>
      <c r="T7" s="33"/>
      <c r="U7" s="33"/>
      <c r="V7" s="33"/>
      <c r="W7" s="33"/>
      <c r="X7" s="33"/>
      <c r="Y7" s="33"/>
      <c r="Z7" s="33"/>
      <c r="AA7" s="33"/>
      <c r="AB7" s="33"/>
      <c r="AC7" s="33"/>
      <c r="AD7" s="296" t="s">
        <v>101</v>
      </c>
      <c r="AE7" s="296"/>
      <c r="AF7" s="338">
        <f ca="1">TODAY()</f>
        <v>44581</v>
      </c>
      <c r="AG7" s="338"/>
      <c r="AH7" s="338"/>
      <c r="AI7" s="338"/>
      <c r="AJ7" s="338"/>
      <c r="AK7" s="338"/>
      <c r="AL7" s="338"/>
    </row>
    <row r="8" spans="2:38">
      <c r="B8" s="33"/>
      <c r="C8" s="33"/>
      <c r="D8" s="33"/>
      <c r="E8" s="33"/>
      <c r="F8" s="33"/>
      <c r="G8" s="33"/>
      <c r="H8" s="33"/>
      <c r="I8" s="33"/>
      <c r="J8" s="33"/>
      <c r="K8" s="342">
        <f>'Información Force Account'!B2</f>
        <v>0</v>
      </c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2"/>
      <c r="AD8" s="342"/>
      <c r="AE8" s="342"/>
      <c r="AF8" s="342"/>
      <c r="AG8" s="342"/>
      <c r="AH8" s="342"/>
      <c r="AI8" s="342"/>
      <c r="AJ8" s="342"/>
      <c r="AK8" s="342"/>
      <c r="AL8" s="342"/>
    </row>
    <row r="9" spans="2:38">
      <c r="B9" s="33" t="s">
        <v>250</v>
      </c>
      <c r="C9" s="33"/>
      <c r="D9" s="33"/>
      <c r="E9" s="33"/>
      <c r="F9" s="33"/>
      <c r="G9" s="33"/>
      <c r="H9" s="33"/>
      <c r="I9" s="33"/>
      <c r="J9" s="33"/>
      <c r="K9" s="343"/>
      <c r="L9" s="343"/>
      <c r="M9" s="343"/>
      <c r="N9" s="343"/>
      <c r="O9" s="343"/>
      <c r="P9" s="343"/>
      <c r="Q9" s="343"/>
      <c r="R9" s="343"/>
      <c r="S9" s="343"/>
      <c r="T9" s="343"/>
      <c r="U9" s="343"/>
      <c r="V9" s="343"/>
      <c r="W9" s="343"/>
      <c r="X9" s="343"/>
      <c r="Y9" s="343"/>
      <c r="Z9" s="343"/>
      <c r="AA9" s="343"/>
      <c r="AB9" s="343"/>
      <c r="AC9" s="343"/>
      <c r="AD9" s="343"/>
      <c r="AE9" s="343"/>
      <c r="AF9" s="343"/>
      <c r="AG9" s="343"/>
      <c r="AH9" s="343"/>
      <c r="AI9" s="343"/>
      <c r="AJ9" s="343"/>
      <c r="AK9" s="343"/>
      <c r="AL9" s="343"/>
    </row>
    <row r="10" spans="2:38"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</row>
    <row r="11" spans="2:38">
      <c r="B11" s="33" t="s">
        <v>234</v>
      </c>
      <c r="C11" s="33"/>
      <c r="D11" s="33"/>
      <c r="E11" s="33"/>
      <c r="F11" s="33"/>
      <c r="G11" s="339">
        <f>'Información Force Account'!B4</f>
        <v>0</v>
      </c>
      <c r="H11" s="339"/>
      <c r="I11" s="339"/>
      <c r="J11" s="339"/>
      <c r="K11" s="339"/>
      <c r="L11" s="339"/>
      <c r="M11" s="339"/>
      <c r="N11" s="339"/>
      <c r="O11" s="339"/>
      <c r="P11" s="339"/>
      <c r="Q11" s="339"/>
      <c r="R11" s="339"/>
      <c r="S11" s="339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</row>
    <row r="12" spans="2:38">
      <c r="B12" s="33"/>
      <c r="C12" s="33"/>
      <c r="D12" s="33"/>
      <c r="E12" s="33"/>
      <c r="F12" s="33"/>
      <c r="G12" s="344"/>
      <c r="H12" s="344"/>
      <c r="I12" s="344"/>
      <c r="J12" s="344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344"/>
      <c r="AB12" s="344"/>
      <c r="AC12" s="344"/>
      <c r="AD12" s="344"/>
      <c r="AE12" s="344"/>
      <c r="AF12" s="344"/>
      <c r="AG12" s="344"/>
      <c r="AH12" s="344"/>
      <c r="AI12" s="344"/>
      <c r="AJ12" s="344"/>
      <c r="AK12" s="344"/>
      <c r="AL12" s="344"/>
    </row>
    <row r="13" spans="2:38">
      <c r="B13" s="33" t="s">
        <v>251</v>
      </c>
      <c r="C13" s="33"/>
      <c r="D13" s="33"/>
      <c r="E13" s="33"/>
      <c r="F13" s="297"/>
      <c r="G13" s="345"/>
      <c r="H13" s="345"/>
      <c r="I13" s="345"/>
      <c r="J13" s="345"/>
      <c r="K13" s="345"/>
      <c r="L13" s="345"/>
      <c r="M13" s="345"/>
      <c r="N13" s="345"/>
      <c r="O13" s="345"/>
      <c r="P13" s="345"/>
      <c r="Q13" s="345"/>
      <c r="R13" s="345"/>
      <c r="S13" s="345"/>
      <c r="T13" s="345"/>
      <c r="U13" s="345"/>
      <c r="V13" s="345"/>
      <c r="W13" s="345"/>
      <c r="X13" s="345"/>
      <c r="Y13" s="345"/>
      <c r="Z13" s="345"/>
      <c r="AA13" s="345"/>
      <c r="AB13" s="345"/>
      <c r="AC13" s="345"/>
      <c r="AD13" s="345"/>
      <c r="AE13" s="345"/>
      <c r="AF13" s="345"/>
      <c r="AG13" s="345"/>
      <c r="AH13" s="345"/>
      <c r="AI13" s="345"/>
      <c r="AJ13" s="345"/>
      <c r="AK13" s="345"/>
      <c r="AL13" s="345"/>
    </row>
    <row r="14" spans="2:38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298"/>
      <c r="Y14" s="298"/>
      <c r="Z14" s="298"/>
      <c r="AA14" s="298"/>
      <c r="AB14" s="298"/>
      <c r="AC14" s="298"/>
      <c r="AD14" s="298"/>
      <c r="AE14" s="33"/>
      <c r="AF14" s="33"/>
      <c r="AG14" s="33"/>
      <c r="AH14" s="33"/>
      <c r="AI14" s="33"/>
      <c r="AJ14" s="33"/>
      <c r="AK14" s="33"/>
      <c r="AL14" s="33"/>
    </row>
    <row r="15" spans="2:38">
      <c r="B15" s="346" t="s">
        <v>248</v>
      </c>
      <c r="C15" s="346"/>
      <c r="D15" s="346"/>
      <c r="E15" s="346"/>
      <c r="F15" s="346"/>
      <c r="G15" s="346"/>
      <c r="H15" s="346"/>
      <c r="I15" s="346"/>
      <c r="J15" s="346"/>
      <c r="K15" s="347" t="s">
        <v>117</v>
      </c>
      <c r="L15" s="347"/>
      <c r="M15" s="347"/>
      <c r="N15" s="347"/>
      <c r="O15" s="347"/>
      <c r="P15" s="347"/>
      <c r="Q15" s="347"/>
      <c r="R15" s="347"/>
      <c r="S15" s="347"/>
      <c r="T15" s="347"/>
      <c r="U15" s="347"/>
      <c r="V15" s="347"/>
      <c r="W15" s="347"/>
      <c r="X15" s="347"/>
      <c r="Y15" s="347"/>
      <c r="Z15" s="347"/>
      <c r="AA15" s="347"/>
      <c r="AB15" s="347"/>
      <c r="AC15" s="347"/>
      <c r="AD15" s="347"/>
      <c r="AE15" s="347"/>
      <c r="AF15" s="347"/>
      <c r="AG15" s="347"/>
      <c r="AH15" s="347"/>
      <c r="AI15" s="347"/>
      <c r="AJ15" s="347"/>
      <c r="AK15" s="347"/>
      <c r="AL15" s="347"/>
    </row>
    <row r="16" spans="2:38">
      <c r="B16" s="346"/>
      <c r="C16" s="346"/>
      <c r="D16" s="346"/>
      <c r="E16" s="346"/>
      <c r="F16" s="346"/>
      <c r="G16" s="346"/>
      <c r="H16" s="346"/>
      <c r="I16" s="346"/>
      <c r="J16" s="346"/>
      <c r="K16" s="681" t="s">
        <v>288</v>
      </c>
      <c r="L16" s="681"/>
      <c r="M16" s="681"/>
      <c r="N16" s="681"/>
      <c r="O16" s="681"/>
      <c r="P16" s="681"/>
      <c r="Q16" s="681"/>
      <c r="R16" s="682" t="s">
        <v>288</v>
      </c>
      <c r="S16" s="683"/>
      <c r="T16" s="683"/>
      <c r="U16" s="683"/>
      <c r="V16" s="683"/>
      <c r="W16" s="683"/>
      <c r="X16" s="684"/>
      <c r="Y16" s="682" t="s">
        <v>288</v>
      </c>
      <c r="Z16" s="683"/>
      <c r="AA16" s="683"/>
      <c r="AB16" s="683"/>
      <c r="AC16" s="683"/>
      <c r="AD16" s="683"/>
      <c r="AE16" s="684"/>
      <c r="AF16" s="682" t="s">
        <v>288</v>
      </c>
      <c r="AG16" s="683"/>
      <c r="AH16" s="683"/>
      <c r="AI16" s="683"/>
      <c r="AJ16" s="683"/>
      <c r="AK16" s="683"/>
      <c r="AL16" s="684"/>
    </row>
    <row r="17" spans="2:41">
      <c r="B17" s="340" t="s">
        <v>210</v>
      </c>
      <c r="C17" s="340"/>
      <c r="D17" s="340"/>
      <c r="E17" s="340"/>
      <c r="F17" s="340"/>
      <c r="G17" s="340"/>
      <c r="H17" s="340"/>
      <c r="I17" s="340"/>
      <c r="J17" s="340"/>
      <c r="K17" s="334" t="str">
        <f>IFERROR(VLOOKUP(VALUE(K$16&amp;TEXT($AN17,"00")),DBPCFA!$AL:$AM,2,FALSE),"")</f>
        <v/>
      </c>
      <c r="L17" s="334"/>
      <c r="M17" s="334"/>
      <c r="N17" s="334"/>
      <c r="O17" s="334"/>
      <c r="P17" s="334"/>
      <c r="Q17" s="334"/>
      <c r="R17" s="334" t="str">
        <f>IFERROR(VLOOKUP(VALUE(R$16&amp;TEXT($AN17,"00")),DBPCFA!$AL:$AM,2,FALSE),"")</f>
        <v/>
      </c>
      <c r="S17" s="334"/>
      <c r="T17" s="334"/>
      <c r="U17" s="334"/>
      <c r="V17" s="334"/>
      <c r="W17" s="334"/>
      <c r="X17" s="334"/>
      <c r="Y17" s="334" t="str">
        <f>IFERROR(VLOOKUP(VALUE(Y$16&amp;TEXT($AN17,"00")),DBPCFA!$AL:$AM,2,FALSE),"")</f>
        <v/>
      </c>
      <c r="Z17" s="334"/>
      <c r="AA17" s="334"/>
      <c r="AB17" s="334"/>
      <c r="AC17" s="334"/>
      <c r="AD17" s="334"/>
      <c r="AE17" s="334"/>
      <c r="AF17" s="334" t="str">
        <f>IFERROR(VLOOKUP(VALUE(AF$16&amp;TEXT($AN17,"00")),DBPCFA!$AL:$AM,2,FALSE),"")</f>
        <v/>
      </c>
      <c r="AG17" s="334"/>
      <c r="AH17" s="334"/>
      <c r="AI17" s="334"/>
      <c r="AJ17" s="334"/>
      <c r="AK17" s="334"/>
      <c r="AL17" s="334"/>
      <c r="AN17" s="295">
        <v>1</v>
      </c>
      <c r="AO17" s="680" t="s">
        <v>288</v>
      </c>
    </row>
    <row r="18" spans="2:41">
      <c r="B18" s="340" t="s">
        <v>211</v>
      </c>
      <c r="C18" s="340" t="s">
        <v>211</v>
      </c>
      <c r="D18" s="340"/>
      <c r="E18" s="340"/>
      <c r="F18" s="340"/>
      <c r="G18" s="340"/>
      <c r="H18" s="340"/>
      <c r="I18" s="340"/>
      <c r="J18" s="340"/>
      <c r="K18" s="334" t="str">
        <f>IFERROR(VLOOKUP(VALUE(K$16&amp;TEXT($AN18,"00")),DBPCFA!$AL:$AM,2,FALSE),"")</f>
        <v/>
      </c>
      <c r="L18" s="334"/>
      <c r="M18" s="334"/>
      <c r="N18" s="334"/>
      <c r="O18" s="334"/>
      <c r="P18" s="334"/>
      <c r="Q18" s="334"/>
      <c r="R18" s="334" t="str">
        <f>IFERROR(VLOOKUP(VALUE(R$16&amp;TEXT($AN18,"00")),DBPCFA!$AL:$AM,2,FALSE),"")</f>
        <v/>
      </c>
      <c r="S18" s="334"/>
      <c r="T18" s="334"/>
      <c r="U18" s="334"/>
      <c r="V18" s="334"/>
      <c r="W18" s="334"/>
      <c r="X18" s="334"/>
      <c r="Y18" s="334" t="str">
        <f>IFERROR(VLOOKUP(VALUE(Y$16&amp;TEXT($AN18,"00")),DBPCFA!$AL:$AM,2,FALSE),"")</f>
        <v/>
      </c>
      <c r="Z18" s="334"/>
      <c r="AA18" s="334"/>
      <c r="AB18" s="334"/>
      <c r="AC18" s="334"/>
      <c r="AD18" s="334"/>
      <c r="AE18" s="334"/>
      <c r="AF18" s="334" t="str">
        <f>IFERROR(VLOOKUP(VALUE(AF$16&amp;TEXT($AN18,"00")),DBPCFA!$AL:$AM,2,FALSE),"")</f>
        <v/>
      </c>
      <c r="AG18" s="334"/>
      <c r="AH18" s="334"/>
      <c r="AI18" s="334"/>
      <c r="AJ18" s="334"/>
      <c r="AK18" s="334"/>
      <c r="AL18" s="334"/>
      <c r="AN18" s="295">
        <v>2</v>
      </c>
      <c r="AO18" s="320">
        <v>2016</v>
      </c>
    </row>
    <row r="19" spans="2:41">
      <c r="B19" s="340" t="s">
        <v>212</v>
      </c>
      <c r="C19" s="340" t="s">
        <v>212</v>
      </c>
      <c r="D19" s="340"/>
      <c r="E19" s="340"/>
      <c r="F19" s="340"/>
      <c r="G19" s="340"/>
      <c r="H19" s="340"/>
      <c r="I19" s="340"/>
      <c r="J19" s="340"/>
      <c r="K19" s="334" t="str">
        <f>IFERROR(VLOOKUP(VALUE(K$16&amp;TEXT($AN19,"00")),DBPCFA!$AL:$AM,2,FALSE),"")</f>
        <v/>
      </c>
      <c r="L19" s="334"/>
      <c r="M19" s="334"/>
      <c r="N19" s="334"/>
      <c r="O19" s="334"/>
      <c r="P19" s="334"/>
      <c r="Q19" s="334"/>
      <c r="R19" s="334" t="str">
        <f>IFERROR(VLOOKUP(VALUE(R$16&amp;TEXT($AN19,"00")),DBPCFA!$AL:$AM,2,FALSE),"")</f>
        <v/>
      </c>
      <c r="S19" s="334"/>
      <c r="T19" s="334"/>
      <c r="U19" s="334"/>
      <c r="V19" s="334"/>
      <c r="W19" s="334"/>
      <c r="X19" s="334"/>
      <c r="Y19" s="334" t="str">
        <f>IFERROR(VLOOKUP(VALUE(Y$16&amp;TEXT($AN19,"00")),DBPCFA!$AL:$AM,2,FALSE),"")</f>
        <v/>
      </c>
      <c r="Z19" s="334"/>
      <c r="AA19" s="334"/>
      <c r="AB19" s="334"/>
      <c r="AC19" s="334"/>
      <c r="AD19" s="334"/>
      <c r="AE19" s="334"/>
      <c r="AF19" s="334" t="str">
        <f>IFERROR(VLOOKUP(VALUE(AF$16&amp;TEXT($AN19,"00")),DBPCFA!$AL:$AM,2,FALSE),"")</f>
        <v/>
      </c>
      <c r="AG19" s="334"/>
      <c r="AH19" s="334"/>
      <c r="AI19" s="334"/>
      <c r="AJ19" s="334"/>
      <c r="AK19" s="334"/>
      <c r="AL19" s="334"/>
      <c r="AN19" s="295">
        <v>3</v>
      </c>
      <c r="AO19" s="320">
        <v>2017</v>
      </c>
    </row>
    <row r="20" spans="2:41">
      <c r="B20" s="340" t="s">
        <v>213</v>
      </c>
      <c r="C20" s="340" t="s">
        <v>213</v>
      </c>
      <c r="D20" s="340"/>
      <c r="E20" s="340"/>
      <c r="F20" s="340"/>
      <c r="G20" s="340"/>
      <c r="H20" s="340"/>
      <c r="I20" s="340"/>
      <c r="J20" s="340"/>
      <c r="K20" s="334" t="str">
        <f>IFERROR(VLOOKUP(VALUE(K$16&amp;TEXT($AN20,"00")),DBPCFA!$AL:$AM,2,FALSE),"")</f>
        <v/>
      </c>
      <c r="L20" s="334"/>
      <c r="M20" s="334"/>
      <c r="N20" s="334"/>
      <c r="O20" s="334"/>
      <c r="P20" s="334"/>
      <c r="Q20" s="334"/>
      <c r="R20" s="334" t="str">
        <f>IFERROR(VLOOKUP(VALUE(R$16&amp;TEXT($AN20,"00")),DBPCFA!$AL:$AM,2,FALSE),"")</f>
        <v/>
      </c>
      <c r="S20" s="334"/>
      <c r="T20" s="334"/>
      <c r="U20" s="334"/>
      <c r="V20" s="334"/>
      <c r="W20" s="334"/>
      <c r="X20" s="334"/>
      <c r="Y20" s="334" t="str">
        <f>IFERROR(VLOOKUP(VALUE(Y$16&amp;TEXT($AN20,"00")),DBPCFA!$AL:$AM,2,FALSE),"")</f>
        <v/>
      </c>
      <c r="Z20" s="334"/>
      <c r="AA20" s="334"/>
      <c r="AB20" s="334"/>
      <c r="AC20" s="334"/>
      <c r="AD20" s="334"/>
      <c r="AE20" s="334"/>
      <c r="AF20" s="334" t="str">
        <f>IFERROR(VLOOKUP(VALUE(AF$16&amp;TEXT($AN20,"00")),DBPCFA!$AL:$AM,2,FALSE),"")</f>
        <v/>
      </c>
      <c r="AG20" s="334"/>
      <c r="AH20" s="334"/>
      <c r="AI20" s="334"/>
      <c r="AJ20" s="334"/>
      <c r="AK20" s="334"/>
      <c r="AL20" s="334"/>
      <c r="AN20" s="295">
        <v>4</v>
      </c>
      <c r="AO20" s="320">
        <v>2018</v>
      </c>
    </row>
    <row r="21" spans="2:41">
      <c r="B21" s="340" t="s">
        <v>214</v>
      </c>
      <c r="C21" s="340" t="s">
        <v>214</v>
      </c>
      <c r="D21" s="340"/>
      <c r="E21" s="340"/>
      <c r="F21" s="340"/>
      <c r="G21" s="340"/>
      <c r="H21" s="340"/>
      <c r="I21" s="340"/>
      <c r="J21" s="340"/>
      <c r="K21" s="334" t="str">
        <f>IFERROR(VLOOKUP(VALUE(K$16&amp;TEXT($AN21,"00")),DBPCFA!$AL:$AM,2,FALSE),"")</f>
        <v/>
      </c>
      <c r="L21" s="334"/>
      <c r="M21" s="334"/>
      <c r="N21" s="334"/>
      <c r="O21" s="334"/>
      <c r="P21" s="334"/>
      <c r="Q21" s="334"/>
      <c r="R21" s="334" t="str">
        <f>IFERROR(VLOOKUP(VALUE(R$16&amp;TEXT($AN21,"00")),DBPCFA!$AL:$AM,2,FALSE),"")</f>
        <v/>
      </c>
      <c r="S21" s="334"/>
      <c r="T21" s="334"/>
      <c r="U21" s="334"/>
      <c r="V21" s="334"/>
      <c r="W21" s="334"/>
      <c r="X21" s="334"/>
      <c r="Y21" s="334" t="str">
        <f>IFERROR(VLOOKUP(VALUE(Y$16&amp;TEXT($AN21,"00")),DBPCFA!$AL:$AM,2,FALSE),"")</f>
        <v/>
      </c>
      <c r="Z21" s="334"/>
      <c r="AA21" s="334"/>
      <c r="AB21" s="334"/>
      <c r="AC21" s="334"/>
      <c r="AD21" s="334"/>
      <c r="AE21" s="334"/>
      <c r="AF21" s="334" t="str">
        <f>IFERROR(VLOOKUP(VALUE(AF$16&amp;TEXT($AN21,"00")),DBPCFA!$AL:$AM,2,FALSE),"")</f>
        <v/>
      </c>
      <c r="AG21" s="334"/>
      <c r="AH21" s="334"/>
      <c r="AI21" s="334"/>
      <c r="AJ21" s="334"/>
      <c r="AK21" s="334"/>
      <c r="AL21" s="334"/>
      <c r="AN21" s="295">
        <v>5</v>
      </c>
      <c r="AO21" s="320">
        <v>2019</v>
      </c>
    </row>
    <row r="22" spans="2:41">
      <c r="B22" s="340" t="s">
        <v>215</v>
      </c>
      <c r="C22" s="340" t="s">
        <v>215</v>
      </c>
      <c r="D22" s="340"/>
      <c r="E22" s="340"/>
      <c r="F22" s="340"/>
      <c r="G22" s="340"/>
      <c r="H22" s="340"/>
      <c r="I22" s="340"/>
      <c r="J22" s="340"/>
      <c r="K22" s="334" t="str">
        <f>IFERROR(VLOOKUP(VALUE(K$16&amp;TEXT($AN22,"00")),DBPCFA!$AL:$AM,2,FALSE),"")</f>
        <v/>
      </c>
      <c r="L22" s="334"/>
      <c r="M22" s="334"/>
      <c r="N22" s="334"/>
      <c r="O22" s="334"/>
      <c r="P22" s="334"/>
      <c r="Q22" s="334"/>
      <c r="R22" s="334" t="str">
        <f>IFERROR(VLOOKUP(VALUE(R$16&amp;TEXT($AN22,"00")),DBPCFA!$AL:$AM,2,FALSE),"")</f>
        <v/>
      </c>
      <c r="S22" s="334"/>
      <c r="T22" s="334"/>
      <c r="U22" s="334"/>
      <c r="V22" s="334"/>
      <c r="W22" s="334"/>
      <c r="X22" s="334"/>
      <c r="Y22" s="334" t="str">
        <f>IFERROR(VLOOKUP(VALUE(Y$16&amp;TEXT($AN22,"00")),DBPCFA!$AL:$AM,2,FALSE),"")</f>
        <v/>
      </c>
      <c r="Z22" s="334"/>
      <c r="AA22" s="334"/>
      <c r="AB22" s="334"/>
      <c r="AC22" s="334"/>
      <c r="AD22" s="334"/>
      <c r="AE22" s="334"/>
      <c r="AF22" s="334" t="str">
        <f>IFERROR(VLOOKUP(VALUE(AF$16&amp;TEXT($AN22,"00")),DBPCFA!$AL:$AM,2,FALSE),"")</f>
        <v/>
      </c>
      <c r="AG22" s="334"/>
      <c r="AH22" s="334"/>
      <c r="AI22" s="334"/>
      <c r="AJ22" s="334"/>
      <c r="AK22" s="334"/>
      <c r="AL22" s="334"/>
      <c r="AN22" s="295">
        <v>6</v>
      </c>
      <c r="AO22" s="320">
        <v>2020</v>
      </c>
    </row>
    <row r="23" spans="2:41">
      <c r="B23" s="340" t="s">
        <v>216</v>
      </c>
      <c r="C23" s="340" t="s">
        <v>216</v>
      </c>
      <c r="D23" s="340"/>
      <c r="E23" s="340"/>
      <c r="F23" s="340"/>
      <c r="G23" s="340"/>
      <c r="H23" s="340"/>
      <c r="I23" s="340"/>
      <c r="J23" s="340"/>
      <c r="K23" s="334" t="str">
        <f>IFERROR(VLOOKUP(VALUE(K$16&amp;TEXT($AN23,"00")),DBPCFA!$AL:$AM,2,FALSE),"")</f>
        <v/>
      </c>
      <c r="L23" s="334"/>
      <c r="M23" s="334"/>
      <c r="N23" s="334"/>
      <c r="O23" s="334"/>
      <c r="P23" s="334"/>
      <c r="Q23" s="334"/>
      <c r="R23" s="334" t="str">
        <f>IFERROR(VLOOKUP(VALUE(R$16&amp;TEXT($AN23,"00")),DBPCFA!$AL:$AM,2,FALSE),"")</f>
        <v/>
      </c>
      <c r="S23" s="334"/>
      <c r="T23" s="334"/>
      <c r="U23" s="334"/>
      <c r="V23" s="334"/>
      <c r="W23" s="334"/>
      <c r="X23" s="334"/>
      <c r="Y23" s="334" t="str">
        <f>IFERROR(VLOOKUP(VALUE(Y$16&amp;TEXT($AN23,"00")),DBPCFA!$AL:$AM,2,FALSE),"")</f>
        <v/>
      </c>
      <c r="Z23" s="334"/>
      <c r="AA23" s="334"/>
      <c r="AB23" s="334"/>
      <c r="AC23" s="334"/>
      <c r="AD23" s="334"/>
      <c r="AE23" s="334"/>
      <c r="AF23" s="334" t="str">
        <f>IFERROR(VLOOKUP(VALUE(AF$16&amp;TEXT($AN23,"00")),DBPCFA!$AL:$AM,2,FALSE),"")</f>
        <v/>
      </c>
      <c r="AG23" s="334"/>
      <c r="AH23" s="334"/>
      <c r="AI23" s="334"/>
      <c r="AJ23" s="334"/>
      <c r="AK23" s="334"/>
      <c r="AL23" s="334"/>
      <c r="AN23" s="295">
        <v>7</v>
      </c>
      <c r="AO23" s="320">
        <v>2021</v>
      </c>
    </row>
    <row r="24" spans="2:41">
      <c r="B24" s="340" t="s">
        <v>217</v>
      </c>
      <c r="C24" s="340" t="s">
        <v>217</v>
      </c>
      <c r="D24" s="340"/>
      <c r="E24" s="340"/>
      <c r="F24" s="340"/>
      <c r="G24" s="340"/>
      <c r="H24" s="340"/>
      <c r="I24" s="340"/>
      <c r="J24" s="340"/>
      <c r="K24" s="334" t="str">
        <f>IFERROR(VLOOKUP(VALUE(K$16&amp;TEXT($AN24,"00")),DBPCFA!$AL:$AM,2,FALSE),"")</f>
        <v/>
      </c>
      <c r="L24" s="334"/>
      <c r="M24" s="334"/>
      <c r="N24" s="334"/>
      <c r="O24" s="334"/>
      <c r="P24" s="334"/>
      <c r="Q24" s="334"/>
      <c r="R24" s="334" t="str">
        <f>IFERROR(VLOOKUP(VALUE(R$16&amp;TEXT($AN24,"00")),DBPCFA!$AL:$AM,2,FALSE),"")</f>
        <v/>
      </c>
      <c r="S24" s="334"/>
      <c r="T24" s="334"/>
      <c r="U24" s="334"/>
      <c r="V24" s="334"/>
      <c r="W24" s="334"/>
      <c r="X24" s="334"/>
      <c r="Y24" s="334" t="str">
        <f>IFERROR(VLOOKUP(VALUE(Y$16&amp;TEXT($AN24,"00")),DBPCFA!$AL:$AM,2,FALSE),"")</f>
        <v/>
      </c>
      <c r="Z24" s="334"/>
      <c r="AA24" s="334"/>
      <c r="AB24" s="334"/>
      <c r="AC24" s="334"/>
      <c r="AD24" s="334"/>
      <c r="AE24" s="334"/>
      <c r="AF24" s="334" t="str">
        <f>IFERROR(VLOOKUP(VALUE(AF$16&amp;TEXT($AN24,"00")),DBPCFA!$AL:$AM,2,FALSE),"")</f>
        <v/>
      </c>
      <c r="AG24" s="334"/>
      <c r="AH24" s="334"/>
      <c r="AI24" s="334"/>
      <c r="AJ24" s="334"/>
      <c r="AK24" s="334"/>
      <c r="AL24" s="334"/>
      <c r="AN24" s="295">
        <v>8</v>
      </c>
      <c r="AO24" s="320">
        <v>2022</v>
      </c>
    </row>
    <row r="25" spans="2:41">
      <c r="B25" s="340" t="s">
        <v>218</v>
      </c>
      <c r="C25" s="340" t="s">
        <v>218</v>
      </c>
      <c r="D25" s="340"/>
      <c r="E25" s="340"/>
      <c r="F25" s="340"/>
      <c r="G25" s="340"/>
      <c r="H25" s="340"/>
      <c r="I25" s="340"/>
      <c r="J25" s="340"/>
      <c r="K25" s="334" t="str">
        <f>IFERROR(VLOOKUP(VALUE(K$16&amp;TEXT($AN25,"00")),DBPCFA!$AL:$AM,2,FALSE),"")</f>
        <v/>
      </c>
      <c r="L25" s="334"/>
      <c r="M25" s="334"/>
      <c r="N25" s="334"/>
      <c r="O25" s="334"/>
      <c r="P25" s="334"/>
      <c r="Q25" s="334"/>
      <c r="R25" s="334" t="str">
        <f>IFERROR(VLOOKUP(VALUE(R$16&amp;TEXT($AN25,"00")),DBPCFA!$AL:$AM,2,FALSE),"")</f>
        <v/>
      </c>
      <c r="S25" s="334"/>
      <c r="T25" s="334"/>
      <c r="U25" s="334"/>
      <c r="V25" s="334"/>
      <c r="W25" s="334"/>
      <c r="X25" s="334"/>
      <c r="Y25" s="334" t="str">
        <f>IFERROR(VLOOKUP(VALUE(Y$16&amp;TEXT($AN25,"00")),DBPCFA!$AL:$AM,2,FALSE),"")</f>
        <v/>
      </c>
      <c r="Z25" s="334"/>
      <c r="AA25" s="334"/>
      <c r="AB25" s="334"/>
      <c r="AC25" s="334"/>
      <c r="AD25" s="334"/>
      <c r="AE25" s="334"/>
      <c r="AF25" s="334" t="str">
        <f>IFERROR(VLOOKUP(VALUE(AF$16&amp;TEXT($AN25,"00")),DBPCFA!$AL:$AM,2,FALSE),"")</f>
        <v/>
      </c>
      <c r="AG25" s="334"/>
      <c r="AH25" s="334"/>
      <c r="AI25" s="334"/>
      <c r="AJ25" s="334"/>
      <c r="AK25" s="334"/>
      <c r="AL25" s="334"/>
      <c r="AN25" s="295">
        <v>9</v>
      </c>
      <c r="AO25" s="320">
        <v>2023</v>
      </c>
    </row>
    <row r="26" spans="2:41">
      <c r="B26" s="340" t="s">
        <v>219</v>
      </c>
      <c r="C26" s="340" t="s">
        <v>219</v>
      </c>
      <c r="D26" s="340"/>
      <c r="E26" s="340"/>
      <c r="F26" s="340"/>
      <c r="G26" s="340"/>
      <c r="H26" s="340"/>
      <c r="I26" s="340"/>
      <c r="J26" s="340"/>
      <c r="K26" s="334" t="str">
        <f>IFERROR(VLOOKUP(VALUE(K$16&amp;TEXT($AN26,"00")),DBPCFA!$AL:$AM,2,FALSE),"")</f>
        <v/>
      </c>
      <c r="L26" s="334"/>
      <c r="M26" s="334"/>
      <c r="N26" s="334"/>
      <c r="O26" s="334"/>
      <c r="P26" s="334"/>
      <c r="Q26" s="334"/>
      <c r="R26" s="334" t="str">
        <f>IFERROR(VLOOKUP(VALUE(R$16&amp;TEXT($AN26,"00")),DBPCFA!$AL:$AM,2,FALSE),"")</f>
        <v/>
      </c>
      <c r="S26" s="334"/>
      <c r="T26" s="334"/>
      <c r="U26" s="334"/>
      <c r="V26" s="334"/>
      <c r="W26" s="334"/>
      <c r="X26" s="334"/>
      <c r="Y26" s="334" t="str">
        <f>IFERROR(VLOOKUP(VALUE(Y$16&amp;TEXT($AN26,"00")),DBPCFA!$AL:$AM,2,FALSE),"")</f>
        <v/>
      </c>
      <c r="Z26" s="334"/>
      <c r="AA26" s="334"/>
      <c r="AB26" s="334"/>
      <c r="AC26" s="334"/>
      <c r="AD26" s="334"/>
      <c r="AE26" s="334"/>
      <c r="AF26" s="334" t="str">
        <f>IFERROR(VLOOKUP(VALUE(AF$16&amp;TEXT($AN26,"00")),DBPCFA!$AL:$AM,2,FALSE),"")</f>
        <v/>
      </c>
      <c r="AG26" s="334"/>
      <c r="AH26" s="334"/>
      <c r="AI26" s="334"/>
      <c r="AJ26" s="334"/>
      <c r="AK26" s="334"/>
      <c r="AL26" s="334"/>
      <c r="AN26" s="295">
        <v>10</v>
      </c>
      <c r="AO26" s="320">
        <v>2024</v>
      </c>
    </row>
    <row r="27" spans="2:41">
      <c r="B27" s="340" t="s">
        <v>221</v>
      </c>
      <c r="C27" s="340" t="s">
        <v>221</v>
      </c>
      <c r="D27" s="340"/>
      <c r="E27" s="340"/>
      <c r="F27" s="340"/>
      <c r="G27" s="340"/>
      <c r="H27" s="340"/>
      <c r="I27" s="340"/>
      <c r="J27" s="340"/>
      <c r="K27" s="334" t="str">
        <f>IFERROR(VLOOKUP(VALUE(K$16&amp;TEXT($AN27,"00")),DBPCFA!$AL:$AM,2,FALSE),"")</f>
        <v/>
      </c>
      <c r="L27" s="334"/>
      <c r="M27" s="334"/>
      <c r="N27" s="334"/>
      <c r="O27" s="334"/>
      <c r="P27" s="334"/>
      <c r="Q27" s="334"/>
      <c r="R27" s="334" t="str">
        <f>IFERROR(VLOOKUP(VALUE(R$16&amp;TEXT($AN27,"00")),DBPCFA!$AL:$AM,2,FALSE),"")</f>
        <v/>
      </c>
      <c r="S27" s="334"/>
      <c r="T27" s="334"/>
      <c r="U27" s="334"/>
      <c r="V27" s="334"/>
      <c r="W27" s="334"/>
      <c r="X27" s="334"/>
      <c r="Y27" s="334" t="str">
        <f>IFERROR(VLOOKUP(VALUE(Y$16&amp;TEXT($AN27,"00")),DBPCFA!$AL:$AM,2,FALSE),"")</f>
        <v/>
      </c>
      <c r="Z27" s="334"/>
      <c r="AA27" s="334"/>
      <c r="AB27" s="334"/>
      <c r="AC27" s="334"/>
      <c r="AD27" s="334"/>
      <c r="AE27" s="334"/>
      <c r="AF27" s="334" t="str">
        <f>IFERROR(VLOOKUP(VALUE(AF$16&amp;TEXT($AN27,"00")),DBPCFA!$AL:$AM,2,FALSE),"")</f>
        <v/>
      </c>
      <c r="AG27" s="334"/>
      <c r="AH27" s="334"/>
      <c r="AI27" s="334"/>
      <c r="AJ27" s="334"/>
      <c r="AK27" s="334"/>
      <c r="AL27" s="334"/>
      <c r="AN27" s="295">
        <v>11</v>
      </c>
      <c r="AO27" s="320">
        <v>2025</v>
      </c>
    </row>
    <row r="28" spans="2:41">
      <c r="B28" s="340" t="s">
        <v>220</v>
      </c>
      <c r="C28" s="340" t="s">
        <v>220</v>
      </c>
      <c r="D28" s="340"/>
      <c r="E28" s="340"/>
      <c r="F28" s="340"/>
      <c r="G28" s="340"/>
      <c r="H28" s="340"/>
      <c r="I28" s="340"/>
      <c r="J28" s="340"/>
      <c r="K28" s="334" t="str">
        <f>IFERROR(VLOOKUP(VALUE(K$16&amp;TEXT($AN28,"00")),DBPCFA!$AL:$AM,2,FALSE),"")</f>
        <v/>
      </c>
      <c r="L28" s="334"/>
      <c r="M28" s="334"/>
      <c r="N28" s="334"/>
      <c r="O28" s="334"/>
      <c r="P28" s="334"/>
      <c r="Q28" s="334"/>
      <c r="R28" s="334" t="str">
        <f>IFERROR(VLOOKUP(VALUE(R$16&amp;TEXT($AN28,"00")),DBPCFA!$AL:$AM,2,FALSE),"")</f>
        <v/>
      </c>
      <c r="S28" s="334"/>
      <c r="T28" s="334"/>
      <c r="U28" s="334"/>
      <c r="V28" s="334"/>
      <c r="W28" s="334"/>
      <c r="X28" s="334"/>
      <c r="Y28" s="334" t="str">
        <f>IFERROR(VLOOKUP(VALUE(Y$16&amp;TEXT($AN28,"00")),DBPCFA!$AL:$AM,2,FALSE),"")</f>
        <v/>
      </c>
      <c r="Z28" s="334"/>
      <c r="AA28" s="334"/>
      <c r="AB28" s="334"/>
      <c r="AC28" s="334"/>
      <c r="AD28" s="334"/>
      <c r="AE28" s="334"/>
      <c r="AF28" s="334" t="str">
        <f>IFERROR(VLOOKUP(VALUE(AF$16&amp;TEXT($AN28,"00")),DBPCFA!$AL:$AM,2,FALSE),"")</f>
        <v/>
      </c>
      <c r="AG28" s="334"/>
      <c r="AH28" s="334"/>
      <c r="AI28" s="334"/>
      <c r="AJ28" s="334"/>
      <c r="AK28" s="334"/>
      <c r="AL28" s="334"/>
      <c r="AN28" s="295">
        <v>12</v>
      </c>
      <c r="AO28" s="320">
        <v>2026</v>
      </c>
    </row>
    <row r="29" spans="2:41">
      <c r="B29" s="299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298"/>
      <c r="Y29" s="298"/>
      <c r="Z29" s="298"/>
      <c r="AA29" s="298"/>
      <c r="AB29" s="298"/>
      <c r="AC29" s="298"/>
      <c r="AD29" s="298"/>
      <c r="AE29" s="33"/>
      <c r="AF29" s="33"/>
      <c r="AG29" s="33"/>
      <c r="AH29" s="33"/>
      <c r="AI29" s="33"/>
      <c r="AJ29" s="33"/>
      <c r="AK29" s="33"/>
      <c r="AL29" s="33"/>
      <c r="AO29" s="320">
        <v>2027</v>
      </c>
    </row>
    <row r="30" spans="2:41">
      <c r="B30" s="299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6" t="s">
        <v>259</v>
      </c>
      <c r="AE30" s="337"/>
      <c r="AF30" s="329">
        <f>SUM(K17:AL28)</f>
        <v>0</v>
      </c>
      <c r="AG30" s="330"/>
      <c r="AH30" s="330"/>
      <c r="AI30" s="330"/>
      <c r="AJ30" s="330"/>
      <c r="AK30" s="330"/>
      <c r="AL30" s="331"/>
      <c r="AO30" s="320">
        <v>2028</v>
      </c>
    </row>
    <row r="31" spans="2:41">
      <c r="B31" s="299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298"/>
      <c r="AG31" s="298"/>
      <c r="AH31" s="298"/>
      <c r="AI31" s="298"/>
      <c r="AJ31" s="298"/>
      <c r="AK31" s="298"/>
      <c r="AL31" s="298"/>
      <c r="AO31" s="320">
        <v>2029</v>
      </c>
    </row>
    <row r="32" spans="2:41">
      <c r="B32" s="300" t="s">
        <v>258</v>
      </c>
      <c r="C32" s="33" t="s">
        <v>255</v>
      </c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298"/>
      <c r="AG32" s="298"/>
      <c r="AH32" s="298"/>
      <c r="AI32" s="298"/>
      <c r="AJ32" s="298"/>
      <c r="AK32" s="298"/>
      <c r="AL32" s="298"/>
      <c r="AO32" s="320">
        <v>2030</v>
      </c>
    </row>
    <row r="33" spans="2:38">
      <c r="B33" s="299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298"/>
      <c r="AG33" s="298"/>
      <c r="AH33" s="298"/>
      <c r="AI33" s="298"/>
      <c r="AJ33" s="298"/>
      <c r="AK33" s="298"/>
      <c r="AL33" s="298"/>
    </row>
    <row r="34" spans="2:38">
      <c r="B34" s="299"/>
      <c r="C34" s="33" t="s">
        <v>254</v>
      </c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298"/>
      <c r="AG34" s="298"/>
      <c r="AH34" s="298"/>
      <c r="AI34" s="298"/>
      <c r="AJ34" s="298"/>
      <c r="AK34" s="298"/>
      <c r="AL34" s="298"/>
    </row>
    <row r="35" spans="2:38">
      <c r="B35" s="299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298"/>
      <c r="AG35" s="298"/>
      <c r="AH35" s="298"/>
      <c r="AI35" s="298"/>
      <c r="AJ35" s="298"/>
      <c r="AK35" s="298"/>
      <c r="AL35" s="298"/>
    </row>
    <row r="36" spans="2:38">
      <c r="B36" s="299"/>
      <c r="C36" s="33" t="s">
        <v>256</v>
      </c>
      <c r="D36" s="33" t="s">
        <v>257</v>
      </c>
      <c r="E36" s="33"/>
      <c r="F36" s="33"/>
      <c r="G36" s="33"/>
      <c r="H36" s="33"/>
      <c r="I36" s="33"/>
      <c r="J36" s="33"/>
      <c r="K36" s="33"/>
      <c r="L36" s="33"/>
      <c r="M36" s="327">
        <v>5</v>
      </c>
      <c r="N36" s="327"/>
      <c r="O36" s="327"/>
      <c r="P36" s="327"/>
      <c r="Q36" s="328" t="s">
        <v>260</v>
      </c>
      <c r="R36" s="328"/>
      <c r="S36" s="328"/>
      <c r="T36" s="328"/>
      <c r="U36" s="33"/>
      <c r="V36" s="33"/>
      <c r="W36" s="33"/>
      <c r="X36" s="33"/>
      <c r="Y36" s="332">
        <f>AF30*M36/100</f>
        <v>0</v>
      </c>
      <c r="Z36" s="332"/>
      <c r="AA36" s="332"/>
      <c r="AB36" s="332"/>
      <c r="AC36" s="332"/>
      <c r="AD36" s="332"/>
      <c r="AE36" s="33"/>
      <c r="AF36" s="298"/>
      <c r="AG36" s="298"/>
      <c r="AH36" s="298"/>
      <c r="AI36" s="298"/>
      <c r="AJ36" s="298"/>
      <c r="AK36" s="298"/>
      <c r="AL36" s="298"/>
    </row>
    <row r="37" spans="2:38">
      <c r="B37" s="299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296"/>
      <c r="Z37" s="296"/>
      <c r="AA37" s="296"/>
      <c r="AB37" s="296"/>
      <c r="AC37" s="296"/>
      <c r="AD37" s="296"/>
      <c r="AE37" s="33"/>
      <c r="AF37" s="298"/>
      <c r="AG37" s="298"/>
      <c r="AH37" s="298"/>
      <c r="AI37" s="298"/>
      <c r="AJ37" s="298"/>
      <c r="AK37" s="298"/>
      <c r="AL37" s="298"/>
    </row>
    <row r="38" spans="2:38">
      <c r="B38" s="299"/>
      <c r="C38" s="33"/>
      <c r="D38" s="33" t="s">
        <v>282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296"/>
      <c r="Z38" s="296"/>
      <c r="AA38" s="296"/>
      <c r="AB38" s="296"/>
      <c r="AC38" s="296"/>
      <c r="AD38" s="296"/>
      <c r="AE38" s="33"/>
      <c r="AF38" s="298"/>
      <c r="AG38" s="298"/>
      <c r="AH38" s="298"/>
      <c r="AI38" s="298"/>
      <c r="AJ38" s="298"/>
      <c r="AK38" s="298"/>
      <c r="AL38" s="298"/>
    </row>
    <row r="39" spans="2:38">
      <c r="B39" s="299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296"/>
      <c r="Z39" s="296"/>
      <c r="AA39" s="296"/>
      <c r="AB39" s="296"/>
      <c r="AC39" s="296"/>
      <c r="AD39" s="296"/>
      <c r="AE39" s="33"/>
      <c r="AF39" s="298"/>
      <c r="AG39" s="298"/>
      <c r="AH39" s="298"/>
      <c r="AI39" s="298"/>
      <c r="AJ39" s="298"/>
      <c r="AK39" s="298"/>
      <c r="AL39" s="298"/>
    </row>
    <row r="40" spans="2:38">
      <c r="B40" s="299"/>
      <c r="C40" s="33"/>
      <c r="D40" s="33"/>
      <c r="E40" s="33"/>
      <c r="F40" s="33"/>
      <c r="G40" s="33"/>
      <c r="H40" s="33"/>
      <c r="I40" s="33"/>
      <c r="J40" s="297"/>
      <c r="K40" s="297"/>
      <c r="L40" s="297"/>
      <c r="M40" s="327"/>
      <c r="N40" s="327"/>
      <c r="O40" s="327"/>
      <c r="P40" s="327"/>
      <c r="Q40" s="328" t="s">
        <v>261</v>
      </c>
      <c r="R40" s="328"/>
      <c r="S40" s="328"/>
      <c r="T40" s="326"/>
      <c r="U40" s="326"/>
      <c r="V40" s="326"/>
      <c r="W40" s="326"/>
      <c r="X40" s="301" t="s">
        <v>262</v>
      </c>
      <c r="Y40" s="332"/>
      <c r="Z40" s="332"/>
      <c r="AA40" s="332"/>
      <c r="AB40" s="332"/>
      <c r="AC40" s="332"/>
      <c r="AD40" s="332"/>
      <c r="AE40" s="33"/>
      <c r="AF40" s="298"/>
      <c r="AG40" s="298"/>
      <c r="AH40" s="298"/>
      <c r="AI40" s="298"/>
      <c r="AJ40" s="298"/>
      <c r="AK40" s="298"/>
      <c r="AL40" s="298"/>
    </row>
    <row r="41" spans="2:38">
      <c r="B41" s="299"/>
      <c r="C41" s="33"/>
      <c r="D41" s="33"/>
      <c r="E41" s="33"/>
      <c r="F41" s="33"/>
      <c r="G41" s="33"/>
      <c r="H41" s="33"/>
      <c r="I41" s="33"/>
      <c r="J41" s="297"/>
      <c r="K41" s="297"/>
      <c r="L41" s="297"/>
      <c r="M41" s="327"/>
      <c r="N41" s="327"/>
      <c r="O41" s="327"/>
      <c r="P41" s="327"/>
      <c r="Q41" s="328" t="s">
        <v>261</v>
      </c>
      <c r="R41" s="328"/>
      <c r="S41" s="328"/>
      <c r="T41" s="326"/>
      <c r="U41" s="326"/>
      <c r="V41" s="326"/>
      <c r="W41" s="326"/>
      <c r="X41" s="301" t="s">
        <v>262</v>
      </c>
      <c r="Y41" s="332"/>
      <c r="Z41" s="332"/>
      <c r="AA41" s="332"/>
      <c r="AB41" s="332"/>
      <c r="AC41" s="332"/>
      <c r="AD41" s="332"/>
      <c r="AE41" s="33"/>
      <c r="AF41" s="298"/>
      <c r="AG41" s="298"/>
      <c r="AH41" s="298"/>
      <c r="AI41" s="298"/>
      <c r="AJ41" s="298"/>
      <c r="AK41" s="298"/>
      <c r="AL41" s="298"/>
    </row>
    <row r="42" spans="2:38">
      <c r="B42" s="299"/>
      <c r="C42" s="33"/>
      <c r="D42" s="33"/>
      <c r="E42" s="33"/>
      <c r="F42" s="33"/>
      <c r="G42" s="33"/>
      <c r="H42" s="33"/>
      <c r="I42" s="33"/>
      <c r="J42" s="297"/>
      <c r="K42" s="297"/>
      <c r="L42" s="297"/>
      <c r="M42" s="327"/>
      <c r="N42" s="327"/>
      <c r="O42" s="327"/>
      <c r="P42" s="327"/>
      <c r="Q42" s="328" t="s">
        <v>261</v>
      </c>
      <c r="R42" s="328"/>
      <c r="S42" s="328"/>
      <c r="T42" s="326"/>
      <c r="U42" s="326"/>
      <c r="V42" s="326"/>
      <c r="W42" s="326"/>
      <c r="X42" s="301" t="s">
        <v>262</v>
      </c>
      <c r="Y42" s="332"/>
      <c r="Z42" s="332"/>
      <c r="AA42" s="332"/>
      <c r="AB42" s="332"/>
      <c r="AC42" s="332"/>
      <c r="AD42" s="332"/>
      <c r="AE42" s="33"/>
      <c r="AF42" s="298"/>
      <c r="AG42" s="298"/>
      <c r="AH42" s="298"/>
      <c r="AI42" s="298"/>
      <c r="AJ42" s="298"/>
      <c r="AK42" s="298"/>
      <c r="AL42" s="298"/>
    </row>
    <row r="43" spans="2:38">
      <c r="B43" s="299"/>
      <c r="C43" s="33"/>
      <c r="D43" s="33"/>
      <c r="E43" s="33"/>
      <c r="F43" s="33"/>
      <c r="G43" s="33"/>
      <c r="H43" s="33"/>
      <c r="I43" s="33"/>
      <c r="J43" s="297"/>
      <c r="K43" s="297"/>
      <c r="L43" s="297"/>
      <c r="M43" s="327"/>
      <c r="N43" s="327"/>
      <c r="O43" s="327"/>
      <c r="P43" s="327"/>
      <c r="Q43" s="328" t="s">
        <v>261</v>
      </c>
      <c r="R43" s="328"/>
      <c r="S43" s="328"/>
      <c r="T43" s="326"/>
      <c r="U43" s="326"/>
      <c r="V43" s="326"/>
      <c r="W43" s="326"/>
      <c r="X43" s="301" t="s">
        <v>262</v>
      </c>
      <c r="Y43" s="332"/>
      <c r="Z43" s="332"/>
      <c r="AA43" s="332"/>
      <c r="AB43" s="332"/>
      <c r="AC43" s="332"/>
      <c r="AD43" s="332"/>
      <c r="AE43" s="33"/>
      <c r="AF43" s="298"/>
      <c r="AG43" s="298"/>
      <c r="AH43" s="298"/>
      <c r="AI43" s="298"/>
      <c r="AJ43" s="298"/>
      <c r="AK43" s="298"/>
      <c r="AL43" s="298"/>
    </row>
    <row r="44" spans="2:38">
      <c r="B44" s="299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296"/>
      <c r="Z44" s="296"/>
      <c r="AA44" s="296"/>
      <c r="AB44" s="296"/>
      <c r="AC44" s="296"/>
      <c r="AD44" s="296"/>
      <c r="AE44" s="33"/>
      <c r="AF44" s="298"/>
      <c r="AG44" s="298"/>
      <c r="AH44" s="298"/>
      <c r="AI44" s="298"/>
      <c r="AJ44" s="298"/>
      <c r="AK44" s="298"/>
      <c r="AL44" s="298"/>
    </row>
    <row r="45" spans="2:38">
      <c r="B45" s="299"/>
      <c r="C45" s="33" t="s">
        <v>263</v>
      </c>
      <c r="D45" s="33" t="s">
        <v>267</v>
      </c>
      <c r="E45" s="33"/>
      <c r="F45" s="33"/>
      <c r="G45" s="33"/>
      <c r="H45" s="33"/>
      <c r="I45" s="33"/>
      <c r="J45" s="33"/>
      <c r="K45" s="33"/>
      <c r="L45" s="33"/>
      <c r="M45" s="327">
        <v>1</v>
      </c>
      <c r="N45" s="327"/>
      <c r="O45" s="327"/>
      <c r="P45" s="327"/>
      <c r="Q45" s="328" t="s">
        <v>260</v>
      </c>
      <c r="R45" s="328"/>
      <c r="S45" s="328"/>
      <c r="T45" s="328"/>
      <c r="U45" s="33"/>
      <c r="V45" s="33"/>
      <c r="W45" s="33"/>
      <c r="X45" s="301"/>
      <c r="Y45" s="332">
        <f>AF30*M45/100</f>
        <v>0</v>
      </c>
      <c r="Z45" s="332"/>
      <c r="AA45" s="332"/>
      <c r="AB45" s="332"/>
      <c r="AC45" s="332"/>
      <c r="AD45" s="332"/>
      <c r="AE45" s="33"/>
      <c r="AF45" s="298"/>
      <c r="AG45" s="298"/>
      <c r="AH45" s="298"/>
      <c r="AI45" s="298"/>
      <c r="AJ45" s="298"/>
      <c r="AK45" s="298"/>
      <c r="AL45" s="298"/>
    </row>
    <row r="46" spans="2:38">
      <c r="B46" s="299"/>
      <c r="C46" s="33" t="s">
        <v>264</v>
      </c>
      <c r="D46" s="33" t="s">
        <v>268</v>
      </c>
      <c r="E46" s="33"/>
      <c r="F46" s="33"/>
      <c r="G46" s="33"/>
      <c r="H46" s="33"/>
      <c r="I46" s="33"/>
      <c r="J46" s="33"/>
      <c r="K46" s="33"/>
      <c r="L46" s="33"/>
      <c r="M46" s="327">
        <v>2</v>
      </c>
      <c r="N46" s="327"/>
      <c r="O46" s="327"/>
      <c r="P46" s="327"/>
      <c r="Q46" s="328" t="s">
        <v>260</v>
      </c>
      <c r="R46" s="328"/>
      <c r="S46" s="328"/>
      <c r="T46" s="328"/>
      <c r="U46" s="33"/>
      <c r="V46" s="33"/>
      <c r="W46" s="33"/>
      <c r="X46" s="301"/>
      <c r="Y46" s="332">
        <f>AF30*M46/100</f>
        <v>0</v>
      </c>
      <c r="Z46" s="332"/>
      <c r="AA46" s="332"/>
      <c r="AB46" s="332"/>
      <c r="AC46" s="332"/>
      <c r="AD46" s="332"/>
      <c r="AE46" s="33"/>
      <c r="AF46" s="298"/>
      <c r="AG46" s="298"/>
      <c r="AH46" s="298"/>
      <c r="AI46" s="298"/>
      <c r="AJ46" s="298"/>
      <c r="AK46" s="298"/>
      <c r="AL46" s="298"/>
    </row>
    <row r="47" spans="2:38">
      <c r="B47" s="299"/>
      <c r="C47" s="33" t="s">
        <v>265</v>
      </c>
      <c r="D47" s="33" t="s">
        <v>269</v>
      </c>
      <c r="E47" s="33"/>
      <c r="F47" s="33"/>
      <c r="G47" s="33"/>
      <c r="H47" s="33"/>
      <c r="I47" s="33"/>
      <c r="J47" s="33"/>
      <c r="K47" s="33"/>
      <c r="L47" s="33"/>
      <c r="M47" s="327">
        <v>1</v>
      </c>
      <c r="N47" s="327"/>
      <c r="O47" s="327"/>
      <c r="P47" s="327"/>
      <c r="Q47" s="328" t="s">
        <v>273</v>
      </c>
      <c r="R47" s="328"/>
      <c r="S47" s="328"/>
      <c r="T47" s="328"/>
      <c r="U47" s="33"/>
      <c r="V47" s="33"/>
      <c r="W47" s="33"/>
      <c r="X47" s="301"/>
      <c r="Y47" s="332">
        <f>AF30*0.001</f>
        <v>0</v>
      </c>
      <c r="Z47" s="332"/>
      <c r="AA47" s="332"/>
      <c r="AB47" s="332"/>
      <c r="AC47" s="332"/>
      <c r="AD47" s="332"/>
      <c r="AE47" s="33"/>
      <c r="AF47" s="298"/>
      <c r="AG47" s="298"/>
      <c r="AH47" s="298"/>
      <c r="AI47" s="298"/>
      <c r="AJ47" s="298"/>
      <c r="AK47" s="298"/>
      <c r="AL47" s="298"/>
    </row>
    <row r="48" spans="2:38">
      <c r="B48" s="299"/>
      <c r="C48" s="33" t="s">
        <v>266</v>
      </c>
      <c r="D48" s="33" t="s">
        <v>270</v>
      </c>
      <c r="E48" s="33"/>
      <c r="F48" s="33"/>
      <c r="G48" s="33"/>
      <c r="H48" s="33"/>
      <c r="I48" s="33"/>
      <c r="J48" s="33"/>
      <c r="K48" s="33"/>
      <c r="L48" s="33"/>
      <c r="M48" s="327"/>
      <c r="N48" s="327"/>
      <c r="O48" s="327"/>
      <c r="P48" s="327"/>
      <c r="Q48" s="328" t="s">
        <v>260</v>
      </c>
      <c r="R48" s="328"/>
      <c r="S48" s="328"/>
      <c r="T48" s="328"/>
      <c r="U48" s="33"/>
      <c r="V48" s="33"/>
      <c r="W48" s="33"/>
      <c r="X48" s="301"/>
      <c r="Y48" s="332"/>
      <c r="Z48" s="332"/>
      <c r="AA48" s="332"/>
      <c r="AB48" s="332"/>
      <c r="AC48" s="332"/>
      <c r="AD48" s="332"/>
      <c r="AE48" s="33"/>
      <c r="AF48" s="298"/>
      <c r="AG48" s="298"/>
      <c r="AH48" s="298"/>
      <c r="AI48" s="298"/>
      <c r="AJ48" s="298"/>
      <c r="AK48" s="298"/>
      <c r="AL48" s="298"/>
    </row>
    <row r="49" spans="2:38">
      <c r="B49" s="299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298"/>
      <c r="AG49" s="298"/>
      <c r="AH49" s="298"/>
      <c r="AI49" s="298"/>
      <c r="AJ49" s="298"/>
      <c r="AK49" s="298"/>
      <c r="AL49" s="298"/>
    </row>
    <row r="50" spans="2:38">
      <c r="B50" s="300" t="s">
        <v>271</v>
      </c>
      <c r="C50" s="33" t="s">
        <v>272</v>
      </c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29">
        <f>SUM(Y36:Y48)</f>
        <v>0</v>
      </c>
      <c r="AG50" s="330"/>
      <c r="AH50" s="330"/>
      <c r="AI50" s="330"/>
      <c r="AJ50" s="330"/>
      <c r="AK50" s="330"/>
      <c r="AL50" s="331"/>
    </row>
    <row r="51" spans="2:38">
      <c r="B51" s="299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298"/>
      <c r="AG51" s="298"/>
      <c r="AH51" s="298"/>
      <c r="AI51" s="298"/>
      <c r="AJ51" s="298"/>
      <c r="AK51" s="298"/>
      <c r="AL51" s="298"/>
    </row>
    <row r="52" spans="2:38">
      <c r="B52" s="300" t="s">
        <v>274</v>
      </c>
      <c r="C52" s="33" t="s">
        <v>275</v>
      </c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2">
        <f>AF50*0.1</f>
        <v>0</v>
      </c>
      <c r="AG52" s="332"/>
      <c r="AH52" s="332"/>
      <c r="AI52" s="332"/>
      <c r="AJ52" s="332"/>
      <c r="AK52" s="332"/>
      <c r="AL52" s="332"/>
    </row>
    <row r="53" spans="2:38">
      <c r="B53" s="299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298"/>
      <c r="AG53" s="298"/>
      <c r="AH53" s="298"/>
      <c r="AI53" s="298"/>
      <c r="AJ53" s="298"/>
      <c r="AK53" s="298"/>
      <c r="AL53" s="298"/>
    </row>
    <row r="54" spans="2:38">
      <c r="B54" s="300" t="s">
        <v>276</v>
      </c>
      <c r="C54" s="302" t="s">
        <v>277</v>
      </c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29">
        <f>AF30+AF50+AF52</f>
        <v>0</v>
      </c>
      <c r="AG54" s="330"/>
      <c r="AH54" s="330"/>
      <c r="AI54" s="330"/>
      <c r="AJ54" s="330"/>
      <c r="AK54" s="330"/>
      <c r="AL54" s="331"/>
    </row>
    <row r="55" spans="2:38"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298"/>
      <c r="AG55" s="298"/>
      <c r="AH55" s="298"/>
      <c r="AI55" s="298"/>
      <c r="AJ55" s="298"/>
      <c r="AK55" s="298"/>
      <c r="AL55" s="298"/>
    </row>
    <row r="56" spans="2:38"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298"/>
      <c r="AG56" s="298"/>
      <c r="AH56" s="298"/>
      <c r="AI56" s="298"/>
      <c r="AJ56" s="298"/>
      <c r="AK56" s="298"/>
      <c r="AL56" s="298"/>
    </row>
    <row r="57" spans="2:38">
      <c r="B57" s="333" t="s">
        <v>280</v>
      </c>
      <c r="C57" s="333"/>
      <c r="D57" s="333"/>
      <c r="E57" s="333"/>
      <c r="F57" s="333"/>
      <c r="G57" s="333"/>
      <c r="H57" s="333"/>
      <c r="I57" s="333"/>
      <c r="J57" s="333"/>
      <c r="K57" s="333"/>
      <c r="L57" s="333"/>
      <c r="M57" s="33"/>
      <c r="N57" s="33"/>
      <c r="O57" s="333" t="s">
        <v>279</v>
      </c>
      <c r="P57" s="333"/>
      <c r="Q57" s="333"/>
      <c r="R57" s="333"/>
      <c r="S57" s="333"/>
      <c r="T57" s="333"/>
      <c r="U57" s="333"/>
      <c r="V57" s="333"/>
      <c r="W57" s="333"/>
      <c r="X57" s="333"/>
      <c r="Y57" s="333"/>
      <c r="Z57" s="33"/>
      <c r="AA57" s="33"/>
      <c r="AB57" s="333" t="s">
        <v>278</v>
      </c>
      <c r="AC57" s="333"/>
      <c r="AD57" s="333"/>
      <c r="AE57" s="333"/>
      <c r="AF57" s="333"/>
      <c r="AG57" s="333"/>
      <c r="AH57" s="333"/>
      <c r="AI57" s="333"/>
      <c r="AJ57" s="333"/>
      <c r="AK57" s="333"/>
      <c r="AL57" s="333"/>
    </row>
    <row r="58" spans="2:38"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298"/>
      <c r="AG58" s="298"/>
      <c r="AH58" s="298"/>
      <c r="AI58" s="298"/>
      <c r="AJ58" s="298"/>
      <c r="AK58" s="298"/>
      <c r="AL58" s="298"/>
    </row>
    <row r="59" spans="2:38">
      <c r="B59" s="328"/>
      <c r="C59" s="328"/>
      <c r="D59" s="328"/>
      <c r="E59" s="328"/>
      <c r="F59" s="328"/>
      <c r="G59" s="328"/>
      <c r="H59" s="328"/>
      <c r="I59" s="328"/>
      <c r="J59" s="328"/>
      <c r="K59" s="328"/>
      <c r="L59" s="328"/>
      <c r="M59" s="33"/>
      <c r="N59" s="33"/>
      <c r="O59" s="328"/>
      <c r="P59" s="328"/>
      <c r="Q59" s="328"/>
      <c r="R59" s="328"/>
      <c r="S59" s="328"/>
      <c r="T59" s="328"/>
      <c r="U59" s="328"/>
      <c r="V59" s="328"/>
      <c r="W59" s="328"/>
      <c r="X59" s="328"/>
      <c r="Y59" s="328"/>
      <c r="Z59" s="33"/>
      <c r="AA59" s="33"/>
      <c r="AB59" s="328"/>
      <c r="AC59" s="328"/>
      <c r="AD59" s="328"/>
      <c r="AE59" s="328"/>
      <c r="AF59" s="328"/>
      <c r="AG59" s="328"/>
      <c r="AH59" s="328"/>
      <c r="AI59" s="328"/>
      <c r="AJ59" s="328"/>
      <c r="AK59" s="328"/>
      <c r="AL59" s="328"/>
    </row>
    <row r="60" spans="2:38">
      <c r="B60" s="335" t="s">
        <v>86</v>
      </c>
      <c r="C60" s="335"/>
      <c r="D60" s="335"/>
      <c r="E60" s="335"/>
      <c r="F60" s="335"/>
      <c r="G60" s="335"/>
      <c r="H60" s="335"/>
      <c r="I60" s="335"/>
      <c r="J60" s="335"/>
      <c r="K60" s="335"/>
      <c r="L60" s="335"/>
      <c r="M60" s="6"/>
      <c r="N60" s="6"/>
      <c r="O60" s="335" t="s">
        <v>281</v>
      </c>
      <c r="P60" s="335"/>
      <c r="Q60" s="335"/>
      <c r="R60" s="335"/>
      <c r="S60" s="335"/>
      <c r="T60" s="335"/>
      <c r="U60" s="335"/>
      <c r="V60" s="335"/>
      <c r="W60" s="335"/>
      <c r="X60" s="335"/>
      <c r="Y60" s="335"/>
      <c r="Z60" s="6"/>
      <c r="AA60" s="6"/>
      <c r="AB60" s="335" t="s">
        <v>88</v>
      </c>
      <c r="AC60" s="335"/>
      <c r="AD60" s="335"/>
      <c r="AE60" s="335"/>
      <c r="AF60" s="335"/>
      <c r="AG60" s="335"/>
      <c r="AH60" s="335"/>
      <c r="AI60" s="335"/>
      <c r="AJ60" s="335"/>
      <c r="AK60" s="335"/>
      <c r="AL60" s="335"/>
    </row>
    <row r="61" spans="2:38">
      <c r="AF61" s="294"/>
      <c r="AG61" s="294"/>
      <c r="AH61" s="294"/>
      <c r="AI61" s="294"/>
      <c r="AJ61" s="294"/>
      <c r="AK61" s="294"/>
      <c r="AL61" s="294"/>
    </row>
    <row r="62" spans="2:38">
      <c r="AF62" s="294"/>
      <c r="AG62" s="294"/>
      <c r="AH62" s="294"/>
      <c r="AI62" s="294"/>
      <c r="AJ62" s="294"/>
      <c r="AK62" s="294"/>
      <c r="AL62" s="294"/>
    </row>
    <row r="63" spans="2:38">
      <c r="AF63" s="294"/>
      <c r="AG63" s="294"/>
      <c r="AH63" s="294"/>
      <c r="AI63" s="294"/>
      <c r="AJ63" s="294"/>
      <c r="AK63" s="294"/>
      <c r="AL63" s="294"/>
    </row>
    <row r="64" spans="2:38">
      <c r="AF64" s="294"/>
      <c r="AG64" s="294"/>
      <c r="AH64" s="294"/>
      <c r="AI64" s="294"/>
      <c r="AJ64" s="294"/>
      <c r="AK64" s="294"/>
      <c r="AL64" s="294"/>
    </row>
    <row r="65" spans="32:38">
      <c r="AF65" s="294"/>
      <c r="AG65" s="294"/>
      <c r="AH65" s="294"/>
      <c r="AI65" s="294"/>
      <c r="AJ65" s="294"/>
      <c r="AK65" s="294"/>
      <c r="AL65" s="294"/>
    </row>
    <row r="66" spans="32:38">
      <c r="AF66" s="294"/>
      <c r="AG66" s="294"/>
      <c r="AH66" s="294"/>
      <c r="AI66" s="294"/>
      <c r="AJ66" s="294"/>
      <c r="AK66" s="294"/>
      <c r="AL66" s="294"/>
    </row>
    <row r="67" spans="32:38">
      <c r="AF67" s="294"/>
      <c r="AG67" s="294"/>
      <c r="AH67" s="294"/>
      <c r="AI67" s="294"/>
      <c r="AJ67" s="294"/>
      <c r="AK67" s="294"/>
      <c r="AL67" s="294"/>
    </row>
    <row r="68" spans="32:38">
      <c r="AF68" s="294"/>
      <c r="AG68" s="294"/>
      <c r="AH68" s="294"/>
      <c r="AI68" s="294"/>
      <c r="AJ68" s="294"/>
      <c r="AK68" s="294"/>
      <c r="AL68" s="294"/>
    </row>
    <row r="69" spans="32:38">
      <c r="AF69" s="294"/>
      <c r="AG69" s="294"/>
      <c r="AH69" s="294"/>
      <c r="AI69" s="294"/>
      <c r="AJ69" s="294"/>
      <c r="AK69" s="294"/>
      <c r="AL69" s="294"/>
    </row>
    <row r="70" spans="32:38">
      <c r="AF70" s="294"/>
      <c r="AG70" s="294"/>
      <c r="AH70" s="294"/>
      <c r="AI70" s="294"/>
      <c r="AJ70" s="294"/>
      <c r="AK70" s="294"/>
      <c r="AL70" s="294"/>
    </row>
    <row r="71" spans="32:38">
      <c r="AF71" s="294"/>
      <c r="AG71" s="294"/>
      <c r="AH71" s="294"/>
      <c r="AI71" s="294"/>
      <c r="AJ71" s="294"/>
      <c r="AK71" s="294"/>
      <c r="AL71" s="294"/>
    </row>
    <row r="72" spans="32:38">
      <c r="AF72" s="294"/>
      <c r="AG72" s="294"/>
      <c r="AH72" s="294"/>
      <c r="AI72" s="294"/>
      <c r="AJ72" s="294"/>
      <c r="AK72" s="294"/>
      <c r="AL72" s="294"/>
    </row>
    <row r="73" spans="32:38">
      <c r="AF73" s="294"/>
      <c r="AG73" s="294"/>
      <c r="AH73" s="294"/>
      <c r="AI73" s="294"/>
      <c r="AJ73" s="294"/>
      <c r="AK73" s="294"/>
      <c r="AL73" s="294"/>
    </row>
    <row r="74" spans="32:38">
      <c r="AF74" s="294"/>
      <c r="AG74" s="294"/>
      <c r="AH74" s="294"/>
      <c r="AI74" s="294"/>
      <c r="AJ74" s="294"/>
      <c r="AK74" s="294"/>
      <c r="AL74" s="294"/>
    </row>
    <row r="75" spans="32:38">
      <c r="AF75" s="294"/>
      <c r="AG75" s="294"/>
      <c r="AH75" s="294"/>
      <c r="AI75" s="294"/>
      <c r="AJ75" s="294"/>
      <c r="AK75" s="294"/>
      <c r="AL75" s="294"/>
    </row>
    <row r="76" spans="32:38">
      <c r="AF76" s="294"/>
      <c r="AG76" s="294"/>
      <c r="AH76" s="294"/>
      <c r="AI76" s="294"/>
      <c r="AJ76" s="294"/>
      <c r="AK76" s="294"/>
      <c r="AL76" s="294"/>
    </row>
    <row r="77" spans="32:38">
      <c r="AF77" s="294"/>
      <c r="AG77" s="294"/>
      <c r="AH77" s="294"/>
      <c r="AI77" s="294"/>
      <c r="AJ77" s="294"/>
      <c r="AK77" s="294"/>
      <c r="AL77" s="294"/>
    </row>
    <row r="78" spans="32:38">
      <c r="AF78" s="294"/>
      <c r="AG78" s="294"/>
      <c r="AH78" s="294"/>
      <c r="AI78" s="294"/>
      <c r="AJ78" s="294"/>
      <c r="AK78" s="294"/>
      <c r="AL78" s="294"/>
    </row>
    <row r="79" spans="32:38">
      <c r="AF79" s="294"/>
      <c r="AG79" s="294"/>
      <c r="AH79" s="294"/>
      <c r="AI79" s="294"/>
      <c r="AJ79" s="294"/>
      <c r="AK79" s="294"/>
      <c r="AL79" s="294"/>
    </row>
    <row r="80" spans="32:38">
      <c r="AF80" s="294"/>
      <c r="AG80" s="294"/>
      <c r="AH80" s="294"/>
      <c r="AI80" s="294"/>
      <c r="AJ80" s="294"/>
      <c r="AK80" s="294"/>
      <c r="AL80" s="294"/>
    </row>
    <row r="81" spans="32:38">
      <c r="AF81" s="294"/>
      <c r="AG81" s="294"/>
      <c r="AH81" s="294"/>
      <c r="AI81" s="294"/>
      <c r="AJ81" s="294"/>
      <c r="AK81" s="294"/>
      <c r="AL81" s="294"/>
    </row>
    <row r="82" spans="32:38">
      <c r="AF82" s="294"/>
      <c r="AG82" s="294"/>
      <c r="AH82" s="294"/>
      <c r="AI82" s="294"/>
      <c r="AJ82" s="294"/>
      <c r="AK82" s="294"/>
      <c r="AL82" s="294"/>
    </row>
    <row r="83" spans="32:38">
      <c r="AF83" s="294"/>
      <c r="AG83" s="294"/>
      <c r="AH83" s="294"/>
      <c r="AI83" s="294"/>
      <c r="AJ83" s="294"/>
      <c r="AK83" s="294"/>
      <c r="AL83" s="294"/>
    </row>
    <row r="84" spans="32:38">
      <c r="AF84" s="294"/>
      <c r="AG84" s="294"/>
      <c r="AH84" s="294"/>
      <c r="AI84" s="294"/>
      <c r="AJ84" s="294"/>
      <c r="AK84" s="294"/>
      <c r="AL84" s="294"/>
    </row>
    <row r="85" spans="32:38">
      <c r="AF85" s="294"/>
      <c r="AG85" s="294"/>
      <c r="AH85" s="294"/>
      <c r="AI85" s="294"/>
      <c r="AJ85" s="294"/>
      <c r="AK85" s="294"/>
      <c r="AL85" s="294"/>
    </row>
    <row r="86" spans="32:38">
      <c r="AF86" s="294"/>
      <c r="AG86" s="294"/>
      <c r="AH86" s="294"/>
      <c r="AI86" s="294"/>
      <c r="AJ86" s="294"/>
      <c r="AK86" s="294"/>
      <c r="AL86" s="294"/>
    </row>
    <row r="87" spans="32:38">
      <c r="AF87" s="294"/>
      <c r="AG87" s="294"/>
      <c r="AH87" s="294"/>
      <c r="AI87" s="294"/>
      <c r="AJ87" s="294"/>
      <c r="AK87" s="294"/>
      <c r="AL87" s="294"/>
    </row>
    <row r="88" spans="32:38">
      <c r="AF88" s="294"/>
      <c r="AG88" s="294"/>
      <c r="AH88" s="294"/>
      <c r="AI88" s="294"/>
      <c r="AJ88" s="294"/>
      <c r="AK88" s="294"/>
      <c r="AL88" s="294"/>
    </row>
    <row r="89" spans="32:38">
      <c r="AF89" s="294"/>
      <c r="AG89" s="294"/>
      <c r="AH89" s="294"/>
      <c r="AI89" s="294"/>
      <c r="AJ89" s="294"/>
      <c r="AK89" s="294"/>
      <c r="AL89" s="294"/>
    </row>
    <row r="90" spans="32:38">
      <c r="AF90" s="294"/>
      <c r="AG90" s="294"/>
      <c r="AH90" s="294"/>
      <c r="AI90" s="294"/>
      <c r="AJ90" s="294"/>
      <c r="AK90" s="294"/>
      <c r="AL90" s="294"/>
    </row>
    <row r="91" spans="32:38">
      <c r="AF91" s="294"/>
      <c r="AG91" s="294"/>
      <c r="AH91" s="294"/>
      <c r="AI91" s="294"/>
      <c r="AJ91" s="294"/>
      <c r="AK91" s="294"/>
      <c r="AL91" s="294"/>
    </row>
  </sheetData>
  <sheetProtection algorithmName="SHA-512" hashValue="dRuuGq2e1bbEsiC9dklgYDu+H0rtCOXvGNihQ+XWpzQ3ORnI6LwEQspowaqDpRRB357dgmmlH7rJfq6R+BY6/w==" saltValue="gJpyvNTTDdu0dnoDgV7IzA==" spinCount="100000" sheet="1" objects="1" scenarios="1"/>
  <mergeCells count="120">
    <mergeCell ref="B23:J23"/>
    <mergeCell ref="B24:J24"/>
    <mergeCell ref="B25:J25"/>
    <mergeCell ref="Y40:AD40"/>
    <mergeCell ref="M40:P40"/>
    <mergeCell ref="Q40:S40"/>
    <mergeCell ref="R25:X25"/>
    <mergeCell ref="K19:Q19"/>
    <mergeCell ref="R19:X19"/>
    <mergeCell ref="Y19:AE19"/>
    <mergeCell ref="K22:Q22"/>
    <mergeCell ref="R22:X22"/>
    <mergeCell ref="Y22:AE22"/>
    <mergeCell ref="K25:Q25"/>
    <mergeCell ref="Y25:AE25"/>
    <mergeCell ref="B19:J19"/>
    <mergeCell ref="B20:J20"/>
    <mergeCell ref="B21:J21"/>
    <mergeCell ref="B22:J22"/>
    <mergeCell ref="K20:Q20"/>
    <mergeCell ref="R20:X20"/>
    <mergeCell ref="Y20:AE20"/>
    <mergeCell ref="K24:Q24"/>
    <mergeCell ref="R24:X24"/>
    <mergeCell ref="AF16:AL16"/>
    <mergeCell ref="K16:Q16"/>
    <mergeCell ref="R16:X16"/>
    <mergeCell ref="Y16:AE16"/>
    <mergeCell ref="B15:J16"/>
    <mergeCell ref="K15:AL15"/>
    <mergeCell ref="AF17:AL17"/>
    <mergeCell ref="K18:Q18"/>
    <mergeCell ref="R18:X18"/>
    <mergeCell ref="Y18:AE18"/>
    <mergeCell ref="AF18:AL18"/>
    <mergeCell ref="B17:J17"/>
    <mergeCell ref="B18:J18"/>
    <mergeCell ref="R17:X17"/>
    <mergeCell ref="Y17:AE17"/>
    <mergeCell ref="K17:Q17"/>
    <mergeCell ref="AF20:AL20"/>
    <mergeCell ref="K21:Q21"/>
    <mergeCell ref="R21:X21"/>
    <mergeCell ref="Y21:AE21"/>
    <mergeCell ref="AF21:AL21"/>
    <mergeCell ref="K23:Q23"/>
    <mergeCell ref="R23:X23"/>
    <mergeCell ref="Y23:AE23"/>
    <mergeCell ref="AF23:AL23"/>
    <mergeCell ref="Y24:AE24"/>
    <mergeCell ref="AF24:AL24"/>
    <mergeCell ref="AF19:AL19"/>
    <mergeCell ref="K7:S7"/>
    <mergeCell ref="B26:J26"/>
    <mergeCell ref="B27:J27"/>
    <mergeCell ref="B28:J28"/>
    <mergeCell ref="B5:AL5"/>
    <mergeCell ref="B2:AL2"/>
    <mergeCell ref="B3:AL3"/>
    <mergeCell ref="G11:S11"/>
    <mergeCell ref="K28:Q28"/>
    <mergeCell ref="R28:X28"/>
    <mergeCell ref="K8:AL9"/>
    <mergeCell ref="G12:AL13"/>
    <mergeCell ref="Y28:AE28"/>
    <mergeCell ref="AF28:AL28"/>
    <mergeCell ref="AF25:AL25"/>
    <mergeCell ref="K26:Q26"/>
    <mergeCell ref="R26:X26"/>
    <mergeCell ref="Y26:AE26"/>
    <mergeCell ref="AF26:AL26"/>
    <mergeCell ref="K27:Q27"/>
    <mergeCell ref="R27:X27"/>
    <mergeCell ref="Y27:AE27"/>
    <mergeCell ref="AF27:AL27"/>
    <mergeCell ref="AF22:AL22"/>
    <mergeCell ref="B60:L60"/>
    <mergeCell ref="O60:Y60"/>
    <mergeCell ref="AB60:AL60"/>
    <mergeCell ref="B1:AL1"/>
    <mergeCell ref="AF30:AL30"/>
    <mergeCell ref="AD30:AE30"/>
    <mergeCell ref="M36:P36"/>
    <mergeCell ref="Q36:T36"/>
    <mergeCell ref="Y36:AD36"/>
    <mergeCell ref="AF7:AL7"/>
    <mergeCell ref="B59:L59"/>
    <mergeCell ref="O59:Y59"/>
    <mergeCell ref="AB59:AL59"/>
    <mergeCell ref="Y41:AD41"/>
    <mergeCell ref="M41:P41"/>
    <mergeCell ref="Q41:S41"/>
    <mergeCell ref="M42:P42"/>
    <mergeCell ref="Q42:S42"/>
    <mergeCell ref="AF54:AL54"/>
    <mergeCell ref="B57:L57"/>
    <mergeCell ref="O57:Y57"/>
    <mergeCell ref="AB57:AL57"/>
    <mergeCell ref="Y43:AD43"/>
    <mergeCell ref="Y45:AD45"/>
    <mergeCell ref="Y46:AD46"/>
    <mergeCell ref="Y47:AD47"/>
    <mergeCell ref="Y48:AD48"/>
    <mergeCell ref="AF52:AL52"/>
    <mergeCell ref="M46:P46"/>
    <mergeCell ref="M47:P47"/>
    <mergeCell ref="T43:W43"/>
    <mergeCell ref="T40:W40"/>
    <mergeCell ref="T41:W41"/>
    <mergeCell ref="T42:W42"/>
    <mergeCell ref="M43:P43"/>
    <mergeCell ref="Q43:S43"/>
    <mergeCell ref="M48:P48"/>
    <mergeCell ref="AF50:AL50"/>
    <mergeCell ref="Q45:T45"/>
    <mergeCell ref="Q46:T46"/>
    <mergeCell ref="Q47:T47"/>
    <mergeCell ref="Q48:T48"/>
    <mergeCell ref="M45:P45"/>
    <mergeCell ref="Y42:AD42"/>
  </mergeCells>
  <conditionalFormatting sqref="K8:AL9 K7:S7 G11:S11">
    <cfRule type="cellIs" dxfId="11" priority="1" stopIfTrue="1" operator="equal">
      <formula>0</formula>
    </cfRule>
  </conditionalFormatting>
  <dataValidations count="1">
    <dataValidation type="list" allowBlank="1" showInputMessage="1" showErrorMessage="1" sqref="K16:AL16" xr:uid="{6E5D1DE3-3C5E-4560-97BB-E23B8D650D98}">
      <formula1>$AO$17:$AO$32</formula1>
    </dataValidation>
  </dataValidations>
  <printOptions horizontalCentered="1" verticalCentered="1"/>
  <pageMargins left="0.5" right="0.5" top="0.5" bottom="0.5" header="0" footer="0"/>
  <pageSetup paperSize="5" scale="97" orientation="portrait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A124"/>
  <sheetViews>
    <sheetView showGridLines="0" showRowColHeaders="0" view="pageBreakPreview" zoomScaleNormal="100" workbookViewId="0">
      <selection sqref="A1:R1"/>
    </sheetView>
  </sheetViews>
  <sheetFormatPr defaultColWidth="0" defaultRowHeight="12.5" zeroHeight="1"/>
  <cols>
    <col min="1" max="3" width="7.81640625" style="3" customWidth="1"/>
    <col min="4" max="5" width="4.1796875" style="3" customWidth="1"/>
    <col min="6" max="9" width="7.81640625" style="3" customWidth="1"/>
    <col min="10" max="11" width="4.1796875" style="3" customWidth="1"/>
    <col min="12" max="15" width="7.81640625" style="3" customWidth="1"/>
    <col min="16" max="17" width="4.1796875" style="3" customWidth="1"/>
    <col min="18" max="18" width="7.81640625" style="3" customWidth="1"/>
    <col min="19" max="19" width="1.6328125" style="3" customWidth="1"/>
    <col min="20" max="21" width="10.6328125" style="3" hidden="1"/>
    <col min="22" max="24" width="10.6328125" style="2" hidden="1"/>
    <col min="25" max="27" width="8.81640625" style="3" hidden="1"/>
    <col min="28" max="16384" width="10.6328125" style="3" hidden="1"/>
  </cols>
  <sheetData>
    <row r="1" spans="1:27" ht="17.149999999999999" customHeight="1">
      <c r="A1" s="348" t="s">
        <v>0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  <c r="O1" s="348"/>
      <c r="P1" s="348"/>
      <c r="Q1" s="348"/>
      <c r="R1" s="348"/>
      <c r="U1" s="232">
        <f>VLOOKUP(N10,V1:W13,2,FALSE)</f>
        <v>0</v>
      </c>
      <c r="V1" s="180" t="s">
        <v>19</v>
      </c>
      <c r="W1" s="180">
        <v>0</v>
      </c>
      <c r="X1" s="180" t="s">
        <v>117</v>
      </c>
      <c r="Y1" s="3" t="s">
        <v>228</v>
      </c>
      <c r="Z1" s="2" t="str">
        <f>Q10&amp;TEXT(U1,"00")</f>
        <v>Año00</v>
      </c>
      <c r="AA1" s="3" t="b">
        <f>IF(AND(N10&lt;&gt;"Mes",Q10&lt;&gt;"Año"),TRUE,FALSE)</f>
        <v>0</v>
      </c>
    </row>
    <row r="2" spans="1:27" ht="12" customHeight="1">
      <c r="A2" s="348" t="s">
        <v>1</v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  <c r="V2" s="180" t="s">
        <v>210</v>
      </c>
      <c r="W2" s="180">
        <v>1</v>
      </c>
      <c r="X2" s="2">
        <v>2016</v>
      </c>
    </row>
    <row r="3" spans="1:27" ht="12" customHeight="1">
      <c r="A3" s="349" t="s">
        <v>2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  <c r="N3" s="349"/>
      <c r="O3" s="349"/>
      <c r="P3" s="349"/>
      <c r="Q3" s="349"/>
      <c r="R3" s="349"/>
      <c r="V3" s="180" t="s">
        <v>211</v>
      </c>
      <c r="W3" s="180">
        <v>2</v>
      </c>
      <c r="X3" s="2">
        <v>2017</v>
      </c>
    </row>
    <row r="4" spans="1:27" ht="12" customHeight="1">
      <c r="A4" s="348" t="s">
        <v>3</v>
      </c>
      <c r="B4" s="348"/>
      <c r="C4" s="348"/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V4" s="180" t="s">
        <v>212</v>
      </c>
      <c r="W4" s="180">
        <v>3</v>
      </c>
      <c r="X4" s="2">
        <v>2018</v>
      </c>
    </row>
    <row r="5" spans="1:27" ht="17.149999999999999" customHeight="1">
      <c r="V5" s="180" t="s">
        <v>213</v>
      </c>
      <c r="W5" s="180">
        <v>4</v>
      </c>
      <c r="X5" s="2">
        <v>2019</v>
      </c>
    </row>
    <row r="6" spans="1:27" ht="20.149999999999999" customHeight="1">
      <c r="B6" s="27"/>
      <c r="C6" s="27"/>
      <c r="D6" s="27"/>
      <c r="E6" s="27"/>
      <c r="F6" s="27"/>
      <c r="G6" s="28"/>
      <c r="H6" s="27"/>
      <c r="I6" s="29" t="s">
        <v>4</v>
      </c>
      <c r="J6" s="27"/>
      <c r="K6" s="27"/>
      <c r="L6" s="27"/>
      <c r="M6" s="27"/>
      <c r="N6" s="27"/>
      <c r="O6" s="27"/>
      <c r="P6" s="27"/>
      <c r="Q6" s="27"/>
      <c r="R6" s="27"/>
      <c r="V6" s="180" t="s">
        <v>214</v>
      </c>
      <c r="W6" s="180">
        <v>5</v>
      </c>
      <c r="X6" s="2">
        <v>2020</v>
      </c>
    </row>
    <row r="7" spans="1:27" ht="20.149999999999999" customHeight="1">
      <c r="B7" s="27"/>
      <c r="D7" s="27"/>
      <c r="E7" s="216" t="s">
        <v>232</v>
      </c>
      <c r="F7" s="1">
        <f>'Información Force Account'!B7</f>
        <v>0</v>
      </c>
      <c r="G7" s="27"/>
      <c r="I7" s="216" t="s">
        <v>231</v>
      </c>
      <c r="J7" s="350">
        <f>'Información Force Account'!B8</f>
        <v>0</v>
      </c>
      <c r="K7" s="350"/>
      <c r="M7" s="27"/>
      <c r="N7" s="216" t="s">
        <v>230</v>
      </c>
      <c r="O7" s="1">
        <f>'Información Force Account'!B9</f>
        <v>0</v>
      </c>
      <c r="P7" s="27"/>
      <c r="Q7" s="27"/>
      <c r="R7" s="27"/>
      <c r="V7" s="180" t="s">
        <v>215</v>
      </c>
      <c r="W7" s="180">
        <v>6</v>
      </c>
      <c r="X7" s="2">
        <v>2021</v>
      </c>
    </row>
    <row r="8" spans="1:27" ht="20.149999999999999" customHeight="1">
      <c r="F8" s="384" t="str">
        <f>'Información Force Account'!B2 &amp; "  (" &amp; 'Información Force Account'!B1 &amp; ")"</f>
        <v xml:space="preserve">  ()</v>
      </c>
      <c r="G8" s="385"/>
      <c r="H8" s="385"/>
      <c r="I8" s="385"/>
      <c r="J8" s="385"/>
      <c r="K8" s="30"/>
      <c r="V8" s="180" t="s">
        <v>216</v>
      </c>
      <c r="W8" s="180">
        <v>7</v>
      </c>
      <c r="X8" s="2">
        <v>2022</v>
      </c>
    </row>
    <row r="9" spans="1:27" ht="20.149999999999999" customHeight="1">
      <c r="A9" s="31" t="s">
        <v>5</v>
      </c>
      <c r="F9" s="386"/>
      <c r="G9" s="386"/>
      <c r="H9" s="386"/>
      <c r="I9" s="386"/>
      <c r="J9" s="386"/>
      <c r="K9" s="32"/>
      <c r="L9" s="31" t="s">
        <v>7</v>
      </c>
      <c r="M9" s="371">
        <f ca="1">TODAY()</f>
        <v>44581</v>
      </c>
      <c r="N9" s="372"/>
      <c r="O9" s="372"/>
      <c r="P9" s="372"/>
      <c r="Q9" s="372"/>
      <c r="R9" s="372"/>
      <c r="V9" s="180" t="s">
        <v>217</v>
      </c>
      <c r="W9" s="180">
        <v>8</v>
      </c>
      <c r="X9" s="2">
        <v>2023</v>
      </c>
    </row>
    <row r="10" spans="1:27" ht="20.149999999999999" customHeight="1">
      <c r="A10" s="31" t="s">
        <v>8</v>
      </c>
      <c r="B10" s="33"/>
      <c r="C10" s="383">
        <f>'Información Force Account'!B4</f>
        <v>0</v>
      </c>
      <c r="D10" s="383"/>
      <c r="E10" s="383"/>
      <c r="F10" s="383"/>
      <c r="G10" s="383"/>
      <c r="H10" s="383"/>
      <c r="I10" s="383"/>
      <c r="J10" s="383"/>
      <c r="K10" s="34"/>
      <c r="L10" s="31" t="s">
        <v>9</v>
      </c>
      <c r="N10" s="392" t="s">
        <v>19</v>
      </c>
      <c r="O10" s="392"/>
      <c r="P10" s="217" t="s">
        <v>209</v>
      </c>
      <c r="Q10" s="393" t="s">
        <v>117</v>
      </c>
      <c r="R10" s="393"/>
      <c r="S10" s="35"/>
      <c r="V10" s="180" t="s">
        <v>218</v>
      </c>
      <c r="W10" s="180">
        <v>9</v>
      </c>
      <c r="X10" s="2">
        <v>2024</v>
      </c>
    </row>
    <row r="11" spans="1:27" ht="20.149999999999999" customHeight="1" thickBot="1">
      <c r="V11" s="180" t="s">
        <v>219</v>
      </c>
      <c r="W11" s="180">
        <v>10</v>
      </c>
      <c r="X11" s="2">
        <v>2025</v>
      </c>
    </row>
    <row r="12" spans="1:27" ht="20.149999999999999" customHeight="1" thickBot="1">
      <c r="A12" s="36"/>
      <c r="B12" s="37"/>
      <c r="C12" s="37"/>
      <c r="D12" s="37"/>
      <c r="E12" s="37"/>
      <c r="F12" s="37"/>
      <c r="G12" s="37"/>
      <c r="H12" s="37"/>
      <c r="I12" s="38" t="s">
        <v>10</v>
      </c>
      <c r="J12" s="37"/>
      <c r="K12" s="37"/>
      <c r="L12" s="37"/>
      <c r="M12" s="37"/>
      <c r="N12" s="37"/>
      <c r="O12" s="37"/>
      <c r="P12" s="37"/>
      <c r="Q12" s="37"/>
      <c r="R12" s="39"/>
      <c r="S12" s="14"/>
      <c r="V12" s="180" t="s">
        <v>221</v>
      </c>
      <c r="W12" s="180">
        <v>11</v>
      </c>
      <c r="X12" s="2">
        <v>2026</v>
      </c>
    </row>
    <row r="13" spans="1:27" ht="20.149999999999999" customHeight="1">
      <c r="A13" s="387" t="s">
        <v>11</v>
      </c>
      <c r="B13" s="388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8"/>
      <c r="N13" s="388"/>
      <c r="O13" s="388"/>
      <c r="P13" s="388"/>
      <c r="Q13" s="388"/>
      <c r="R13" s="389"/>
      <c r="S13" s="14"/>
      <c r="V13" s="180" t="s">
        <v>220</v>
      </c>
      <c r="W13" s="180">
        <v>12</v>
      </c>
      <c r="X13" s="2">
        <v>2027</v>
      </c>
    </row>
    <row r="14" spans="1:27" ht="20.149999999999999" customHeight="1">
      <c r="A14" s="40" t="s">
        <v>12</v>
      </c>
      <c r="B14" s="17" t="s">
        <v>12</v>
      </c>
      <c r="C14" s="41"/>
      <c r="D14" s="42"/>
      <c r="E14" s="42"/>
      <c r="F14" s="43"/>
      <c r="G14" s="17" t="s">
        <v>12</v>
      </c>
      <c r="H14" s="17" t="s">
        <v>12</v>
      </c>
      <c r="I14" s="41"/>
      <c r="J14" s="44"/>
      <c r="K14" s="44"/>
      <c r="L14" s="43"/>
      <c r="M14" s="17" t="s">
        <v>12</v>
      </c>
      <c r="N14" s="17" t="s">
        <v>12</v>
      </c>
      <c r="O14" s="41"/>
      <c r="P14" s="44"/>
      <c r="Q14" s="44"/>
      <c r="R14" s="45"/>
      <c r="S14" s="14"/>
      <c r="X14" s="2">
        <v>2028</v>
      </c>
    </row>
    <row r="15" spans="1:27" ht="20.149999999999999" customHeight="1">
      <c r="A15" s="46" t="s">
        <v>13</v>
      </c>
      <c r="B15" s="47" t="s">
        <v>14</v>
      </c>
      <c r="C15" s="377" t="s">
        <v>15</v>
      </c>
      <c r="D15" s="378"/>
      <c r="E15" s="378"/>
      <c r="F15" s="379"/>
      <c r="G15" s="47" t="s">
        <v>13</v>
      </c>
      <c r="H15" s="47" t="s">
        <v>14</v>
      </c>
      <c r="I15" s="377" t="s">
        <v>16</v>
      </c>
      <c r="J15" s="378"/>
      <c r="K15" s="378"/>
      <c r="L15" s="379"/>
      <c r="M15" s="47" t="s">
        <v>13</v>
      </c>
      <c r="N15" s="47" t="s">
        <v>14</v>
      </c>
      <c r="O15" s="377" t="s">
        <v>17</v>
      </c>
      <c r="P15" s="378"/>
      <c r="Q15" s="378"/>
      <c r="R15" s="390"/>
      <c r="S15" s="14"/>
      <c r="X15" s="2">
        <v>2029</v>
      </c>
    </row>
    <row r="16" spans="1:27" ht="20.149999999999999" customHeight="1">
      <c r="A16" s="48" t="s">
        <v>18</v>
      </c>
      <c r="B16" s="10" t="s">
        <v>19</v>
      </c>
      <c r="C16" s="380" t="s">
        <v>20</v>
      </c>
      <c r="D16" s="381"/>
      <c r="E16" s="381"/>
      <c r="F16" s="382"/>
      <c r="G16" s="47" t="s">
        <v>18</v>
      </c>
      <c r="H16" s="10" t="s">
        <v>19</v>
      </c>
      <c r="I16" s="380" t="s">
        <v>20</v>
      </c>
      <c r="J16" s="381"/>
      <c r="K16" s="381"/>
      <c r="L16" s="382"/>
      <c r="M16" s="10" t="s">
        <v>18</v>
      </c>
      <c r="N16" s="10" t="s">
        <v>19</v>
      </c>
      <c r="O16" s="380" t="s">
        <v>20</v>
      </c>
      <c r="P16" s="381"/>
      <c r="Q16" s="381"/>
      <c r="R16" s="391"/>
      <c r="S16" s="14"/>
      <c r="X16" s="2">
        <v>2030</v>
      </c>
    </row>
    <row r="17" spans="1:20" ht="20.149999999999999" customHeight="1">
      <c r="A17" s="49" t="str">
        <f t="shared" ref="A17:A26" si="0">IFERROR(CHOOSE(WEEKDAY(DATE($Q$10,$U$1,B17)),"D","L","K","M","J","V","S"),"")</f>
        <v/>
      </c>
      <c r="B17" s="51">
        <v>1</v>
      </c>
      <c r="C17" s="373" t="str">
        <f t="shared" ref="C17:C26" si="1">IF(SUMIF(Fecha_Inf_PC,$Z$1&amp;TEXT(B17,"00"),Total_PC)&gt;0,SUMIF(Fecha_Inf_PC,$Z$1&amp;TEXT(B17,"00"),Total_PC),"")</f>
        <v/>
      </c>
      <c r="D17" s="374"/>
      <c r="E17" s="374"/>
      <c r="F17" s="374"/>
      <c r="G17" s="51" t="str">
        <f t="shared" ref="G17:G26" si="2">IFERROR(CHOOSE(WEEKDAY(DATE($Q$10,$U$1,H17)),"D","L","K","M","J","V","S"),"")</f>
        <v/>
      </c>
      <c r="H17" s="112">
        <v>11</v>
      </c>
      <c r="I17" s="373" t="str">
        <f t="shared" ref="I17:I26" si="3">IF(SUMIF(Fecha_Inf_PC,$Z$1&amp;TEXT(H17,"00"),Total_PC)&gt;0,SUMIF(Fecha_Inf_PC,$Z$1&amp;TEXT(H17,"00"),Total_PC),"")</f>
        <v/>
      </c>
      <c r="J17" s="374"/>
      <c r="K17" s="374"/>
      <c r="L17" s="374"/>
      <c r="M17" s="51" t="str">
        <f t="shared" ref="M17:M27" si="4">IFERROR(CHOOSE(WEEKDAY(DATE($Q$10,$U$1,N17)),"D","L","K","M","J","V","S"),"")</f>
        <v/>
      </c>
      <c r="N17" s="52">
        <v>21</v>
      </c>
      <c r="O17" s="373" t="str">
        <f t="shared" ref="O17:O27" si="5">IF(SUMIF(Fecha_Inf_PC,$Z$1&amp;TEXT(N17,"00"),Total_PC)&gt;0,SUMIF(Fecha_Inf_PC,$Z$1&amp;TEXT(N17,"00"),Total_PC),"")</f>
        <v/>
      </c>
      <c r="P17" s="374"/>
      <c r="Q17" s="374"/>
      <c r="R17" s="375"/>
      <c r="S17" s="14"/>
    </row>
    <row r="18" spans="1:20" ht="20.149999999999999" customHeight="1">
      <c r="A18" s="49" t="str">
        <f t="shared" si="0"/>
        <v/>
      </c>
      <c r="B18" s="50">
        <v>2</v>
      </c>
      <c r="C18" s="373" t="str">
        <f t="shared" si="1"/>
        <v/>
      </c>
      <c r="D18" s="374"/>
      <c r="E18" s="374"/>
      <c r="F18" s="374"/>
      <c r="G18" s="51" t="str">
        <f t="shared" si="2"/>
        <v/>
      </c>
      <c r="H18" s="112">
        <v>12</v>
      </c>
      <c r="I18" s="373" t="str">
        <f t="shared" si="3"/>
        <v/>
      </c>
      <c r="J18" s="374"/>
      <c r="K18" s="374"/>
      <c r="L18" s="374"/>
      <c r="M18" s="51" t="str">
        <f t="shared" si="4"/>
        <v/>
      </c>
      <c r="N18" s="112">
        <v>22</v>
      </c>
      <c r="O18" s="373" t="str">
        <f t="shared" si="5"/>
        <v/>
      </c>
      <c r="P18" s="374"/>
      <c r="Q18" s="374"/>
      <c r="R18" s="375"/>
      <c r="S18" s="14"/>
    </row>
    <row r="19" spans="1:20" ht="20.149999999999999" customHeight="1">
      <c r="A19" s="49" t="str">
        <f t="shared" si="0"/>
        <v/>
      </c>
      <c r="B19" s="51">
        <v>3</v>
      </c>
      <c r="C19" s="373" t="str">
        <f t="shared" si="1"/>
        <v/>
      </c>
      <c r="D19" s="374"/>
      <c r="E19" s="374"/>
      <c r="F19" s="374"/>
      <c r="G19" s="51" t="str">
        <f t="shared" si="2"/>
        <v/>
      </c>
      <c r="H19" s="112">
        <v>13</v>
      </c>
      <c r="I19" s="373" t="str">
        <f t="shared" si="3"/>
        <v/>
      </c>
      <c r="J19" s="374"/>
      <c r="K19" s="374"/>
      <c r="L19" s="374"/>
      <c r="M19" s="51" t="str">
        <f t="shared" si="4"/>
        <v/>
      </c>
      <c r="N19" s="52">
        <v>23</v>
      </c>
      <c r="O19" s="373" t="str">
        <f t="shared" si="5"/>
        <v/>
      </c>
      <c r="P19" s="374"/>
      <c r="Q19" s="374"/>
      <c r="R19" s="375"/>
      <c r="S19" s="14"/>
    </row>
    <row r="20" spans="1:20" ht="20.149999999999999" customHeight="1">
      <c r="A20" s="49" t="str">
        <f t="shared" si="0"/>
        <v/>
      </c>
      <c r="B20" s="50">
        <v>4</v>
      </c>
      <c r="C20" s="373" t="str">
        <f t="shared" si="1"/>
        <v/>
      </c>
      <c r="D20" s="374"/>
      <c r="E20" s="374"/>
      <c r="F20" s="374"/>
      <c r="G20" s="51" t="str">
        <f t="shared" si="2"/>
        <v/>
      </c>
      <c r="H20" s="112">
        <v>14</v>
      </c>
      <c r="I20" s="373" t="str">
        <f t="shared" si="3"/>
        <v/>
      </c>
      <c r="J20" s="374"/>
      <c r="K20" s="374"/>
      <c r="L20" s="374"/>
      <c r="M20" s="51" t="str">
        <f t="shared" si="4"/>
        <v/>
      </c>
      <c r="N20" s="112">
        <v>24</v>
      </c>
      <c r="O20" s="373" t="str">
        <f t="shared" si="5"/>
        <v/>
      </c>
      <c r="P20" s="374"/>
      <c r="Q20" s="374"/>
      <c r="R20" s="375"/>
      <c r="S20" s="14"/>
    </row>
    <row r="21" spans="1:20" ht="20.149999999999999" customHeight="1">
      <c r="A21" s="49" t="str">
        <f t="shared" si="0"/>
        <v/>
      </c>
      <c r="B21" s="51">
        <v>5</v>
      </c>
      <c r="C21" s="373" t="str">
        <f t="shared" si="1"/>
        <v/>
      </c>
      <c r="D21" s="374"/>
      <c r="E21" s="374"/>
      <c r="F21" s="374"/>
      <c r="G21" s="51" t="str">
        <f t="shared" si="2"/>
        <v/>
      </c>
      <c r="H21" s="112">
        <v>15</v>
      </c>
      <c r="I21" s="373" t="str">
        <f t="shared" si="3"/>
        <v/>
      </c>
      <c r="J21" s="374"/>
      <c r="K21" s="374"/>
      <c r="L21" s="374"/>
      <c r="M21" s="51" t="str">
        <f t="shared" si="4"/>
        <v/>
      </c>
      <c r="N21" s="52">
        <v>25</v>
      </c>
      <c r="O21" s="373" t="str">
        <f t="shared" si="5"/>
        <v/>
      </c>
      <c r="P21" s="374"/>
      <c r="Q21" s="374"/>
      <c r="R21" s="375"/>
      <c r="S21" s="14"/>
    </row>
    <row r="22" spans="1:20" ht="20.149999999999999" customHeight="1">
      <c r="A22" s="49" t="str">
        <f t="shared" si="0"/>
        <v/>
      </c>
      <c r="B22" s="50">
        <v>6</v>
      </c>
      <c r="C22" s="373" t="str">
        <f t="shared" si="1"/>
        <v/>
      </c>
      <c r="D22" s="374"/>
      <c r="E22" s="374"/>
      <c r="F22" s="374"/>
      <c r="G22" s="51" t="str">
        <f t="shared" si="2"/>
        <v/>
      </c>
      <c r="H22" s="112">
        <v>16</v>
      </c>
      <c r="I22" s="373" t="str">
        <f t="shared" si="3"/>
        <v/>
      </c>
      <c r="J22" s="374"/>
      <c r="K22" s="374"/>
      <c r="L22" s="374"/>
      <c r="M22" s="51" t="str">
        <f t="shared" si="4"/>
        <v/>
      </c>
      <c r="N22" s="112">
        <v>26</v>
      </c>
      <c r="O22" s="373" t="str">
        <f t="shared" si="5"/>
        <v/>
      </c>
      <c r="P22" s="374"/>
      <c r="Q22" s="374"/>
      <c r="R22" s="375"/>
      <c r="S22" s="14"/>
    </row>
    <row r="23" spans="1:20" ht="20.149999999999999" customHeight="1">
      <c r="A23" s="49" t="str">
        <f t="shared" si="0"/>
        <v/>
      </c>
      <c r="B23" s="51">
        <v>7</v>
      </c>
      <c r="C23" s="373" t="str">
        <f t="shared" si="1"/>
        <v/>
      </c>
      <c r="D23" s="374"/>
      <c r="E23" s="374"/>
      <c r="F23" s="374"/>
      <c r="G23" s="51" t="str">
        <f t="shared" si="2"/>
        <v/>
      </c>
      <c r="H23" s="112">
        <v>17</v>
      </c>
      <c r="I23" s="373" t="str">
        <f t="shared" si="3"/>
        <v/>
      </c>
      <c r="J23" s="374"/>
      <c r="K23" s="374"/>
      <c r="L23" s="374"/>
      <c r="M23" s="51" t="str">
        <f t="shared" si="4"/>
        <v/>
      </c>
      <c r="N23" s="52">
        <v>27</v>
      </c>
      <c r="O23" s="373" t="str">
        <f t="shared" si="5"/>
        <v/>
      </c>
      <c r="P23" s="374"/>
      <c r="Q23" s="374"/>
      <c r="R23" s="375"/>
      <c r="S23" s="14"/>
    </row>
    <row r="24" spans="1:20" ht="20.149999999999999" customHeight="1">
      <c r="A24" s="49" t="str">
        <f t="shared" si="0"/>
        <v/>
      </c>
      <c r="B24" s="50">
        <v>8</v>
      </c>
      <c r="C24" s="373" t="str">
        <f t="shared" si="1"/>
        <v/>
      </c>
      <c r="D24" s="374"/>
      <c r="E24" s="374"/>
      <c r="F24" s="374"/>
      <c r="G24" s="51" t="str">
        <f t="shared" si="2"/>
        <v/>
      </c>
      <c r="H24" s="112">
        <v>18</v>
      </c>
      <c r="I24" s="373" t="str">
        <f t="shared" si="3"/>
        <v/>
      </c>
      <c r="J24" s="374"/>
      <c r="K24" s="374"/>
      <c r="L24" s="374"/>
      <c r="M24" s="51" t="str">
        <f t="shared" si="4"/>
        <v/>
      </c>
      <c r="N24" s="112">
        <v>28</v>
      </c>
      <c r="O24" s="373" t="str">
        <f t="shared" si="5"/>
        <v/>
      </c>
      <c r="P24" s="374"/>
      <c r="Q24" s="374"/>
      <c r="R24" s="375"/>
      <c r="S24" s="14"/>
    </row>
    <row r="25" spans="1:20" ht="20.149999999999999" customHeight="1">
      <c r="A25" s="49" t="str">
        <f t="shared" si="0"/>
        <v/>
      </c>
      <c r="B25" s="51">
        <v>9</v>
      </c>
      <c r="C25" s="373" t="str">
        <f t="shared" si="1"/>
        <v/>
      </c>
      <c r="D25" s="374"/>
      <c r="E25" s="374"/>
      <c r="F25" s="374"/>
      <c r="G25" s="51" t="str">
        <f t="shared" si="2"/>
        <v/>
      </c>
      <c r="H25" s="112">
        <v>19</v>
      </c>
      <c r="I25" s="373" t="str">
        <f t="shared" si="3"/>
        <v/>
      </c>
      <c r="J25" s="374"/>
      <c r="K25" s="374"/>
      <c r="L25" s="374"/>
      <c r="M25" s="51" t="str">
        <f t="shared" si="4"/>
        <v/>
      </c>
      <c r="N25" s="52">
        <v>29</v>
      </c>
      <c r="O25" s="373" t="str">
        <f t="shared" si="5"/>
        <v/>
      </c>
      <c r="P25" s="374"/>
      <c r="Q25" s="374"/>
      <c r="R25" s="375"/>
      <c r="S25" s="14"/>
    </row>
    <row r="26" spans="1:20" ht="20.149999999999999" customHeight="1">
      <c r="A26" s="49" t="str">
        <f t="shared" si="0"/>
        <v/>
      </c>
      <c r="B26" s="50">
        <v>10</v>
      </c>
      <c r="C26" s="373" t="str">
        <f t="shared" si="1"/>
        <v/>
      </c>
      <c r="D26" s="374"/>
      <c r="E26" s="374"/>
      <c r="F26" s="374"/>
      <c r="G26" s="51" t="str">
        <f t="shared" si="2"/>
        <v/>
      </c>
      <c r="H26" s="112">
        <v>20</v>
      </c>
      <c r="I26" s="373" t="str">
        <f t="shared" si="3"/>
        <v/>
      </c>
      <c r="J26" s="374"/>
      <c r="K26" s="374"/>
      <c r="L26" s="374"/>
      <c r="M26" s="51" t="str">
        <f t="shared" si="4"/>
        <v/>
      </c>
      <c r="N26" s="112">
        <v>30</v>
      </c>
      <c r="O26" s="373" t="str">
        <f t="shared" si="5"/>
        <v/>
      </c>
      <c r="P26" s="374"/>
      <c r="Q26" s="374"/>
      <c r="R26" s="375"/>
      <c r="S26" s="14"/>
      <c r="T26" s="14"/>
    </row>
    <row r="27" spans="1:20" ht="20.149999999999999" customHeight="1">
      <c r="A27" s="395" t="s">
        <v>241</v>
      </c>
      <c r="B27" s="396"/>
      <c r="C27" s="396"/>
      <c r="D27" s="396"/>
      <c r="E27" s="396"/>
      <c r="F27" s="396"/>
      <c r="G27" s="396"/>
      <c r="H27" s="396"/>
      <c r="I27" s="396"/>
      <c r="J27" s="396"/>
      <c r="K27" s="396"/>
      <c r="L27" s="397"/>
      <c r="M27" s="51" t="str">
        <f t="shared" si="4"/>
        <v/>
      </c>
      <c r="N27" s="52">
        <v>31</v>
      </c>
      <c r="O27" s="373" t="str">
        <f t="shared" si="5"/>
        <v/>
      </c>
      <c r="P27" s="374"/>
      <c r="Q27" s="374"/>
      <c r="R27" s="375"/>
      <c r="S27" s="14"/>
      <c r="T27" s="14"/>
    </row>
    <row r="28" spans="1:20" ht="20.149999999999999" customHeight="1">
      <c r="A28" s="54"/>
      <c r="B28" s="55" t="s">
        <v>21</v>
      </c>
      <c r="C28" s="373">
        <f>SUM(C17:F26)</f>
        <v>0</v>
      </c>
      <c r="D28" s="374"/>
      <c r="E28" s="374"/>
      <c r="F28" s="367"/>
      <c r="G28" s="56"/>
      <c r="H28" s="57" t="s">
        <v>22</v>
      </c>
      <c r="I28" s="373">
        <f>SUM(I17:L26)</f>
        <v>0</v>
      </c>
      <c r="J28" s="374"/>
      <c r="K28" s="374"/>
      <c r="L28" s="367"/>
      <c r="M28" s="58"/>
      <c r="N28" s="57" t="s">
        <v>23</v>
      </c>
      <c r="O28" s="373">
        <f>SUM(O17:R27)</f>
        <v>0</v>
      </c>
      <c r="P28" s="374"/>
      <c r="Q28" s="374"/>
      <c r="R28" s="394"/>
      <c r="S28" s="14"/>
      <c r="T28" s="14"/>
    </row>
    <row r="29" spans="1:20" ht="20.149999999999999" customHeight="1" thickBot="1">
      <c r="A29" s="59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1" t="s">
        <v>24</v>
      </c>
      <c r="O29" s="402">
        <f>C28+I28+O28</f>
        <v>0</v>
      </c>
      <c r="P29" s="403"/>
      <c r="Q29" s="403"/>
      <c r="R29" s="404"/>
      <c r="S29" s="14"/>
      <c r="T29" s="14"/>
    </row>
    <row r="30" spans="1:20" ht="20.149999999999999" customHeight="1" thickBot="1">
      <c r="A30" s="62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</row>
    <row r="31" spans="1:20" ht="20.149999999999999" customHeight="1" thickBot="1">
      <c r="A31" s="36"/>
      <c r="B31" s="63"/>
      <c r="C31" s="63"/>
      <c r="D31" s="63"/>
      <c r="E31" s="63"/>
      <c r="F31" s="63"/>
      <c r="G31" s="63"/>
      <c r="H31" s="63"/>
      <c r="I31" s="38" t="s">
        <v>25</v>
      </c>
      <c r="J31" s="63"/>
      <c r="K31" s="63"/>
      <c r="L31" s="63"/>
      <c r="M31" s="63"/>
      <c r="N31" s="63"/>
      <c r="O31" s="63"/>
      <c r="P31" s="63"/>
      <c r="Q31" s="63"/>
      <c r="R31" s="64" t="s">
        <v>26</v>
      </c>
      <c r="S31" s="14"/>
    </row>
    <row r="32" spans="1:20" ht="20.149999999999999" customHeight="1">
      <c r="A32" s="65" t="s">
        <v>27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363" t="str">
        <f>IF('Información Force Account'!I2,SUMIFS(Total_PC,Union_PC,"Operadores",Mes_FA_PC,$U$1),"")</f>
        <v/>
      </c>
      <c r="N32" s="364"/>
      <c r="O32" s="405"/>
      <c r="P32" s="67"/>
      <c r="Q32" s="66"/>
      <c r="R32" s="68"/>
      <c r="S32" s="14"/>
    </row>
    <row r="33" spans="1:19" ht="20.149999999999999" customHeight="1">
      <c r="A33" s="69" t="s">
        <v>28</v>
      </c>
      <c r="B33" s="70"/>
      <c r="C33" s="70"/>
      <c r="F33" s="249">
        <v>0</v>
      </c>
      <c r="G33" s="71" t="s">
        <v>29</v>
      </c>
      <c r="H33" s="70"/>
      <c r="I33" s="70"/>
      <c r="J33" s="70"/>
      <c r="K33" s="70"/>
      <c r="L33" s="70"/>
      <c r="M33" s="354" t="str">
        <f>IFERROR(IF(F33="n/a",0,M32*F33/100),"")</f>
        <v/>
      </c>
      <c r="N33" s="366"/>
      <c r="O33" s="376"/>
      <c r="P33" s="72"/>
      <c r="Q33" s="70"/>
      <c r="R33" s="73"/>
      <c r="S33" s="14"/>
    </row>
    <row r="34" spans="1:19" ht="20.149999999999999" customHeight="1">
      <c r="A34" s="69" t="s">
        <v>30</v>
      </c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354" t="str">
        <f>IF('Información Force Account'!I2,SUMIFS(Total_PC,Union_PC,"Carpinteros",Mes_FA_PC,$U$1),"")</f>
        <v/>
      </c>
      <c r="N34" s="366"/>
      <c r="O34" s="376"/>
      <c r="P34" s="72"/>
      <c r="Q34" s="70"/>
      <c r="R34" s="73"/>
      <c r="S34" s="14"/>
    </row>
    <row r="35" spans="1:19" ht="20.149999999999999" customHeight="1">
      <c r="A35" s="69" t="s">
        <v>31</v>
      </c>
      <c r="B35" s="70"/>
      <c r="C35" s="70"/>
      <c r="F35" s="249">
        <v>0</v>
      </c>
      <c r="G35" s="71" t="s">
        <v>32</v>
      </c>
      <c r="H35" s="70"/>
      <c r="I35" s="70"/>
      <c r="J35" s="70"/>
      <c r="K35" s="70"/>
      <c r="L35" s="70"/>
      <c r="M35" s="354" t="str">
        <f>IFERROR(IF(F35="n/a",0,M34*F35/100),"")</f>
        <v/>
      </c>
      <c r="N35" s="366"/>
      <c r="O35" s="376"/>
      <c r="P35" s="72"/>
      <c r="Q35" s="70"/>
      <c r="R35" s="73"/>
      <c r="S35" s="14"/>
    </row>
    <row r="36" spans="1:19" ht="20.149999999999999" customHeight="1">
      <c r="A36" s="69" t="s">
        <v>33</v>
      </c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354" t="str">
        <f>IF('Información Force Account'!I2,SUMIFS(Total_PC,Union_PC,"NU",Mes_FA_PC,$U$1),"")</f>
        <v/>
      </c>
      <c r="N36" s="366"/>
      <c r="O36" s="376"/>
      <c r="P36" s="72"/>
      <c r="Q36" s="70"/>
      <c r="R36" s="73"/>
      <c r="S36" s="14"/>
    </row>
    <row r="37" spans="1:19" ht="20.149999999999999" customHeight="1">
      <c r="A37" s="69" t="s">
        <v>34</v>
      </c>
      <c r="B37" s="70"/>
      <c r="C37" s="70"/>
      <c r="F37" s="249">
        <v>0</v>
      </c>
      <c r="G37" s="74" t="s">
        <v>35</v>
      </c>
      <c r="H37" s="70"/>
      <c r="I37" s="70"/>
      <c r="J37" s="70"/>
      <c r="K37" s="70"/>
      <c r="L37" s="70"/>
      <c r="M37" s="354" t="str">
        <f>IFERROR(IF(F37="n/a",0,M36*F37/100),"")</f>
        <v/>
      </c>
      <c r="N37" s="366"/>
      <c r="O37" s="376"/>
      <c r="P37" s="72"/>
      <c r="Q37" s="70"/>
      <c r="R37" s="73"/>
      <c r="S37" s="14"/>
    </row>
    <row r="38" spans="1:19" ht="20.149999999999999" customHeight="1">
      <c r="A38" s="69" t="s">
        <v>36</v>
      </c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354" t="str">
        <f>IF(SUM(M32:O37)&gt;0,SUM(M32:O37),"")</f>
        <v/>
      </c>
      <c r="N38" s="401"/>
      <c r="O38" s="367"/>
      <c r="P38" s="72"/>
      <c r="Q38" s="70"/>
      <c r="R38" s="73"/>
      <c r="S38" s="14"/>
    </row>
    <row r="39" spans="1:19" ht="20.149999999999999" customHeight="1">
      <c r="A39" s="69" t="s">
        <v>37</v>
      </c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354">
        <f>O29</f>
        <v>0</v>
      </c>
      <c r="N39" s="366"/>
      <c r="O39" s="367"/>
      <c r="P39" s="72"/>
      <c r="Q39" s="70"/>
      <c r="R39" s="73"/>
      <c r="S39" s="14"/>
    </row>
    <row r="40" spans="1:19" ht="20.149999999999999" customHeight="1">
      <c r="A40" s="69" t="s">
        <v>38</v>
      </c>
      <c r="B40" s="70"/>
      <c r="C40" s="70"/>
      <c r="F40" s="218">
        <v>0</v>
      </c>
      <c r="G40" s="74" t="s">
        <v>39</v>
      </c>
      <c r="H40" s="70"/>
      <c r="I40" s="70"/>
      <c r="J40" s="70"/>
      <c r="K40" s="70"/>
      <c r="L40" s="70"/>
      <c r="M40" s="354">
        <f>F40*M39/100</f>
        <v>0</v>
      </c>
      <c r="N40" s="366"/>
      <c r="O40" s="367"/>
      <c r="P40" s="72"/>
      <c r="Q40" s="70"/>
      <c r="R40" s="73"/>
      <c r="S40" s="14"/>
    </row>
    <row r="41" spans="1:19" ht="20.149999999999999" customHeight="1">
      <c r="A41" s="69" t="s">
        <v>40</v>
      </c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398">
        <v>0</v>
      </c>
      <c r="N41" s="399"/>
      <c r="O41" s="400"/>
      <c r="P41" s="72"/>
      <c r="Q41" s="70"/>
      <c r="R41" s="73"/>
      <c r="S41" s="14"/>
    </row>
    <row r="42" spans="1:19" ht="20.149999999999999" customHeight="1">
      <c r="A42" s="69" t="s">
        <v>41</v>
      </c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354">
        <f>IF('Información Force Account'!I2,'Resumen FA (Mensual)'!M38+'Resumen FA (Mensual)'!M41,SUM('Resumen FA (Mensual)'!M39:O41))</f>
        <v>0</v>
      </c>
      <c r="N42" s="366"/>
      <c r="O42" s="367"/>
      <c r="P42" s="72"/>
      <c r="Q42" s="70"/>
      <c r="R42" s="73"/>
      <c r="S42" s="14"/>
    </row>
    <row r="43" spans="1:19" ht="20.149999999999999" customHeight="1">
      <c r="A43" s="69" t="s">
        <v>42</v>
      </c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354">
        <f>0.2*M42</f>
        <v>0</v>
      </c>
      <c r="N43" s="366"/>
      <c r="O43" s="367"/>
      <c r="P43" s="72"/>
      <c r="Q43" s="70"/>
      <c r="R43" s="73"/>
      <c r="S43" s="14"/>
    </row>
    <row r="44" spans="1:19" ht="20.149999999999999" customHeight="1">
      <c r="A44" s="69" t="s">
        <v>43</v>
      </c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354">
        <f>SUM(M42:M43)</f>
        <v>0</v>
      </c>
      <c r="N44" s="366"/>
      <c r="O44" s="367"/>
      <c r="P44" s="72"/>
      <c r="Q44" s="70"/>
      <c r="R44" s="73"/>
      <c r="S44" s="14"/>
    </row>
    <row r="45" spans="1:19" ht="20.149999999999999" customHeight="1">
      <c r="A45" s="69" t="s">
        <v>44</v>
      </c>
      <c r="B45" s="70"/>
      <c r="C45" s="70"/>
      <c r="D45" s="42"/>
      <c r="E45" s="14"/>
      <c r="G45" s="218">
        <v>0</v>
      </c>
      <c r="H45" s="74" t="s">
        <v>45</v>
      </c>
      <c r="I45" s="70"/>
      <c r="J45" s="70"/>
      <c r="K45" s="70"/>
      <c r="L45" s="70"/>
      <c r="M45" s="354">
        <f>G45*M39/100</f>
        <v>0</v>
      </c>
      <c r="N45" s="366"/>
      <c r="O45" s="367"/>
      <c r="P45" s="72"/>
      <c r="Q45" s="70"/>
      <c r="R45" s="73"/>
      <c r="S45" s="14"/>
    </row>
    <row r="46" spans="1:19" ht="20.149999999999999" customHeight="1">
      <c r="A46" s="69" t="s">
        <v>46</v>
      </c>
      <c r="B46" s="70"/>
      <c r="C46" s="70"/>
      <c r="D46" s="70"/>
      <c r="E46" s="70"/>
      <c r="F46" s="70"/>
      <c r="G46" s="218">
        <v>7.65</v>
      </c>
      <c r="H46" s="75" t="s">
        <v>45</v>
      </c>
      <c r="I46" s="70"/>
      <c r="J46" s="70"/>
      <c r="K46" s="70"/>
      <c r="L46" s="70"/>
      <c r="M46" s="354">
        <f>G46*M39/100</f>
        <v>0</v>
      </c>
      <c r="N46" s="366"/>
      <c r="O46" s="367"/>
      <c r="P46" s="72"/>
      <c r="Q46" s="70"/>
      <c r="R46" s="73"/>
      <c r="S46" s="14"/>
    </row>
    <row r="47" spans="1:19" ht="20.149999999999999" customHeight="1">
      <c r="A47" s="76" t="s">
        <v>47</v>
      </c>
      <c r="B47" s="42"/>
      <c r="C47" s="42"/>
      <c r="D47" s="14"/>
      <c r="E47" s="14"/>
      <c r="G47" s="219">
        <v>5.4</v>
      </c>
      <c r="H47" s="406" t="s">
        <v>48</v>
      </c>
      <c r="I47" s="406"/>
      <c r="J47" s="411">
        <v>0.8</v>
      </c>
      <c r="K47" s="412"/>
      <c r="L47" s="77" t="s">
        <v>49</v>
      </c>
      <c r="M47" s="407">
        <f>C48*M39/100</f>
        <v>0</v>
      </c>
      <c r="N47" s="408"/>
      <c r="O47" s="409"/>
      <c r="P47" s="41"/>
      <c r="Q47" s="42"/>
      <c r="R47" s="45"/>
      <c r="S47" s="14"/>
    </row>
    <row r="48" spans="1:19" ht="20.149999999999999" customHeight="1">
      <c r="A48" s="65" t="s">
        <v>50</v>
      </c>
      <c r="B48" s="66"/>
      <c r="C48" s="220">
        <f>G47+J47</f>
        <v>6.2</v>
      </c>
      <c r="D48" s="78" t="s">
        <v>49</v>
      </c>
      <c r="E48" s="78"/>
      <c r="F48" s="66"/>
      <c r="G48" s="79"/>
      <c r="H48" s="80"/>
      <c r="I48" s="80"/>
      <c r="J48" s="79"/>
      <c r="K48" s="79"/>
      <c r="L48" s="81"/>
      <c r="M48" s="380"/>
      <c r="N48" s="353"/>
      <c r="O48" s="410"/>
      <c r="P48" s="67"/>
      <c r="Q48" s="66"/>
      <c r="R48" s="68"/>
      <c r="S48" s="14"/>
    </row>
    <row r="49" spans="1:24" ht="20.149999999999999" customHeight="1">
      <c r="A49" s="69" t="s">
        <v>51</v>
      </c>
      <c r="B49" s="70"/>
      <c r="C49" s="70"/>
      <c r="D49" s="70"/>
      <c r="E49" s="70"/>
      <c r="F49" s="70"/>
      <c r="G49" s="221">
        <v>0</v>
      </c>
      <c r="H49" s="74" t="s">
        <v>45</v>
      </c>
      <c r="I49" s="70"/>
      <c r="J49" s="70"/>
      <c r="K49" s="70"/>
      <c r="L49" s="70"/>
      <c r="M49" s="354">
        <f>G49*M39/100</f>
        <v>0</v>
      </c>
      <c r="N49" s="366"/>
      <c r="O49" s="367"/>
      <c r="P49" s="72"/>
      <c r="Q49" s="70"/>
      <c r="R49" s="73"/>
      <c r="S49" s="14"/>
    </row>
    <row r="50" spans="1:24" ht="20.149999999999999" customHeight="1">
      <c r="A50" s="69" t="s">
        <v>52</v>
      </c>
      <c r="B50" s="70"/>
      <c r="C50" s="70"/>
      <c r="F50" s="70"/>
      <c r="G50" s="221">
        <v>0</v>
      </c>
      <c r="H50" s="74" t="s">
        <v>45</v>
      </c>
      <c r="I50" s="70"/>
      <c r="J50" s="70"/>
      <c r="K50" s="70"/>
      <c r="L50" s="70"/>
      <c r="M50" s="354">
        <f>G50*M39/100</f>
        <v>0</v>
      </c>
      <c r="N50" s="366"/>
      <c r="O50" s="367"/>
      <c r="P50" s="72"/>
      <c r="Q50" s="70"/>
      <c r="R50" s="73"/>
      <c r="S50" s="14"/>
    </row>
    <row r="51" spans="1:24" ht="20.149999999999999" customHeight="1">
      <c r="A51" s="69" t="s">
        <v>53</v>
      </c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354">
        <f>SUM(M45:N50)</f>
        <v>0</v>
      </c>
      <c r="N51" s="366"/>
      <c r="O51" s="367"/>
      <c r="P51" s="72"/>
      <c r="Q51" s="70"/>
      <c r="R51" s="73"/>
      <c r="S51" s="14"/>
    </row>
    <row r="52" spans="1:24" ht="20.149999999999999" customHeight="1">
      <c r="A52" s="82" t="s">
        <v>54</v>
      </c>
      <c r="B52" s="70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354">
        <f>0.1*M51</f>
        <v>0</v>
      </c>
      <c r="N52" s="366"/>
      <c r="O52" s="367"/>
      <c r="P52" s="83"/>
      <c r="Q52" s="14"/>
      <c r="R52" s="84"/>
      <c r="S52" s="14"/>
    </row>
    <row r="53" spans="1:24" ht="20.149999999999999" customHeight="1" thickBot="1">
      <c r="A53" s="85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7" t="s">
        <v>55</v>
      </c>
      <c r="M53" s="368">
        <f>M44+M51+M52</f>
        <v>0</v>
      </c>
      <c r="N53" s="369"/>
      <c r="O53" s="370"/>
      <c r="P53" s="88"/>
      <c r="Q53" s="86"/>
      <c r="R53" s="89"/>
      <c r="S53" s="14"/>
    </row>
    <row r="54" spans="1:24">
      <c r="M54" s="14"/>
      <c r="P54" s="14"/>
      <c r="Q54" s="14"/>
      <c r="R54" s="14"/>
    </row>
    <row r="55" spans="1:24">
      <c r="L55" s="90"/>
    </row>
    <row r="56" spans="1:24"/>
    <row r="57" spans="1:24">
      <c r="H57" s="91"/>
    </row>
    <row r="58" spans="1:24"/>
    <row r="59" spans="1:24"/>
    <row r="60" spans="1:24"/>
    <row r="61" spans="1:24"/>
    <row r="62" spans="1:24"/>
    <row r="63" spans="1:24" s="77" customFormat="1" ht="17.149999999999999" customHeight="1">
      <c r="V63" s="181"/>
      <c r="W63" s="181"/>
      <c r="X63" s="181"/>
    </row>
    <row r="64" spans="1:24" s="77" customFormat="1" ht="19.5" customHeight="1" thickBot="1">
      <c r="V64" s="181"/>
      <c r="W64" s="181"/>
      <c r="X64" s="181"/>
    </row>
    <row r="65" spans="1:24" s="77" customFormat="1" ht="19.5" customHeight="1" thickBot="1">
      <c r="A65" s="92"/>
      <c r="B65" s="93"/>
      <c r="C65" s="93"/>
      <c r="D65" s="93"/>
      <c r="E65" s="93"/>
      <c r="F65" s="93"/>
      <c r="G65" s="93"/>
      <c r="H65" s="93"/>
      <c r="I65" s="94" t="s">
        <v>56</v>
      </c>
      <c r="J65" s="93"/>
      <c r="K65" s="93"/>
      <c r="L65" s="93"/>
      <c r="M65" s="93"/>
      <c r="N65" s="93"/>
      <c r="O65" s="93"/>
      <c r="P65" s="93"/>
      <c r="Q65" s="93"/>
      <c r="R65" s="95"/>
      <c r="V65" s="181"/>
      <c r="W65" s="181"/>
      <c r="X65" s="181"/>
    </row>
    <row r="66" spans="1:24" s="77" customFormat="1" ht="19.5" customHeight="1">
      <c r="A66" s="65"/>
      <c r="B66" s="96"/>
      <c r="C66" s="96"/>
      <c r="D66" s="96"/>
      <c r="E66" s="96"/>
      <c r="F66" s="96"/>
      <c r="G66" s="96"/>
      <c r="H66" s="96"/>
      <c r="I66" s="97" t="s">
        <v>57</v>
      </c>
      <c r="J66" s="96"/>
      <c r="K66" s="96"/>
      <c r="L66" s="96"/>
      <c r="M66" s="96"/>
      <c r="N66" s="96"/>
      <c r="O66" s="96"/>
      <c r="P66" s="96"/>
      <c r="Q66" s="96"/>
      <c r="R66" s="98"/>
      <c r="V66" s="181"/>
      <c r="W66" s="181"/>
      <c r="X66" s="181"/>
    </row>
    <row r="67" spans="1:24" s="77" customFormat="1" ht="19.5" customHeight="1">
      <c r="A67" s="99" t="s">
        <v>12</v>
      </c>
      <c r="B67" s="100" t="s">
        <v>12</v>
      </c>
      <c r="C67" s="101"/>
      <c r="D67" s="335" t="s">
        <v>15</v>
      </c>
      <c r="E67" s="335"/>
      <c r="F67" s="102"/>
      <c r="G67" s="100" t="s">
        <v>12</v>
      </c>
      <c r="H67" s="100" t="s">
        <v>12</v>
      </c>
      <c r="I67" s="101"/>
      <c r="J67" s="416" t="s">
        <v>16</v>
      </c>
      <c r="K67" s="416"/>
      <c r="L67" s="102"/>
      <c r="M67" s="100" t="s">
        <v>12</v>
      </c>
      <c r="N67" s="100" t="s">
        <v>12</v>
      </c>
      <c r="O67" s="101"/>
      <c r="P67" s="416" t="s">
        <v>17</v>
      </c>
      <c r="Q67" s="416"/>
      <c r="R67" s="103"/>
      <c r="V67" s="181"/>
      <c r="W67" s="181"/>
      <c r="X67" s="181"/>
    </row>
    <row r="68" spans="1:24" s="77" customFormat="1" ht="19.5" customHeight="1">
      <c r="A68" s="104" t="s">
        <v>13</v>
      </c>
      <c r="B68" s="105" t="s">
        <v>14</v>
      </c>
      <c r="C68" s="106"/>
      <c r="D68" s="415" t="s">
        <v>20</v>
      </c>
      <c r="E68" s="415"/>
      <c r="F68" s="107"/>
      <c r="G68" s="105" t="s">
        <v>13</v>
      </c>
      <c r="H68" s="105" t="s">
        <v>14</v>
      </c>
      <c r="I68" s="106"/>
      <c r="J68" s="415" t="s">
        <v>20</v>
      </c>
      <c r="K68" s="415"/>
      <c r="L68" s="107"/>
      <c r="M68" s="105" t="s">
        <v>13</v>
      </c>
      <c r="N68" s="105" t="s">
        <v>14</v>
      </c>
      <c r="O68" s="106"/>
      <c r="P68" s="415" t="s">
        <v>20</v>
      </c>
      <c r="Q68" s="415"/>
      <c r="R68" s="108"/>
      <c r="V68" s="181"/>
      <c r="W68" s="181"/>
      <c r="X68" s="181"/>
    </row>
    <row r="69" spans="1:24" s="77" customFormat="1" ht="19.5" customHeight="1">
      <c r="A69" s="109" t="s">
        <v>18</v>
      </c>
      <c r="B69" s="110" t="s">
        <v>19</v>
      </c>
      <c r="C69" s="413" t="s">
        <v>133</v>
      </c>
      <c r="D69" s="414"/>
      <c r="E69" s="413" t="s">
        <v>134</v>
      </c>
      <c r="F69" s="414"/>
      <c r="G69" s="110" t="s">
        <v>18</v>
      </c>
      <c r="H69" s="110" t="s">
        <v>19</v>
      </c>
      <c r="I69" s="413" t="s">
        <v>133</v>
      </c>
      <c r="J69" s="414"/>
      <c r="K69" s="413" t="s">
        <v>134</v>
      </c>
      <c r="L69" s="414"/>
      <c r="M69" s="110" t="s">
        <v>18</v>
      </c>
      <c r="N69" s="110" t="s">
        <v>19</v>
      </c>
      <c r="O69" s="413" t="s">
        <v>133</v>
      </c>
      <c r="P69" s="414"/>
      <c r="Q69" s="413" t="s">
        <v>134</v>
      </c>
      <c r="R69" s="462"/>
      <c r="V69" s="181"/>
      <c r="W69" s="181"/>
      <c r="X69" s="181"/>
    </row>
    <row r="70" spans="1:24" s="77" customFormat="1" ht="19.5" customHeight="1">
      <c r="A70" s="111" t="str">
        <f>A17</f>
        <v/>
      </c>
      <c r="B70" s="112">
        <v>1</v>
      </c>
      <c r="C70" s="417" t="str">
        <f t="shared" ref="C70:C79" si="6">IF(SUMIFS(Total_MS,Fecha_Inf_MS,$Z$1&amp;TEXT(B70,"00"),Desc_MS,"M")&gt;0,SUMIFS(Total_MS,Fecha_Inf_MS,$Z$1&amp;TEXT(B70,"00"),Desc_MS,"M"),"")</f>
        <v/>
      </c>
      <c r="D70" s="418"/>
      <c r="E70" s="417" t="str">
        <f t="shared" ref="E70:E79" si="7">IF(SUMIFS(Total_MS,Fecha_Inf_MS,$Z$1&amp;TEXT(B70,"00"),Desc_MS,"S")&gt;0,SUMIFS(Total_MS,Fecha_Inf_MS,$Z$1&amp;TEXT(B70,"00"),Desc_MS,"S"),"")</f>
        <v/>
      </c>
      <c r="F70" s="419"/>
      <c r="G70" s="51" t="str">
        <f>G17</f>
        <v/>
      </c>
      <c r="H70" s="112">
        <v>11</v>
      </c>
      <c r="I70" s="417" t="str">
        <f t="shared" ref="I70:I79" si="8">IF(SUMIFS(Total_MS,Fecha_Inf_MS,$Z$1&amp;TEXT(H70,"00"),Desc_MS,"M")&gt;0,SUMIFS(Total_MS,Fecha_Inf_MS,$Z$1&amp;TEXT(H70,"00"),Desc_MS,"M"),"")</f>
        <v/>
      </c>
      <c r="J70" s="418"/>
      <c r="K70" s="417" t="str">
        <f t="shared" ref="K70:K79" si="9">IF(SUMIFS(Total_MS,Fecha_Inf_MS,$Z$1&amp;TEXT(H70,"00"),Desc_MS,"S")&gt;0,SUMIFS(Total_MS,Fecha_Inf_MS,$Z$1&amp;TEXT(H70,"00"),Desc_MS,"S"),"")</f>
        <v/>
      </c>
      <c r="L70" s="419"/>
      <c r="M70" s="51" t="str">
        <f>M17</f>
        <v/>
      </c>
      <c r="N70" s="52">
        <v>21</v>
      </c>
      <c r="O70" s="417" t="str">
        <f t="shared" ref="O70:O80" si="10">IF(SUMIFS(Total_MS,Fecha_Inf_MS,$Z$1&amp;TEXT(N70,"00"),Desc_MS,"M")&gt;0,SUMIFS(Total_MS,Fecha_Inf_MS,$Z$1&amp;TEXT(N70,"00"),Desc_MS,"M"),"")</f>
        <v/>
      </c>
      <c r="P70" s="418"/>
      <c r="Q70" s="417" t="str">
        <f t="shared" ref="Q70:Q80" si="11">IF(SUMIFS(Total_MS,Fecha_Inf_MS,$Z$1&amp;TEXT(N70,"00"),Desc_MS,"S")&gt;0,SUMIFS(Total_MS,Fecha_Inf_MS,$Z$1&amp;TEXT(N70,"00"),Desc_MS,"S"),"")</f>
        <v/>
      </c>
      <c r="R70" s="461"/>
      <c r="V70" s="181"/>
      <c r="W70" s="181"/>
      <c r="X70" s="181"/>
    </row>
    <row r="71" spans="1:24" s="77" customFormat="1" ht="19.5" customHeight="1">
      <c r="A71" s="111" t="str">
        <f t="shared" ref="A71:A79" si="12">A18</f>
        <v/>
      </c>
      <c r="B71" s="112">
        <v>2</v>
      </c>
      <c r="C71" s="417" t="str">
        <f t="shared" si="6"/>
        <v/>
      </c>
      <c r="D71" s="418"/>
      <c r="E71" s="417" t="str">
        <f t="shared" si="7"/>
        <v/>
      </c>
      <c r="F71" s="419"/>
      <c r="G71" s="51" t="str">
        <f t="shared" ref="G71:G79" si="13">G18</f>
        <v/>
      </c>
      <c r="H71" s="112">
        <v>12</v>
      </c>
      <c r="I71" s="417" t="str">
        <f t="shared" si="8"/>
        <v/>
      </c>
      <c r="J71" s="418"/>
      <c r="K71" s="417" t="str">
        <f t="shared" si="9"/>
        <v/>
      </c>
      <c r="L71" s="419"/>
      <c r="M71" s="51" t="str">
        <f t="shared" ref="M71:M80" si="14">M18</f>
        <v/>
      </c>
      <c r="N71" s="52">
        <v>22</v>
      </c>
      <c r="O71" s="417" t="str">
        <f t="shared" si="10"/>
        <v/>
      </c>
      <c r="P71" s="418"/>
      <c r="Q71" s="417" t="str">
        <f t="shared" si="11"/>
        <v/>
      </c>
      <c r="R71" s="461"/>
      <c r="V71" s="181"/>
      <c r="W71" s="181"/>
      <c r="X71" s="181"/>
    </row>
    <row r="72" spans="1:24" s="77" customFormat="1" ht="19.5" customHeight="1">
      <c r="A72" s="111" t="str">
        <f t="shared" si="12"/>
        <v/>
      </c>
      <c r="B72" s="112">
        <v>3</v>
      </c>
      <c r="C72" s="417" t="str">
        <f t="shared" si="6"/>
        <v/>
      </c>
      <c r="D72" s="418"/>
      <c r="E72" s="417" t="str">
        <f t="shared" si="7"/>
        <v/>
      </c>
      <c r="F72" s="419"/>
      <c r="G72" s="51" t="str">
        <f t="shared" si="13"/>
        <v/>
      </c>
      <c r="H72" s="112">
        <v>13</v>
      </c>
      <c r="I72" s="417" t="str">
        <f t="shared" si="8"/>
        <v/>
      </c>
      <c r="J72" s="418"/>
      <c r="K72" s="417" t="str">
        <f t="shared" si="9"/>
        <v/>
      </c>
      <c r="L72" s="419"/>
      <c r="M72" s="51" t="str">
        <f t="shared" si="14"/>
        <v/>
      </c>
      <c r="N72" s="52">
        <v>23</v>
      </c>
      <c r="O72" s="417" t="str">
        <f t="shared" si="10"/>
        <v/>
      </c>
      <c r="P72" s="418"/>
      <c r="Q72" s="417" t="str">
        <f t="shared" si="11"/>
        <v/>
      </c>
      <c r="R72" s="461"/>
      <c r="V72" s="181"/>
      <c r="W72" s="181"/>
      <c r="X72" s="181"/>
    </row>
    <row r="73" spans="1:24" s="77" customFormat="1" ht="19.5" customHeight="1">
      <c r="A73" s="111" t="str">
        <f t="shared" si="12"/>
        <v/>
      </c>
      <c r="B73" s="112">
        <v>4</v>
      </c>
      <c r="C73" s="417" t="str">
        <f t="shared" si="6"/>
        <v/>
      </c>
      <c r="D73" s="418"/>
      <c r="E73" s="417" t="str">
        <f t="shared" si="7"/>
        <v/>
      </c>
      <c r="F73" s="419"/>
      <c r="G73" s="51" t="str">
        <f t="shared" si="13"/>
        <v/>
      </c>
      <c r="H73" s="112">
        <v>14</v>
      </c>
      <c r="I73" s="417" t="str">
        <f t="shared" si="8"/>
        <v/>
      </c>
      <c r="J73" s="418"/>
      <c r="K73" s="417" t="str">
        <f t="shared" si="9"/>
        <v/>
      </c>
      <c r="L73" s="419"/>
      <c r="M73" s="51" t="str">
        <f t="shared" si="14"/>
        <v/>
      </c>
      <c r="N73" s="52">
        <v>24</v>
      </c>
      <c r="O73" s="417" t="str">
        <f t="shared" si="10"/>
        <v/>
      </c>
      <c r="P73" s="418"/>
      <c r="Q73" s="417" t="str">
        <f t="shared" si="11"/>
        <v/>
      </c>
      <c r="R73" s="461"/>
      <c r="V73" s="181"/>
      <c r="W73" s="181"/>
      <c r="X73" s="181"/>
    </row>
    <row r="74" spans="1:24" s="77" customFormat="1" ht="19.5" customHeight="1">
      <c r="A74" s="111" t="str">
        <f t="shared" si="12"/>
        <v/>
      </c>
      <c r="B74" s="112">
        <v>5</v>
      </c>
      <c r="C74" s="417" t="str">
        <f t="shared" si="6"/>
        <v/>
      </c>
      <c r="D74" s="418"/>
      <c r="E74" s="417" t="str">
        <f t="shared" si="7"/>
        <v/>
      </c>
      <c r="F74" s="419"/>
      <c r="G74" s="51" t="str">
        <f t="shared" si="13"/>
        <v/>
      </c>
      <c r="H74" s="112">
        <v>15</v>
      </c>
      <c r="I74" s="417" t="str">
        <f t="shared" si="8"/>
        <v/>
      </c>
      <c r="J74" s="418"/>
      <c r="K74" s="417" t="str">
        <f t="shared" si="9"/>
        <v/>
      </c>
      <c r="L74" s="419"/>
      <c r="M74" s="51" t="str">
        <f t="shared" si="14"/>
        <v/>
      </c>
      <c r="N74" s="52">
        <v>25</v>
      </c>
      <c r="O74" s="417" t="str">
        <f t="shared" si="10"/>
        <v/>
      </c>
      <c r="P74" s="418"/>
      <c r="Q74" s="417" t="str">
        <f t="shared" si="11"/>
        <v/>
      </c>
      <c r="R74" s="461"/>
      <c r="V74" s="181"/>
      <c r="W74" s="181"/>
      <c r="X74" s="181"/>
    </row>
    <row r="75" spans="1:24" s="77" customFormat="1" ht="19.5" customHeight="1">
      <c r="A75" s="111" t="str">
        <f t="shared" si="12"/>
        <v/>
      </c>
      <c r="B75" s="112">
        <v>6</v>
      </c>
      <c r="C75" s="417" t="str">
        <f t="shared" si="6"/>
        <v/>
      </c>
      <c r="D75" s="418"/>
      <c r="E75" s="417" t="str">
        <f t="shared" si="7"/>
        <v/>
      </c>
      <c r="F75" s="419"/>
      <c r="G75" s="51" t="str">
        <f t="shared" si="13"/>
        <v/>
      </c>
      <c r="H75" s="112">
        <v>16</v>
      </c>
      <c r="I75" s="417" t="str">
        <f t="shared" si="8"/>
        <v/>
      </c>
      <c r="J75" s="418"/>
      <c r="K75" s="417" t="str">
        <f t="shared" si="9"/>
        <v/>
      </c>
      <c r="L75" s="419"/>
      <c r="M75" s="51" t="str">
        <f t="shared" si="14"/>
        <v/>
      </c>
      <c r="N75" s="52">
        <v>26</v>
      </c>
      <c r="O75" s="417" t="str">
        <f t="shared" si="10"/>
        <v/>
      </c>
      <c r="P75" s="418"/>
      <c r="Q75" s="417" t="str">
        <f t="shared" si="11"/>
        <v/>
      </c>
      <c r="R75" s="461"/>
      <c r="V75" s="181"/>
      <c r="W75" s="181"/>
      <c r="X75" s="181"/>
    </row>
    <row r="76" spans="1:24" s="77" customFormat="1" ht="19.5" customHeight="1">
      <c r="A76" s="111" t="str">
        <f t="shared" si="12"/>
        <v/>
      </c>
      <c r="B76" s="112">
        <v>7</v>
      </c>
      <c r="C76" s="417" t="str">
        <f t="shared" si="6"/>
        <v/>
      </c>
      <c r="D76" s="418"/>
      <c r="E76" s="417" t="str">
        <f t="shared" si="7"/>
        <v/>
      </c>
      <c r="F76" s="419"/>
      <c r="G76" s="51" t="str">
        <f t="shared" si="13"/>
        <v/>
      </c>
      <c r="H76" s="112">
        <v>17</v>
      </c>
      <c r="I76" s="417" t="str">
        <f t="shared" si="8"/>
        <v/>
      </c>
      <c r="J76" s="418"/>
      <c r="K76" s="417" t="str">
        <f t="shared" si="9"/>
        <v/>
      </c>
      <c r="L76" s="419"/>
      <c r="M76" s="51" t="str">
        <f t="shared" si="14"/>
        <v/>
      </c>
      <c r="N76" s="52">
        <v>27</v>
      </c>
      <c r="O76" s="417" t="str">
        <f t="shared" si="10"/>
        <v/>
      </c>
      <c r="P76" s="418"/>
      <c r="Q76" s="417" t="str">
        <f t="shared" si="11"/>
        <v/>
      </c>
      <c r="R76" s="461"/>
      <c r="V76" s="181"/>
      <c r="W76" s="181"/>
      <c r="X76" s="181"/>
    </row>
    <row r="77" spans="1:24" s="77" customFormat="1" ht="19.5" customHeight="1">
      <c r="A77" s="111" t="str">
        <f t="shared" si="12"/>
        <v/>
      </c>
      <c r="B77" s="112">
        <v>8</v>
      </c>
      <c r="C77" s="417" t="str">
        <f t="shared" si="6"/>
        <v/>
      </c>
      <c r="D77" s="418"/>
      <c r="E77" s="417" t="str">
        <f t="shared" si="7"/>
        <v/>
      </c>
      <c r="F77" s="419"/>
      <c r="G77" s="51" t="str">
        <f t="shared" si="13"/>
        <v/>
      </c>
      <c r="H77" s="112">
        <v>18</v>
      </c>
      <c r="I77" s="417" t="str">
        <f t="shared" si="8"/>
        <v/>
      </c>
      <c r="J77" s="418"/>
      <c r="K77" s="417" t="str">
        <f t="shared" si="9"/>
        <v/>
      </c>
      <c r="L77" s="419"/>
      <c r="M77" s="51" t="str">
        <f t="shared" si="14"/>
        <v/>
      </c>
      <c r="N77" s="52">
        <v>28</v>
      </c>
      <c r="O77" s="417" t="str">
        <f t="shared" si="10"/>
        <v/>
      </c>
      <c r="P77" s="418"/>
      <c r="Q77" s="417" t="str">
        <f t="shared" si="11"/>
        <v/>
      </c>
      <c r="R77" s="461"/>
      <c r="V77" s="181"/>
      <c r="W77" s="181"/>
      <c r="X77" s="181"/>
    </row>
    <row r="78" spans="1:24" s="77" customFormat="1" ht="19.5" customHeight="1">
      <c r="A78" s="111" t="str">
        <f t="shared" si="12"/>
        <v/>
      </c>
      <c r="B78" s="112">
        <v>9</v>
      </c>
      <c r="C78" s="417" t="str">
        <f t="shared" si="6"/>
        <v/>
      </c>
      <c r="D78" s="418"/>
      <c r="E78" s="417" t="str">
        <f t="shared" si="7"/>
        <v/>
      </c>
      <c r="F78" s="419"/>
      <c r="G78" s="51" t="str">
        <f t="shared" si="13"/>
        <v/>
      </c>
      <c r="H78" s="112">
        <v>19</v>
      </c>
      <c r="I78" s="417" t="str">
        <f t="shared" si="8"/>
        <v/>
      </c>
      <c r="J78" s="418"/>
      <c r="K78" s="417" t="str">
        <f t="shared" si="9"/>
        <v/>
      </c>
      <c r="L78" s="419"/>
      <c r="M78" s="51" t="str">
        <f t="shared" si="14"/>
        <v/>
      </c>
      <c r="N78" s="52">
        <v>29</v>
      </c>
      <c r="O78" s="417" t="str">
        <f t="shared" si="10"/>
        <v/>
      </c>
      <c r="P78" s="418"/>
      <c r="Q78" s="417" t="str">
        <f t="shared" si="11"/>
        <v/>
      </c>
      <c r="R78" s="461"/>
      <c r="V78" s="181"/>
      <c r="W78" s="181"/>
      <c r="X78" s="181"/>
    </row>
    <row r="79" spans="1:24" s="77" customFormat="1" ht="19.5" customHeight="1">
      <c r="A79" s="111" t="str">
        <f t="shared" si="12"/>
        <v/>
      </c>
      <c r="B79" s="113">
        <v>10</v>
      </c>
      <c r="C79" s="417" t="str">
        <f t="shared" si="6"/>
        <v/>
      </c>
      <c r="D79" s="418"/>
      <c r="E79" s="417" t="str">
        <f t="shared" si="7"/>
        <v/>
      </c>
      <c r="F79" s="419"/>
      <c r="G79" s="51" t="str">
        <f t="shared" si="13"/>
        <v/>
      </c>
      <c r="H79" s="113">
        <v>20</v>
      </c>
      <c r="I79" s="417" t="str">
        <f t="shared" si="8"/>
        <v/>
      </c>
      <c r="J79" s="418"/>
      <c r="K79" s="417" t="str">
        <f t="shared" si="9"/>
        <v/>
      </c>
      <c r="L79" s="419"/>
      <c r="M79" s="51" t="str">
        <f t="shared" si="14"/>
        <v/>
      </c>
      <c r="N79" s="53">
        <v>30</v>
      </c>
      <c r="O79" s="417" t="str">
        <f t="shared" si="10"/>
        <v/>
      </c>
      <c r="P79" s="418"/>
      <c r="Q79" s="417" t="str">
        <f t="shared" si="11"/>
        <v/>
      </c>
      <c r="R79" s="461"/>
      <c r="V79" s="181"/>
      <c r="W79" s="181"/>
      <c r="X79" s="181"/>
    </row>
    <row r="80" spans="1:24" s="77" customFormat="1" ht="19.5" customHeight="1">
      <c r="A80" s="426" t="s">
        <v>242</v>
      </c>
      <c r="B80" s="427"/>
      <c r="C80" s="427"/>
      <c r="D80" s="427"/>
      <c r="E80" s="427"/>
      <c r="F80" s="427"/>
      <c r="G80" s="427"/>
      <c r="H80" s="427"/>
      <c r="I80" s="427"/>
      <c r="J80" s="427"/>
      <c r="K80" s="427"/>
      <c r="L80" s="428"/>
      <c r="M80" s="51" t="str">
        <f t="shared" si="14"/>
        <v/>
      </c>
      <c r="N80" s="52">
        <v>31</v>
      </c>
      <c r="O80" s="417" t="str">
        <f t="shared" si="10"/>
        <v/>
      </c>
      <c r="P80" s="418"/>
      <c r="Q80" s="417" t="str">
        <f t="shared" si="11"/>
        <v/>
      </c>
      <c r="R80" s="461"/>
      <c r="V80" s="181"/>
      <c r="W80" s="181"/>
      <c r="X80" s="181"/>
    </row>
    <row r="81" spans="1:24" s="77" customFormat="1" ht="19.5" customHeight="1">
      <c r="A81" s="114"/>
      <c r="B81" s="115" t="s">
        <v>21</v>
      </c>
      <c r="C81" s="423">
        <f>SUM(C70:D79)</f>
        <v>0</v>
      </c>
      <c r="D81" s="424"/>
      <c r="E81" s="423">
        <f>SUM(E70:F79)</f>
        <v>0</v>
      </c>
      <c r="F81" s="425"/>
      <c r="G81" s="116"/>
      <c r="H81" s="117" t="s">
        <v>22</v>
      </c>
      <c r="I81" s="423">
        <f>SUM(I70:J79)</f>
        <v>0</v>
      </c>
      <c r="J81" s="424"/>
      <c r="K81" s="423">
        <f>SUM(K70:L79)</f>
        <v>0</v>
      </c>
      <c r="L81" s="424"/>
      <c r="M81" s="118"/>
      <c r="N81" s="117" t="s">
        <v>23</v>
      </c>
      <c r="O81" s="423">
        <f>SUM(O70:P79)</f>
        <v>0</v>
      </c>
      <c r="P81" s="424"/>
      <c r="Q81" s="423">
        <f>SUM(Q70:R79)</f>
        <v>0</v>
      </c>
      <c r="R81" s="463"/>
      <c r="V81" s="181"/>
      <c r="W81" s="181"/>
      <c r="X81" s="181"/>
    </row>
    <row r="82" spans="1:24" s="77" customFormat="1" ht="19.5" customHeight="1" thickBot="1">
      <c r="A82" s="119"/>
      <c r="B82" s="120"/>
      <c r="C82" s="120"/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61" t="s">
        <v>58</v>
      </c>
      <c r="O82" s="422">
        <f>C81+I81+O81</f>
        <v>0</v>
      </c>
      <c r="P82" s="414"/>
      <c r="Q82" s="459">
        <f>E81+K81+Q81</f>
        <v>0</v>
      </c>
      <c r="R82" s="460"/>
      <c r="V82" s="181"/>
      <c r="W82" s="181"/>
      <c r="X82" s="181"/>
    </row>
    <row r="83" spans="1:24" s="77" customFormat="1" ht="19.5" customHeight="1" thickBot="1">
      <c r="A83" s="457" t="s">
        <v>59</v>
      </c>
      <c r="B83" s="458"/>
      <c r="C83" s="458"/>
      <c r="D83" s="458"/>
      <c r="E83" s="458"/>
      <c r="F83" s="458"/>
      <c r="G83" s="458"/>
      <c r="H83" s="458"/>
      <c r="I83" s="458"/>
      <c r="J83" s="458"/>
      <c r="K83" s="458"/>
      <c r="L83" s="458"/>
      <c r="M83" s="458"/>
      <c r="N83" s="458"/>
      <c r="O83" s="122"/>
      <c r="P83" s="122"/>
      <c r="Q83" s="122"/>
      <c r="R83" s="64" t="s">
        <v>26</v>
      </c>
      <c r="T83" s="123"/>
      <c r="V83" s="181"/>
      <c r="W83" s="181"/>
      <c r="X83" s="181"/>
    </row>
    <row r="84" spans="1:24" s="77" customFormat="1" ht="19.5" customHeight="1">
      <c r="A84" s="124" t="s">
        <v>60</v>
      </c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363">
        <f>SUM(O82:R82)</f>
        <v>0</v>
      </c>
      <c r="N84" s="420"/>
      <c r="O84" s="421"/>
      <c r="P84" s="125"/>
      <c r="Q84" s="78"/>
      <c r="R84" s="126"/>
      <c r="V84" s="181"/>
      <c r="W84" s="181"/>
      <c r="X84" s="181"/>
    </row>
    <row r="85" spans="1:24" s="77" customFormat="1" ht="19.5" customHeight="1">
      <c r="A85" s="69" t="s">
        <v>61</v>
      </c>
      <c r="B85" s="74"/>
      <c r="C85" s="74"/>
      <c r="D85" s="74"/>
      <c r="E85" s="431">
        <v>0.15</v>
      </c>
      <c r="F85" s="451"/>
      <c r="G85" s="455" t="s">
        <v>133</v>
      </c>
      <c r="H85" s="456"/>
      <c r="I85" s="431">
        <v>0.15</v>
      </c>
      <c r="J85" s="452"/>
      <c r="K85" s="453" t="s">
        <v>134</v>
      </c>
      <c r="L85" s="454"/>
      <c r="M85" s="354">
        <f>O82*E85+Q82*I85</f>
        <v>0</v>
      </c>
      <c r="N85" s="355"/>
      <c r="O85" s="356"/>
      <c r="P85" s="127"/>
      <c r="Q85" s="74"/>
      <c r="R85" s="128"/>
      <c r="V85" s="181"/>
      <c r="W85" s="181"/>
      <c r="X85" s="181"/>
    </row>
    <row r="86" spans="1:24" s="77" customFormat="1" ht="19.5" customHeight="1" thickBot="1">
      <c r="A86" s="76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30" t="s">
        <v>62</v>
      </c>
      <c r="M86" s="368">
        <f>SUM(M84:O85)</f>
        <v>0</v>
      </c>
      <c r="N86" s="449"/>
      <c r="O86" s="450"/>
      <c r="P86" s="131"/>
      <c r="Q86" s="129"/>
      <c r="R86" s="132"/>
      <c r="V86" s="181"/>
      <c r="W86" s="181"/>
      <c r="X86" s="181"/>
    </row>
    <row r="87" spans="1:24" s="77" customFormat="1" ht="19.5" customHeight="1" thickBot="1">
      <c r="A87" s="133"/>
      <c r="B87" s="122"/>
      <c r="C87" s="122"/>
      <c r="D87" s="122"/>
      <c r="E87" s="122"/>
      <c r="F87" s="122"/>
      <c r="G87" s="122"/>
      <c r="H87" s="122"/>
      <c r="I87" s="121" t="s">
        <v>63</v>
      </c>
      <c r="J87" s="122"/>
      <c r="K87" s="122"/>
      <c r="L87" s="122"/>
      <c r="M87" s="122"/>
      <c r="N87" s="122"/>
      <c r="O87" s="122"/>
      <c r="P87" s="122"/>
      <c r="Q87" s="122"/>
      <c r="R87" s="134"/>
      <c r="V87" s="181"/>
      <c r="W87" s="181"/>
      <c r="X87" s="181"/>
    </row>
    <row r="88" spans="1:24" s="77" customFormat="1" ht="19.5" customHeight="1">
      <c r="A88" s="357" t="s">
        <v>64</v>
      </c>
      <c r="B88" s="358"/>
      <c r="C88" s="358"/>
      <c r="D88" s="358"/>
      <c r="E88" s="358"/>
      <c r="F88" s="358"/>
      <c r="G88" s="358"/>
      <c r="H88" s="358"/>
      <c r="I88" s="358"/>
      <c r="J88" s="358"/>
      <c r="K88" s="358"/>
      <c r="L88" s="358"/>
      <c r="M88" s="358"/>
      <c r="N88" s="358"/>
      <c r="O88" s="358"/>
      <c r="P88" s="358"/>
      <c r="Q88" s="358"/>
      <c r="R88" s="359"/>
      <c r="V88" s="181"/>
      <c r="W88" s="181"/>
      <c r="X88" s="181"/>
    </row>
    <row r="89" spans="1:24" s="77" customFormat="1" ht="19.5" customHeight="1" thickBot="1">
      <c r="A89" s="360"/>
      <c r="B89" s="361"/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2"/>
      <c r="V89" s="181"/>
      <c r="W89" s="181"/>
      <c r="X89" s="181"/>
    </row>
    <row r="90" spans="1:24" s="77" customFormat="1" ht="19.5" customHeight="1" thickBot="1">
      <c r="A90" s="92"/>
      <c r="B90" s="122"/>
      <c r="C90" s="122"/>
      <c r="D90" s="122"/>
      <c r="E90" s="122"/>
      <c r="F90" s="122"/>
      <c r="G90" s="122"/>
      <c r="H90" s="122"/>
      <c r="I90" s="94" t="s">
        <v>65</v>
      </c>
      <c r="J90" s="122"/>
      <c r="K90" s="122"/>
      <c r="L90" s="122"/>
      <c r="M90" s="122"/>
      <c r="N90" s="122"/>
      <c r="O90" s="122"/>
      <c r="P90" s="122"/>
      <c r="Q90" s="122"/>
      <c r="R90" s="134"/>
      <c r="V90" s="181"/>
      <c r="W90" s="181"/>
      <c r="X90" s="181"/>
    </row>
    <row r="91" spans="1:24" s="77" customFormat="1" ht="19.5" customHeight="1">
      <c r="A91" s="65" t="s">
        <v>66</v>
      </c>
      <c r="B91" s="78"/>
      <c r="C91" s="78"/>
      <c r="D91" s="78"/>
      <c r="E91" s="78"/>
      <c r="F91" s="78"/>
      <c r="G91" s="78"/>
      <c r="H91" s="78"/>
      <c r="I91" s="78"/>
      <c r="J91" s="78"/>
      <c r="K91" s="135"/>
      <c r="M91" s="363">
        <f>SUM('Equipo FA'!T47,'Equipo FA'!T97,'Equipo FA'!T147)</f>
        <v>0</v>
      </c>
      <c r="N91" s="364"/>
      <c r="O91" s="365"/>
      <c r="P91" s="136" t="s">
        <v>67</v>
      </c>
      <c r="Q91" s="96"/>
      <c r="R91" s="137"/>
      <c r="V91" s="181"/>
      <c r="W91" s="181"/>
      <c r="X91" s="181"/>
    </row>
    <row r="92" spans="1:24" s="77" customFormat="1" ht="19.5" customHeight="1">
      <c r="A92" s="69" t="s">
        <v>68</v>
      </c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354">
        <f>0.15*M91</f>
        <v>0</v>
      </c>
      <c r="N92" s="366"/>
      <c r="O92" s="367"/>
      <c r="P92" s="127"/>
      <c r="Q92" s="74"/>
      <c r="R92" s="128"/>
      <c r="V92" s="181"/>
      <c r="W92" s="181"/>
      <c r="X92" s="181"/>
    </row>
    <row r="93" spans="1:24" s="77" customFormat="1" ht="19.5" customHeight="1">
      <c r="A93" s="69" t="s">
        <v>69</v>
      </c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138"/>
      <c r="M93" s="354">
        <f>SUM('Equipo FA'!AF47,'Equipo FA'!AF97,'Equipo FA'!AF147)</f>
        <v>0</v>
      </c>
      <c r="N93" s="366"/>
      <c r="O93" s="367"/>
      <c r="P93" s="139" t="s">
        <v>70</v>
      </c>
      <c r="Q93" s="71"/>
      <c r="R93" s="128"/>
      <c r="V93" s="181"/>
      <c r="W93" s="181"/>
      <c r="X93" s="181"/>
    </row>
    <row r="94" spans="1:24" s="77" customFormat="1" ht="19.5" customHeight="1">
      <c r="A94" s="69" t="s">
        <v>71</v>
      </c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138"/>
      <c r="M94" s="354">
        <f>SUM('Equipo FA'!N47,'Equipo FA'!N97,'Equipo FA'!N147)</f>
        <v>0</v>
      </c>
      <c r="N94" s="366"/>
      <c r="O94" s="367"/>
      <c r="P94" s="139" t="s">
        <v>72</v>
      </c>
      <c r="Q94" s="71"/>
      <c r="R94" s="128"/>
      <c r="V94" s="181"/>
      <c r="W94" s="181"/>
      <c r="X94" s="181"/>
    </row>
    <row r="95" spans="1:24" s="77" customFormat="1" ht="19.5" customHeight="1" thickBot="1">
      <c r="A95" s="140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2" t="s">
        <v>73</v>
      </c>
      <c r="M95" s="368">
        <f>SUM(M92:O94)</f>
        <v>0</v>
      </c>
      <c r="N95" s="369"/>
      <c r="O95" s="370"/>
      <c r="P95" s="143"/>
      <c r="Q95" s="141"/>
      <c r="R95" s="144"/>
      <c r="V95" s="181"/>
      <c r="W95" s="181"/>
      <c r="X95" s="181"/>
    </row>
    <row r="96" spans="1:24" s="77" customFormat="1" ht="19.5" customHeight="1" thickBot="1">
      <c r="V96" s="181"/>
      <c r="W96" s="181"/>
      <c r="X96" s="181"/>
    </row>
    <row r="97" spans="1:24" s="77" customFormat="1" ht="19.5" customHeight="1" thickBot="1">
      <c r="A97" s="133"/>
      <c r="B97" s="122"/>
      <c r="C97" s="122"/>
      <c r="D97" s="122"/>
      <c r="E97" s="122"/>
      <c r="F97" s="122"/>
      <c r="G97" s="122"/>
      <c r="H97" s="122"/>
      <c r="I97" s="94" t="s">
        <v>74</v>
      </c>
      <c r="J97" s="122"/>
      <c r="K97" s="122"/>
      <c r="L97" s="122"/>
      <c r="M97" s="122"/>
      <c r="N97" s="122"/>
      <c r="O97" s="122"/>
      <c r="P97" s="122"/>
      <c r="Q97" s="122"/>
      <c r="R97" s="145" t="s">
        <v>26</v>
      </c>
      <c r="V97" s="181"/>
      <c r="W97" s="181"/>
      <c r="X97" s="181"/>
    </row>
    <row r="98" spans="1:24" s="77" customFormat="1" ht="19.5" customHeight="1">
      <c r="A98" s="82" t="s">
        <v>75</v>
      </c>
      <c r="B98" s="135"/>
      <c r="C98" s="135"/>
      <c r="D98" s="135"/>
      <c r="E98" s="135"/>
      <c r="F98" s="135"/>
      <c r="G98" s="135"/>
      <c r="H98" s="135"/>
      <c r="I98" s="135"/>
      <c r="J98" s="135"/>
      <c r="K98" s="135"/>
      <c r="L98" s="135"/>
      <c r="M98" s="363">
        <f>M53</f>
        <v>0</v>
      </c>
      <c r="N98" s="364"/>
      <c r="O98" s="365"/>
      <c r="P98" s="146"/>
      <c r="Q98" s="135"/>
      <c r="R98" s="147"/>
      <c r="V98" s="181"/>
      <c r="W98" s="181"/>
      <c r="X98" s="181"/>
    </row>
    <row r="99" spans="1:24" s="77" customFormat="1" ht="19.5" customHeight="1">
      <c r="A99" s="69" t="s">
        <v>76</v>
      </c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354">
        <f>M86</f>
        <v>0</v>
      </c>
      <c r="N99" s="366"/>
      <c r="O99" s="367"/>
      <c r="P99" s="127"/>
      <c r="Q99" s="74"/>
      <c r="R99" s="128"/>
      <c r="V99" s="181"/>
      <c r="W99" s="181"/>
      <c r="X99" s="181"/>
    </row>
    <row r="100" spans="1:24" s="77" customFormat="1" ht="19.5" customHeight="1">
      <c r="A100" s="82" t="s">
        <v>77</v>
      </c>
      <c r="B100" s="135"/>
      <c r="C100" s="135"/>
      <c r="D100" s="135"/>
      <c r="E100" s="135"/>
      <c r="F100" s="135"/>
      <c r="G100" s="135"/>
      <c r="H100" s="135"/>
      <c r="I100" s="135"/>
      <c r="J100" s="135"/>
      <c r="K100" s="135"/>
      <c r="L100" s="135"/>
      <c r="M100" s="354">
        <f>M95</f>
        <v>0</v>
      </c>
      <c r="N100" s="366"/>
      <c r="O100" s="367"/>
      <c r="P100" s="146"/>
      <c r="Q100" s="135"/>
      <c r="R100" s="147"/>
      <c r="V100" s="181"/>
      <c r="W100" s="181"/>
      <c r="X100" s="181"/>
    </row>
    <row r="101" spans="1:24" s="77" customFormat="1" ht="19.5" customHeight="1">
      <c r="A101" s="69" t="s">
        <v>78</v>
      </c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354">
        <f>SUM(M98:O100)</f>
        <v>0</v>
      </c>
      <c r="N101" s="366"/>
      <c r="O101" s="367"/>
      <c r="P101" s="127"/>
      <c r="Q101" s="74"/>
      <c r="R101" s="128"/>
      <c r="V101" s="181"/>
      <c r="W101" s="181"/>
      <c r="X101" s="181"/>
    </row>
    <row r="102" spans="1:24" s="77" customFormat="1" ht="19.5" customHeight="1">
      <c r="A102" s="82" t="s">
        <v>79</v>
      </c>
      <c r="B102" s="135"/>
      <c r="C102" s="135"/>
      <c r="D102" s="135"/>
      <c r="E102" s="135"/>
      <c r="F102" s="135"/>
      <c r="H102" s="431">
        <v>0</v>
      </c>
      <c r="I102" s="432"/>
      <c r="J102" s="135" t="s">
        <v>80</v>
      </c>
      <c r="K102" s="135"/>
      <c r="L102" s="135"/>
      <c r="M102" s="354">
        <f>H102*M101/1000</f>
        <v>0</v>
      </c>
      <c r="N102" s="366"/>
      <c r="O102" s="367"/>
      <c r="P102" s="146"/>
      <c r="Q102" s="135"/>
      <c r="R102" s="147"/>
      <c r="V102" s="181"/>
      <c r="W102" s="181"/>
      <c r="X102" s="181"/>
    </row>
    <row r="103" spans="1:24" s="77" customFormat="1" ht="19.5" customHeight="1">
      <c r="A103" s="433" t="s">
        <v>81</v>
      </c>
      <c r="B103" s="434"/>
      <c r="C103" s="434"/>
      <c r="D103" s="434"/>
      <c r="E103" s="434"/>
      <c r="F103" s="434"/>
      <c r="G103" s="434"/>
      <c r="H103" s="434"/>
      <c r="I103" s="434"/>
      <c r="J103" s="434"/>
      <c r="K103" s="434"/>
      <c r="L103" s="434"/>
      <c r="M103" s="407">
        <f>SUM(M101:O102)</f>
        <v>0</v>
      </c>
      <c r="N103" s="408"/>
      <c r="O103" s="409"/>
      <c r="P103" s="131"/>
      <c r="Q103" s="129"/>
      <c r="R103" s="132"/>
      <c r="V103" s="181"/>
      <c r="W103" s="181"/>
      <c r="X103" s="181"/>
    </row>
    <row r="104" spans="1:24" s="77" customFormat="1" ht="19.5" customHeight="1" thickBot="1">
      <c r="A104" s="435"/>
      <c r="B104" s="436"/>
      <c r="C104" s="436"/>
      <c r="D104" s="436"/>
      <c r="E104" s="436"/>
      <c r="F104" s="436"/>
      <c r="G104" s="436"/>
      <c r="H104" s="436"/>
      <c r="I104" s="436"/>
      <c r="J104" s="436"/>
      <c r="K104" s="436"/>
      <c r="L104" s="436"/>
      <c r="M104" s="437"/>
      <c r="N104" s="438"/>
      <c r="O104" s="439"/>
      <c r="P104" s="148"/>
      <c r="Q104" s="149"/>
      <c r="R104" s="150"/>
      <c r="V104" s="181"/>
      <c r="W104" s="181"/>
      <c r="X104" s="181"/>
    </row>
    <row r="105" spans="1:24">
      <c r="C105" s="429"/>
      <c r="D105" s="429"/>
      <c r="E105" s="429"/>
      <c r="F105" s="429"/>
      <c r="G105" s="429"/>
      <c r="H105" s="429"/>
      <c r="I105" s="429"/>
      <c r="J105" s="429"/>
      <c r="K105" s="429"/>
      <c r="L105" s="429"/>
      <c r="M105" s="429"/>
      <c r="N105" s="429"/>
      <c r="O105" s="429"/>
      <c r="P105" s="429"/>
      <c r="Q105" s="429"/>
      <c r="R105" s="429"/>
    </row>
    <row r="106" spans="1:24" ht="13" thickBot="1">
      <c r="A106" s="6" t="s">
        <v>82</v>
      </c>
      <c r="B106" s="151"/>
      <c r="C106" s="430"/>
      <c r="D106" s="430"/>
      <c r="E106" s="430"/>
      <c r="F106" s="430"/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</row>
    <row r="107" spans="1:24">
      <c r="A107" s="440"/>
      <c r="B107" s="441"/>
      <c r="C107" s="441"/>
      <c r="D107" s="441"/>
      <c r="E107" s="441"/>
      <c r="F107" s="441"/>
      <c r="G107" s="441"/>
      <c r="H107" s="441"/>
      <c r="I107" s="441"/>
      <c r="J107" s="441"/>
      <c r="K107" s="441"/>
      <c r="L107" s="441"/>
      <c r="M107" s="441"/>
      <c r="N107" s="441"/>
      <c r="O107" s="441"/>
      <c r="P107" s="441"/>
      <c r="Q107" s="441"/>
      <c r="R107" s="442"/>
    </row>
    <row r="108" spans="1:24">
      <c r="A108" s="443"/>
      <c r="B108" s="444"/>
      <c r="C108" s="444"/>
      <c r="D108" s="444"/>
      <c r="E108" s="444"/>
      <c r="F108" s="444"/>
      <c r="G108" s="444"/>
      <c r="H108" s="444"/>
      <c r="I108" s="444"/>
      <c r="J108" s="444"/>
      <c r="K108" s="444"/>
      <c r="L108" s="444"/>
      <c r="M108" s="444"/>
      <c r="N108" s="444"/>
      <c r="O108" s="444"/>
      <c r="P108" s="444"/>
      <c r="Q108" s="444"/>
      <c r="R108" s="445"/>
    </row>
    <row r="109" spans="1:24">
      <c r="A109" s="443"/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5"/>
    </row>
    <row r="110" spans="1:24">
      <c r="A110" s="443"/>
      <c r="B110" s="444"/>
      <c r="C110" s="444"/>
      <c r="D110" s="444"/>
      <c r="E110" s="444"/>
      <c r="F110" s="444"/>
      <c r="G110" s="444"/>
      <c r="H110" s="444"/>
      <c r="I110" s="444"/>
      <c r="J110" s="444"/>
      <c r="K110" s="444"/>
      <c r="L110" s="444"/>
      <c r="M110" s="444"/>
      <c r="N110" s="444"/>
      <c r="O110" s="444"/>
      <c r="P110" s="444"/>
      <c r="Q110" s="444"/>
      <c r="R110" s="445"/>
    </row>
    <row r="111" spans="1:24">
      <c r="A111" s="443"/>
      <c r="B111" s="444"/>
      <c r="C111" s="444"/>
      <c r="D111" s="444"/>
      <c r="E111" s="444"/>
      <c r="F111" s="444"/>
      <c r="G111" s="444"/>
      <c r="H111" s="444"/>
      <c r="I111" s="444"/>
      <c r="J111" s="444"/>
      <c r="K111" s="444"/>
      <c r="L111" s="444"/>
      <c r="M111" s="444"/>
      <c r="N111" s="444"/>
      <c r="O111" s="444"/>
      <c r="P111" s="444"/>
      <c r="Q111" s="444"/>
      <c r="R111" s="445"/>
    </row>
    <row r="112" spans="1:24">
      <c r="A112" s="443"/>
      <c r="B112" s="444"/>
      <c r="C112" s="444"/>
      <c r="D112" s="444"/>
      <c r="E112" s="444"/>
      <c r="F112" s="444"/>
      <c r="G112" s="444"/>
      <c r="H112" s="444"/>
      <c r="I112" s="444"/>
      <c r="J112" s="444"/>
      <c r="K112" s="444"/>
      <c r="L112" s="444"/>
      <c r="M112" s="444"/>
      <c r="N112" s="444"/>
      <c r="O112" s="444"/>
      <c r="P112" s="444"/>
      <c r="Q112" s="444"/>
      <c r="R112" s="445"/>
    </row>
    <row r="113" spans="1:18">
      <c r="A113" s="443"/>
      <c r="B113" s="444"/>
      <c r="C113" s="444"/>
      <c r="D113" s="444"/>
      <c r="E113" s="444"/>
      <c r="F113" s="444"/>
      <c r="G113" s="444"/>
      <c r="H113" s="444"/>
      <c r="I113" s="444"/>
      <c r="J113" s="444"/>
      <c r="K113" s="444"/>
      <c r="L113" s="444"/>
      <c r="M113" s="444"/>
      <c r="N113" s="444"/>
      <c r="O113" s="444"/>
      <c r="P113" s="444"/>
      <c r="Q113" s="444"/>
      <c r="R113" s="445"/>
    </row>
    <row r="114" spans="1:18" ht="13" thickBot="1">
      <c r="A114" s="446"/>
      <c r="B114" s="447"/>
      <c r="C114" s="447"/>
      <c r="D114" s="447"/>
      <c r="E114" s="447"/>
      <c r="F114" s="447"/>
      <c r="G114" s="447"/>
      <c r="H114" s="447"/>
      <c r="I114" s="447"/>
      <c r="J114" s="447"/>
      <c r="K114" s="447"/>
      <c r="L114" s="447"/>
      <c r="M114" s="447"/>
      <c r="N114" s="447"/>
      <c r="O114" s="447"/>
      <c r="P114" s="447"/>
      <c r="Q114" s="447"/>
      <c r="R114" s="448"/>
    </row>
    <row r="115" spans="1:18"/>
    <row r="116" spans="1:18"/>
    <row r="117" spans="1:18"/>
    <row r="118" spans="1:18">
      <c r="A118" s="3" t="s">
        <v>83</v>
      </c>
      <c r="I118" s="2" t="s">
        <v>84</v>
      </c>
      <c r="P118" s="2" t="s">
        <v>85</v>
      </c>
      <c r="Q118" s="2"/>
    </row>
    <row r="119" spans="1:18"/>
    <row r="120" spans="1:18"/>
    <row r="121" spans="1:18">
      <c r="A121" s="353">
        <f>'Información Force Account'!B3</f>
        <v>0</v>
      </c>
      <c r="B121" s="353"/>
      <c r="C121" s="353"/>
      <c r="D121" s="353"/>
      <c r="H121" s="353">
        <f>'Información Force Account'!B5</f>
        <v>0</v>
      </c>
      <c r="I121" s="353"/>
      <c r="J121" s="353"/>
      <c r="K121" s="353"/>
      <c r="O121" s="353">
        <f>'Información Force Account'!B4</f>
        <v>0</v>
      </c>
      <c r="P121" s="353"/>
      <c r="Q121" s="353"/>
      <c r="R121" s="353"/>
    </row>
    <row r="122" spans="1:18">
      <c r="A122" s="351" t="s">
        <v>86</v>
      </c>
      <c r="B122" s="352"/>
      <c r="C122" s="352"/>
      <c r="D122" s="352"/>
      <c r="H122" s="335" t="s">
        <v>87</v>
      </c>
      <c r="I122" s="352"/>
      <c r="J122" s="352"/>
      <c r="K122" s="352"/>
      <c r="O122" s="6"/>
      <c r="R122" s="153" t="s">
        <v>88</v>
      </c>
    </row>
    <row r="123" spans="1:18">
      <c r="P123" s="2" t="s">
        <v>89</v>
      </c>
      <c r="Q123" s="2"/>
    </row>
    <row r="124" spans="1:18"/>
  </sheetData>
  <sheetProtection algorithmName="SHA-512" hashValue="qK/W7QMxThBejdlvEcwOnyDCoivw/fnF88pnEvLSy4npdoLV6kf3zCa/1ZVL89E6VVKioASEmqsedd5YPfK3ww==" saltValue="BwXN0DYPFeyMg/GUMlhyNw==" spinCount="100000" sheet="1" objects="1" scenarios="1"/>
  <mergeCells count="188">
    <mergeCell ref="I72:J72"/>
    <mergeCell ref="K72:L72"/>
    <mergeCell ref="I74:J74"/>
    <mergeCell ref="K78:L78"/>
    <mergeCell ref="K75:L75"/>
    <mergeCell ref="O79:P79"/>
    <mergeCell ref="I76:J76"/>
    <mergeCell ref="K76:L76"/>
    <mergeCell ref="I77:J77"/>
    <mergeCell ref="K77:L77"/>
    <mergeCell ref="I73:J73"/>
    <mergeCell ref="K73:L73"/>
    <mergeCell ref="K74:L74"/>
    <mergeCell ref="P67:Q67"/>
    <mergeCell ref="Q81:R81"/>
    <mergeCell ref="Q80:R80"/>
    <mergeCell ref="Q79:R79"/>
    <mergeCell ref="Q74:R74"/>
    <mergeCell ref="O75:P75"/>
    <mergeCell ref="O80:P80"/>
    <mergeCell ref="O72:P72"/>
    <mergeCell ref="O76:P76"/>
    <mergeCell ref="Q82:R82"/>
    <mergeCell ref="O77:P77"/>
    <mergeCell ref="Q77:R77"/>
    <mergeCell ref="O78:P78"/>
    <mergeCell ref="Q78:R78"/>
    <mergeCell ref="P68:Q68"/>
    <mergeCell ref="O69:P69"/>
    <mergeCell ref="Q69:R69"/>
    <mergeCell ref="O70:P70"/>
    <mergeCell ref="Q75:R75"/>
    <mergeCell ref="Q70:R70"/>
    <mergeCell ref="O74:P74"/>
    <mergeCell ref="O73:P73"/>
    <mergeCell ref="Q71:R71"/>
    <mergeCell ref="Q72:R72"/>
    <mergeCell ref="Q76:R76"/>
    <mergeCell ref="O71:P71"/>
    <mergeCell ref="Q73:R73"/>
    <mergeCell ref="O121:R121"/>
    <mergeCell ref="A121:D121"/>
    <mergeCell ref="I70:J70"/>
    <mergeCell ref="K70:L70"/>
    <mergeCell ref="I71:J71"/>
    <mergeCell ref="K71:L71"/>
    <mergeCell ref="I75:J75"/>
    <mergeCell ref="I78:J78"/>
    <mergeCell ref="C105:R106"/>
    <mergeCell ref="H102:I102"/>
    <mergeCell ref="M102:O102"/>
    <mergeCell ref="A103:L104"/>
    <mergeCell ref="M103:O104"/>
    <mergeCell ref="A107:R114"/>
    <mergeCell ref="M98:O98"/>
    <mergeCell ref="M99:O99"/>
    <mergeCell ref="M100:O100"/>
    <mergeCell ref="M101:O101"/>
    <mergeCell ref="M86:O86"/>
    <mergeCell ref="E85:F85"/>
    <mergeCell ref="I85:J85"/>
    <mergeCell ref="K85:L85"/>
    <mergeCell ref="G85:H85"/>
    <mergeCell ref="A83:N83"/>
    <mergeCell ref="M84:O84"/>
    <mergeCell ref="C79:D79"/>
    <mergeCell ref="E79:F79"/>
    <mergeCell ref="I79:J79"/>
    <mergeCell ref="K79:L79"/>
    <mergeCell ref="O82:P82"/>
    <mergeCell ref="C81:D81"/>
    <mergeCell ref="E81:F81"/>
    <mergeCell ref="I81:J81"/>
    <mergeCell ref="K81:L81"/>
    <mergeCell ref="O81:P81"/>
    <mergeCell ref="A80:L80"/>
    <mergeCell ref="D67:E67"/>
    <mergeCell ref="D68:E68"/>
    <mergeCell ref="C69:D69"/>
    <mergeCell ref="E69:F69"/>
    <mergeCell ref="C77:D77"/>
    <mergeCell ref="C78:D78"/>
    <mergeCell ref="E77:F77"/>
    <mergeCell ref="E78:F78"/>
    <mergeCell ref="C75:D75"/>
    <mergeCell ref="C76:D76"/>
    <mergeCell ref="E75:F75"/>
    <mergeCell ref="E76:F76"/>
    <mergeCell ref="C70:D70"/>
    <mergeCell ref="E70:F70"/>
    <mergeCell ref="C73:D73"/>
    <mergeCell ref="C74:D74"/>
    <mergeCell ref="E73:F73"/>
    <mergeCell ref="E74:F74"/>
    <mergeCell ref="C71:D71"/>
    <mergeCell ref="C72:D72"/>
    <mergeCell ref="E71:F71"/>
    <mergeCell ref="E72:F72"/>
    <mergeCell ref="H47:I47"/>
    <mergeCell ref="M47:O48"/>
    <mergeCell ref="J47:K47"/>
    <mergeCell ref="M53:O53"/>
    <mergeCell ref="I69:J69"/>
    <mergeCell ref="K69:L69"/>
    <mergeCell ref="M44:O44"/>
    <mergeCell ref="M45:O45"/>
    <mergeCell ref="M46:O46"/>
    <mergeCell ref="M49:O49"/>
    <mergeCell ref="M50:O50"/>
    <mergeCell ref="M51:O51"/>
    <mergeCell ref="M52:O52"/>
    <mergeCell ref="J68:K68"/>
    <mergeCell ref="J67:K67"/>
    <mergeCell ref="M43:O43"/>
    <mergeCell ref="C28:F28"/>
    <mergeCell ref="I28:L28"/>
    <mergeCell ref="O28:R28"/>
    <mergeCell ref="C25:F25"/>
    <mergeCell ref="I25:L25"/>
    <mergeCell ref="O25:R25"/>
    <mergeCell ref="C26:F26"/>
    <mergeCell ref="I26:L26"/>
    <mergeCell ref="O26:R26"/>
    <mergeCell ref="A27:L27"/>
    <mergeCell ref="M39:O39"/>
    <mergeCell ref="M40:O40"/>
    <mergeCell ref="M41:O41"/>
    <mergeCell ref="M42:O42"/>
    <mergeCell ref="M38:O38"/>
    <mergeCell ref="O29:R29"/>
    <mergeCell ref="M32:O32"/>
    <mergeCell ref="M33:O33"/>
    <mergeCell ref="M34:O34"/>
    <mergeCell ref="C23:F23"/>
    <mergeCell ref="I23:L23"/>
    <mergeCell ref="O23:R23"/>
    <mergeCell ref="C24:F24"/>
    <mergeCell ref="I24:L24"/>
    <mergeCell ref="O24:R24"/>
    <mergeCell ref="C21:F21"/>
    <mergeCell ref="I21:L21"/>
    <mergeCell ref="O21:R21"/>
    <mergeCell ref="C22:F22"/>
    <mergeCell ref="I22:L22"/>
    <mergeCell ref="O22:R22"/>
    <mergeCell ref="C19:F19"/>
    <mergeCell ref="I19:L19"/>
    <mergeCell ref="O19:R19"/>
    <mergeCell ref="C20:F20"/>
    <mergeCell ref="I20:L20"/>
    <mergeCell ref="O20:R20"/>
    <mergeCell ref="C18:F18"/>
    <mergeCell ref="I18:L18"/>
    <mergeCell ref="O18:R18"/>
    <mergeCell ref="C10:J10"/>
    <mergeCell ref="F8:J9"/>
    <mergeCell ref="A13:R13"/>
    <mergeCell ref="C17:F17"/>
    <mergeCell ref="I17:L17"/>
    <mergeCell ref="O17:R17"/>
    <mergeCell ref="O15:R15"/>
    <mergeCell ref="O16:R16"/>
    <mergeCell ref="N10:O10"/>
    <mergeCell ref="Q10:R10"/>
    <mergeCell ref="A1:R1"/>
    <mergeCell ref="A2:R2"/>
    <mergeCell ref="A3:R3"/>
    <mergeCell ref="A4:R4"/>
    <mergeCell ref="J7:K7"/>
    <mergeCell ref="A122:D122"/>
    <mergeCell ref="H121:K121"/>
    <mergeCell ref="H122:K122"/>
    <mergeCell ref="M85:O85"/>
    <mergeCell ref="A88:R89"/>
    <mergeCell ref="M91:O91"/>
    <mergeCell ref="M92:O92"/>
    <mergeCell ref="M93:O93"/>
    <mergeCell ref="M94:O94"/>
    <mergeCell ref="M95:O95"/>
    <mergeCell ref="M9:R9"/>
    <mergeCell ref="O27:R27"/>
    <mergeCell ref="M35:O35"/>
    <mergeCell ref="M36:O36"/>
    <mergeCell ref="M37:O37"/>
    <mergeCell ref="C15:F15"/>
    <mergeCell ref="C16:F16"/>
    <mergeCell ref="I15:L15"/>
    <mergeCell ref="I16:L16"/>
  </mergeCells>
  <phoneticPr fontId="0" type="noConversion"/>
  <conditionalFormatting sqref="M70:M80 M98:O104 A70:A79 I81:L81 C81:F81 C28:F28 I28:L28 M84:O86 M91:O95 M17:M27 A17:A26 C17:G26 I17:M26 O17:R29 C70:G79 I70:L79 O70:R82">
    <cfRule type="cellIs" dxfId="10" priority="3" stopIfTrue="1" operator="equal">
      <formula>0</formula>
    </cfRule>
  </conditionalFormatting>
  <conditionalFormatting sqref="A17:A29 B28:L29 B17:L26 M17:R29">
    <cfRule type="containsErrors" dxfId="9" priority="2" stopIfTrue="1">
      <formula>ISERROR(A17)</formula>
    </cfRule>
  </conditionalFormatting>
  <conditionalFormatting sqref="F7 J7:K7 O7 C10:J10">
    <cfRule type="cellIs" dxfId="8" priority="1" stopIfTrue="1" operator="equal">
      <formula>0</formula>
    </cfRule>
  </conditionalFormatting>
  <dataValidations count="2">
    <dataValidation type="list" allowBlank="1" showErrorMessage="1" prompt="_x000a_" sqref="N10:O10" xr:uid="{00000000-0002-0000-0400-000000000000}">
      <formula1>$V$1:$V$13</formula1>
    </dataValidation>
    <dataValidation type="list" allowBlank="1" showInputMessage="1" showErrorMessage="1" sqref="Q10:R10" xr:uid="{00000000-0002-0000-0400-000001000000}">
      <formula1>$X$1:$X$16</formula1>
    </dataValidation>
  </dataValidations>
  <printOptions horizontalCentered="1"/>
  <pageMargins left="0" right="0" top="0" bottom="0" header="0" footer="0"/>
  <pageSetup paperSize="5" scale="85" orientation="portrait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C173"/>
  <sheetViews>
    <sheetView showGridLines="0" showRowColHeaders="0" view="pageBreakPreview" zoomScaleNormal="100" zoomScaleSheetLayoutView="100" workbookViewId="0">
      <pane ySplit="1" topLeftCell="A2" activePane="bottomLeft" state="frozen"/>
      <selection pane="bottomLeft"/>
    </sheetView>
  </sheetViews>
  <sheetFormatPr defaultColWidth="0" defaultRowHeight="12.5" zeroHeight="1"/>
  <cols>
    <col min="1" max="1" width="1.6328125" style="3" customWidth="1"/>
    <col min="2" max="2" width="9.81640625" style="3" customWidth="1"/>
    <col min="3" max="3" width="9.1796875" style="3" customWidth="1"/>
    <col min="4" max="4" width="11" style="3" customWidth="1"/>
    <col min="5" max="7" width="9.1796875" style="3" customWidth="1"/>
    <col min="8" max="8" width="9.1796875" style="165" customWidth="1"/>
    <col min="9" max="10" width="9.81640625" style="3" customWidth="1"/>
    <col min="11" max="11" width="9.453125" style="3" customWidth="1"/>
    <col min="12" max="12" width="9.90625" style="3" bestFit="1" customWidth="1"/>
    <col min="13" max="13" width="1.6328125" style="14" customWidth="1"/>
    <col min="14" max="14" width="4.36328125" style="14" hidden="1" customWidth="1"/>
    <col min="15" max="15" width="9.6328125" style="14" hidden="1" customWidth="1"/>
    <col min="16" max="16" width="3.81640625" style="14" hidden="1" customWidth="1"/>
    <col min="17" max="17" width="13.453125" style="3" hidden="1" customWidth="1"/>
    <col min="18" max="18" width="4.36328125" style="3" hidden="1" customWidth="1"/>
    <col min="19" max="19" width="2.81640625" style="3" hidden="1" customWidth="1"/>
    <col min="20" max="20" width="15" style="3" hidden="1" customWidth="1"/>
    <col min="21" max="21" width="2.81640625" style="3" hidden="1" customWidth="1"/>
    <col min="22" max="22" width="4.36328125" style="3" hidden="1" customWidth="1"/>
    <col min="23" max="23" width="9.90625" style="3" hidden="1" customWidth="1"/>
    <col min="24" max="26" width="8.6328125" style="3" hidden="1" customWidth="1"/>
    <col min="27" max="27" width="4.36328125" style="3" hidden="1" customWidth="1"/>
    <col min="28" max="28" width="25.36328125" style="304" hidden="1" customWidth="1"/>
    <col min="29" max="29" width="25" style="304" hidden="1" customWidth="1"/>
    <col min="30" max="16384" width="4.36328125" style="3" hidden="1"/>
  </cols>
  <sheetData>
    <row r="1" spans="2:29" ht="29" customHeight="1">
      <c r="F1" s="290"/>
      <c r="G1" s="290"/>
      <c r="H1" s="252"/>
      <c r="M1" s="257"/>
      <c r="N1" s="257"/>
      <c r="O1" s="474" t="s">
        <v>225</v>
      </c>
      <c r="P1" s="474"/>
      <c r="Q1" s="265" t="e">
        <f>VALUE(YEAR(K12)&amp;TEXT(MONTH(K12),"00")&amp;TEXT(DAY(K12),"00")&amp;Q3)</f>
        <v>#VALUE!</v>
      </c>
      <c r="AB1" s="303">
        <f>COUNTIF(AB3:AB52,"&lt;&gt;0")</f>
        <v>0</v>
      </c>
      <c r="AC1" s="303">
        <f>COUNTIF(AC3:AC152,"&lt;&gt;0")</f>
        <v>0</v>
      </c>
    </row>
    <row r="2" spans="2:29">
      <c r="B2" s="348" t="s">
        <v>97</v>
      </c>
      <c r="C2" s="348"/>
      <c r="D2" s="348"/>
      <c r="E2" s="348"/>
      <c r="F2" s="348"/>
      <c r="G2" s="348"/>
      <c r="H2" s="348"/>
      <c r="I2" s="348"/>
      <c r="J2" s="348"/>
      <c r="K2" s="348"/>
      <c r="L2" s="348"/>
      <c r="M2" s="259"/>
      <c r="N2" s="259"/>
      <c r="O2" s="482" t="s">
        <v>235</v>
      </c>
      <c r="P2" s="465"/>
      <c r="Q2" s="305" t="b">
        <v>1</v>
      </c>
      <c r="R2" s="2"/>
      <c r="T2" s="180" t="s">
        <v>247</v>
      </c>
      <c r="U2" s="2">
        <f>COUNTIF(T2:T33,"&lt;&gt;0")</f>
        <v>32</v>
      </c>
      <c r="W2" s="232">
        <f>VLOOKUP($W$3,X2:Y14,2,FALSE)</f>
        <v>0</v>
      </c>
      <c r="X2" s="180" t="s">
        <v>19</v>
      </c>
      <c r="Y2" s="180">
        <v>0</v>
      </c>
      <c r="Z2" s="180" t="s">
        <v>117</v>
      </c>
      <c r="AB2" s="307" t="s">
        <v>285</v>
      </c>
      <c r="AC2" s="307" t="s">
        <v>286</v>
      </c>
    </row>
    <row r="3" spans="2:29">
      <c r="B3" s="348" t="s">
        <v>1</v>
      </c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259"/>
      <c r="N3" s="259"/>
      <c r="O3" s="482" t="s">
        <v>240</v>
      </c>
      <c r="P3" s="482"/>
      <c r="Q3" s="266">
        <v>1</v>
      </c>
      <c r="R3" s="2"/>
      <c r="S3" s="2">
        <v>1</v>
      </c>
      <c r="T3" s="182" t="e">
        <f>IF(MONTH(DATE($W$4,$W$2,S3))&gt;$W$2,0,DATE($W$4,$W$2,S3))</f>
        <v>#VALUE!</v>
      </c>
      <c r="U3" s="154"/>
      <c r="V3" s="154"/>
      <c r="W3" s="291" t="str">
        <f>'Resumen FA (Mensual)'!N10</f>
        <v>Mes</v>
      </c>
      <c r="X3" s="180" t="s">
        <v>210</v>
      </c>
      <c r="Y3" s="180">
        <v>1</v>
      </c>
      <c r="Z3" s="2">
        <v>2016</v>
      </c>
      <c r="AB3" s="304">
        <f>IF($K$12="Seleccione Fecha",0,'Empleados Contratista'!A2)</f>
        <v>0</v>
      </c>
      <c r="AC3" s="312">
        <f>IF($K$12="Seleccione Fecha",0,IF('Equipo Contratista'!A2="",0,'Equipo Contratista'!A2))</f>
        <v>0</v>
      </c>
    </row>
    <row r="4" spans="2:29">
      <c r="B4" s="348" t="s">
        <v>98</v>
      </c>
      <c r="C4" s="348"/>
      <c r="D4" s="348"/>
      <c r="E4" s="348"/>
      <c r="F4" s="348"/>
      <c r="G4" s="348"/>
      <c r="H4" s="348"/>
      <c r="I4" s="348"/>
      <c r="J4" s="348"/>
      <c r="K4" s="348"/>
      <c r="L4" s="348"/>
      <c r="M4" s="259"/>
      <c r="N4" s="259"/>
      <c r="O4" s="465" t="s">
        <v>236</v>
      </c>
      <c r="P4" s="465"/>
      <c r="Q4" s="155"/>
      <c r="R4" s="2"/>
      <c r="S4" s="2">
        <v>2</v>
      </c>
      <c r="T4" s="182" t="e">
        <f t="shared" ref="T4:T33" si="0">IF(MONTH(DATE($W$4,$W$2,S4))&gt;$W$2,0,DATE($W$4,$W$2,S4))</f>
        <v>#VALUE!</v>
      </c>
      <c r="V4" s="154"/>
      <c r="W4" s="292" t="str">
        <f>'Resumen FA (Mensual)'!Q10</f>
        <v>Año</v>
      </c>
      <c r="X4" s="180" t="s">
        <v>211</v>
      </c>
      <c r="Y4" s="180">
        <v>2</v>
      </c>
      <c r="Z4" s="2">
        <v>2017</v>
      </c>
      <c r="AB4" s="312">
        <f>IF($K$12="Seleccione Fecha",0,'Empleados Contratista'!A3)</f>
        <v>0</v>
      </c>
      <c r="AC4" s="312">
        <f>IF($K$12="Seleccione Fecha",0,IF('Equipo Contratista'!A3="",0,'Equipo Contratista'!A3))</f>
        <v>0</v>
      </c>
    </row>
    <row r="5" spans="2:29">
      <c r="B5" s="348" t="s">
        <v>99</v>
      </c>
      <c r="C5" s="348"/>
      <c r="D5" s="348"/>
      <c r="E5" s="348"/>
      <c r="F5" s="348"/>
      <c r="G5" s="348"/>
      <c r="H5" s="348"/>
      <c r="I5" s="348"/>
      <c r="J5" s="348"/>
      <c r="K5" s="348"/>
      <c r="L5" s="348"/>
      <c r="M5" s="259"/>
      <c r="N5" s="259"/>
      <c r="O5" s="616" t="s">
        <v>284</v>
      </c>
      <c r="P5" s="617"/>
      <c r="Q5" s="267" t="b">
        <f>IF(OR(O51&gt;0,O81&gt;0),TRUE,FALSE)</f>
        <v>0</v>
      </c>
      <c r="R5" s="2"/>
      <c r="S5" s="2">
        <v>3</v>
      </c>
      <c r="T5" s="182" t="e">
        <f t="shared" si="0"/>
        <v>#VALUE!</v>
      </c>
      <c r="X5" s="180" t="s">
        <v>212</v>
      </c>
      <c r="Y5" s="180">
        <v>3</v>
      </c>
      <c r="Z5" s="2">
        <v>2018</v>
      </c>
      <c r="AB5" s="312">
        <f>IF($K$12="Seleccione Fecha",0,'Empleados Contratista'!A4)</f>
        <v>0</v>
      </c>
      <c r="AC5" s="312">
        <f>IF($K$12="Seleccione Fecha",0,IF('Equipo Contratista'!A4="",0,'Equipo Contratista'!A4))</f>
        <v>0</v>
      </c>
    </row>
    <row r="6" spans="2:29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59"/>
      <c r="N6" s="259"/>
      <c r="O6" s="464" t="s">
        <v>287</v>
      </c>
      <c r="P6" s="465"/>
      <c r="Q6" s="319" t="b">
        <v>0</v>
      </c>
      <c r="R6" s="2"/>
      <c r="S6" s="2">
        <v>4</v>
      </c>
      <c r="T6" s="182" t="e">
        <f t="shared" si="0"/>
        <v>#VALUE!</v>
      </c>
      <c r="X6" s="180" t="s">
        <v>213</v>
      </c>
      <c r="Y6" s="180">
        <v>4</v>
      </c>
      <c r="Z6" s="2">
        <v>2019</v>
      </c>
      <c r="AB6" s="312">
        <f>IF($K$12="Seleccione Fecha",0,'Empleados Contratista'!A5)</f>
        <v>0</v>
      </c>
      <c r="AC6" s="312">
        <f>IF($K$12="Seleccione Fecha",0,IF('Equipo Contratista'!A5="",0,'Equipo Contratista'!A5))</f>
        <v>0</v>
      </c>
    </row>
    <row r="7" spans="2:29">
      <c r="B7" s="2"/>
      <c r="C7" s="2"/>
      <c r="D7" s="2"/>
      <c r="E7" s="2"/>
      <c r="F7" s="2"/>
      <c r="G7" s="2"/>
      <c r="H7" s="2"/>
      <c r="I7" s="2"/>
      <c r="J7" s="2"/>
      <c r="K7" s="226"/>
      <c r="M7" s="259"/>
      <c r="N7" s="259"/>
      <c r="O7" s="259"/>
      <c r="P7" s="259"/>
      <c r="Q7" s="267"/>
      <c r="R7" s="2"/>
      <c r="S7" s="2">
        <v>5</v>
      </c>
      <c r="T7" s="182" t="e">
        <f t="shared" si="0"/>
        <v>#VALUE!</v>
      </c>
      <c r="U7" s="2"/>
      <c r="V7" s="182"/>
      <c r="X7" s="180" t="s">
        <v>214</v>
      </c>
      <c r="Y7" s="180">
        <v>5</v>
      </c>
      <c r="Z7" s="2">
        <v>2020</v>
      </c>
      <c r="AB7" s="312">
        <f>IF($K$12="Seleccione Fecha",0,'Empleados Contratista'!A6)</f>
        <v>0</v>
      </c>
      <c r="AC7" s="312">
        <f>IF($K$12="Seleccione Fecha",0,IF('Equipo Contratista'!A6="",0,'Equipo Contratista'!A6))</f>
        <v>0</v>
      </c>
    </row>
    <row r="8" spans="2:29" ht="18">
      <c r="B8" s="341" t="s">
        <v>100</v>
      </c>
      <c r="C8" s="341"/>
      <c r="D8" s="341"/>
      <c r="E8" s="341"/>
      <c r="F8" s="341"/>
      <c r="G8" s="341"/>
      <c r="H8" s="341"/>
      <c r="I8" s="341"/>
      <c r="J8" s="341"/>
      <c r="K8" s="341"/>
      <c r="L8" s="341"/>
      <c r="M8" s="268"/>
      <c r="N8" s="268"/>
      <c r="O8" s="268"/>
      <c r="P8" s="268"/>
      <c r="Q8" s="269"/>
      <c r="R8" s="29"/>
      <c r="S8" s="2">
        <v>6</v>
      </c>
      <c r="T8" s="182" t="e">
        <f t="shared" si="0"/>
        <v>#VALUE!</v>
      </c>
      <c r="U8" s="2"/>
      <c r="V8" s="182"/>
      <c r="X8" s="180" t="s">
        <v>215</v>
      </c>
      <c r="Y8" s="180">
        <v>6</v>
      </c>
      <c r="Z8" s="2">
        <v>2021</v>
      </c>
      <c r="AB8" s="312">
        <f>IF($K$12="Seleccione Fecha",0,'Empleados Contratista'!A7)</f>
        <v>0</v>
      </c>
      <c r="AC8" s="312">
        <f>IF($K$12="Seleccione Fecha",0,IF('Equipo Contratista'!A7="",0,'Equipo Contratista'!A7))</f>
        <v>0</v>
      </c>
    </row>
    <row r="9" spans="2:29" ht="13">
      <c r="B9" s="479" t="s">
        <v>237</v>
      </c>
      <c r="C9" s="479"/>
      <c r="D9" s="479"/>
      <c r="E9" s="225">
        <f>'Información Force Account'!B7</f>
        <v>0</v>
      </c>
      <c r="F9" s="4"/>
      <c r="G9" s="4" t="s">
        <v>238</v>
      </c>
      <c r="H9" s="225">
        <f>'Información Force Account'!B8</f>
        <v>0</v>
      </c>
      <c r="I9" s="2"/>
      <c r="J9" s="4" t="s">
        <v>239</v>
      </c>
      <c r="K9" s="225">
        <f>'Información Force Account'!B9</f>
        <v>0</v>
      </c>
      <c r="L9" s="2"/>
      <c r="M9" s="259"/>
      <c r="N9" s="259"/>
      <c r="O9" s="259"/>
      <c r="P9" s="259"/>
      <c r="Q9" s="267"/>
      <c r="R9" s="2"/>
      <c r="S9" s="2">
        <v>7</v>
      </c>
      <c r="T9" s="182" t="e">
        <f t="shared" si="0"/>
        <v>#VALUE!</v>
      </c>
      <c r="U9" s="2"/>
      <c r="V9" s="182"/>
      <c r="X9" s="180" t="s">
        <v>216</v>
      </c>
      <c r="Y9" s="180">
        <v>7</v>
      </c>
      <c r="Z9" s="2">
        <v>2022</v>
      </c>
      <c r="AB9" s="312">
        <f>IF($K$12="Seleccione Fecha",0,'Empleados Contratista'!A8)</f>
        <v>0</v>
      </c>
      <c r="AC9" s="312">
        <f>IF($K$12="Seleccione Fecha",0,IF('Equipo Contratista'!A8="",0,'Equipo Contratista'!A8))</f>
        <v>0</v>
      </c>
    </row>
    <row r="10" spans="2:29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59"/>
      <c r="N10" s="270"/>
      <c r="O10" s="483" t="s">
        <v>227</v>
      </c>
      <c r="P10" s="483" t="s">
        <v>226</v>
      </c>
      <c r="Q10" s="267"/>
      <c r="R10" s="2"/>
      <c r="S10" s="2">
        <v>8</v>
      </c>
      <c r="T10" s="182" t="e">
        <f t="shared" si="0"/>
        <v>#VALUE!</v>
      </c>
      <c r="U10" s="2"/>
      <c r="V10" s="182"/>
      <c r="X10" s="180" t="s">
        <v>217</v>
      </c>
      <c r="Y10" s="180">
        <v>8</v>
      </c>
      <c r="Z10" s="2">
        <v>2023</v>
      </c>
      <c r="AB10" s="312">
        <f>IF($K$12="Seleccione Fecha",0,'Empleados Contratista'!A9)</f>
        <v>0</v>
      </c>
      <c r="AC10" s="312">
        <f>IF($K$12="Seleccione Fecha",0,IF('Equipo Contratista'!A9="",0,'Equipo Contratista'!A9))</f>
        <v>0</v>
      </c>
    </row>
    <row r="11" spans="2:29" ht="12.5" customHeight="1">
      <c r="B11" s="2"/>
      <c r="C11" s="2"/>
      <c r="D11" s="618" t="str">
        <f>'Información Force Account'!B2 &amp; "  (" &amp;'Información Force Account'!B1&amp; ")"</f>
        <v xml:space="preserve">  ()</v>
      </c>
      <c r="E11" s="618"/>
      <c r="F11" s="618"/>
      <c r="G11" s="618"/>
      <c r="H11" s="618"/>
      <c r="I11" s="2"/>
      <c r="J11" s="2"/>
      <c r="K11" s="2"/>
      <c r="L11" s="2"/>
      <c r="M11" s="259"/>
      <c r="N11" s="271"/>
      <c r="O11" s="483"/>
      <c r="P11" s="483"/>
      <c r="Q11" s="267"/>
      <c r="R11" s="2"/>
      <c r="S11" s="2">
        <v>9</v>
      </c>
      <c r="T11" s="182" t="e">
        <f t="shared" si="0"/>
        <v>#VALUE!</v>
      </c>
      <c r="U11" s="2"/>
      <c r="V11" s="182"/>
      <c r="X11" s="180" t="s">
        <v>218</v>
      </c>
      <c r="Y11" s="180">
        <v>9</v>
      </c>
      <c r="Z11" s="2">
        <v>2024</v>
      </c>
      <c r="AB11" s="312">
        <f>IF($K$12="Seleccione Fecha",0,'Empleados Contratista'!A10)</f>
        <v>0</v>
      </c>
      <c r="AC11" s="312">
        <f>IF($K$12="Seleccione Fecha",0,IF('Equipo Contratista'!A10="",0,'Equipo Contratista'!A10))</f>
        <v>0</v>
      </c>
    </row>
    <row r="12" spans="2:29" ht="13" customHeight="1">
      <c r="B12" s="484" t="s">
        <v>233</v>
      </c>
      <c r="C12" s="485"/>
      <c r="D12" s="618"/>
      <c r="E12" s="618"/>
      <c r="F12" s="618"/>
      <c r="G12" s="618"/>
      <c r="H12" s="618"/>
      <c r="I12" s="2"/>
      <c r="J12" s="22" t="s">
        <v>101</v>
      </c>
      <c r="K12" s="480" t="s">
        <v>247</v>
      </c>
      <c r="L12" s="481"/>
      <c r="M12" s="272"/>
      <c r="N12" s="271"/>
      <c r="O12" s="483"/>
      <c r="P12" s="483"/>
      <c r="Q12" s="272"/>
      <c r="R12" s="156"/>
      <c r="S12" s="2">
        <v>10</v>
      </c>
      <c r="T12" s="182" t="e">
        <f t="shared" si="0"/>
        <v>#VALUE!</v>
      </c>
      <c r="U12" s="2"/>
      <c r="V12" s="182"/>
      <c r="X12" s="180" t="s">
        <v>219</v>
      </c>
      <c r="Y12" s="180">
        <v>10</v>
      </c>
      <c r="Z12" s="2">
        <v>2025</v>
      </c>
      <c r="AB12" s="312">
        <f>IF($K$12="Seleccione Fecha",0,'Empleados Contratista'!A11)</f>
        <v>0</v>
      </c>
      <c r="AC12" s="312">
        <f>IF($K$12="Seleccione Fecha",0,IF('Equipo Contratista'!A11="",0,'Equipo Contratista'!A11))</f>
        <v>0</v>
      </c>
    </row>
    <row r="13" spans="2:29" ht="13">
      <c r="B13" s="485"/>
      <c r="C13" s="485"/>
      <c r="D13" s="619"/>
      <c r="E13" s="619"/>
      <c r="F13" s="619"/>
      <c r="G13" s="619"/>
      <c r="H13" s="619"/>
      <c r="I13" s="152"/>
      <c r="J13" s="466" t="s">
        <v>102</v>
      </c>
      <c r="K13" s="466"/>
      <c r="L13" s="1" t="str">
        <f>IFERROR(CHOOSE(WEEKDAY(K12),"Domingo","Lunes","Martes","Miercoles","Jueves","Viernes","Sabado"),"")</f>
        <v/>
      </c>
      <c r="M13" s="158"/>
      <c r="N13" s="271"/>
      <c r="O13" s="483"/>
      <c r="P13" s="483"/>
      <c r="Q13" s="158"/>
      <c r="R13" s="157"/>
      <c r="S13" s="2">
        <v>11</v>
      </c>
      <c r="T13" s="182" t="e">
        <f t="shared" si="0"/>
        <v>#VALUE!</v>
      </c>
      <c r="U13" s="2"/>
      <c r="V13" s="182"/>
      <c r="X13" s="180" t="s">
        <v>221</v>
      </c>
      <c r="Y13" s="180">
        <v>11</v>
      </c>
      <c r="Z13" s="2">
        <v>2026</v>
      </c>
      <c r="AB13" s="312">
        <f>IF($K$12="Seleccione Fecha",0,'Empleados Contratista'!A12)</f>
        <v>0</v>
      </c>
      <c r="AC13" s="312">
        <f>IF($K$12="Seleccione Fecha",0,IF('Equipo Contratista'!A12="",0,'Equipo Contratista'!A12))</f>
        <v>0</v>
      </c>
    </row>
    <row r="14" spans="2:29" ht="13">
      <c r="I14" s="152"/>
      <c r="L14" s="42"/>
      <c r="M14" s="158"/>
      <c r="N14" s="271"/>
      <c r="O14" s="483"/>
      <c r="P14" s="483"/>
      <c r="Q14" s="158"/>
      <c r="R14" s="158"/>
      <c r="S14" s="2">
        <v>12</v>
      </c>
      <c r="T14" s="182" t="e">
        <f t="shared" si="0"/>
        <v>#VALUE!</v>
      </c>
      <c r="U14" s="2"/>
      <c r="V14" s="182"/>
      <c r="X14" s="180" t="s">
        <v>220</v>
      </c>
      <c r="Y14" s="180">
        <v>12</v>
      </c>
      <c r="Z14" s="2">
        <v>2027</v>
      </c>
      <c r="AB14" s="312">
        <f>IF($K$12="Seleccione Fecha",0,'Empleados Contratista'!A13)</f>
        <v>0</v>
      </c>
      <c r="AC14" s="312">
        <f>IF($K$12="Seleccione Fecha",0,IF('Equipo Contratista'!A13="",0,'Equipo Contratista'!A13))</f>
        <v>0</v>
      </c>
    </row>
    <row r="15" spans="2:29" ht="13">
      <c r="B15" s="180" t="s">
        <v>234</v>
      </c>
      <c r="D15" s="620">
        <f>'Información Force Account'!B4</f>
        <v>0</v>
      </c>
      <c r="E15" s="620"/>
      <c r="F15" s="620"/>
      <c r="G15" s="620"/>
      <c r="H15" s="620"/>
      <c r="I15" s="2"/>
      <c r="J15" s="466" t="s">
        <v>103</v>
      </c>
      <c r="K15" s="466"/>
      <c r="L15" s="225">
        <f>Q3</f>
        <v>1</v>
      </c>
      <c r="M15" s="259"/>
      <c r="N15" s="271"/>
      <c r="O15" s="483"/>
      <c r="P15" s="483"/>
      <c r="Q15" s="267"/>
      <c r="R15" s="2"/>
      <c r="S15" s="2">
        <v>13</v>
      </c>
      <c r="T15" s="182" t="e">
        <f t="shared" si="0"/>
        <v>#VALUE!</v>
      </c>
      <c r="U15" s="2"/>
      <c r="V15" s="182"/>
      <c r="X15" s="2"/>
      <c r="Y15" s="2"/>
      <c r="Z15" s="2">
        <v>2028</v>
      </c>
      <c r="AB15" s="312">
        <f>IF($K$12="Seleccione Fecha",0,'Empleados Contratista'!A14)</f>
        <v>0</v>
      </c>
      <c r="AC15" s="312">
        <f>IF($K$12="Seleccione Fecha",0,IF('Equipo Contratista'!A14="",0,'Equipo Contratista'!A14))</f>
        <v>0</v>
      </c>
    </row>
    <row r="16" spans="2:29" ht="13" thickBot="1">
      <c r="M16" s="257"/>
      <c r="N16" s="271"/>
      <c r="O16" s="483"/>
      <c r="P16" s="483"/>
      <c r="Q16" s="155"/>
      <c r="S16" s="2">
        <v>14</v>
      </c>
      <c r="T16" s="182" t="e">
        <f t="shared" si="0"/>
        <v>#VALUE!</v>
      </c>
      <c r="U16" s="2"/>
      <c r="V16" s="182"/>
      <c r="X16" s="2"/>
      <c r="Y16" s="2"/>
      <c r="Z16" s="2">
        <v>2029</v>
      </c>
      <c r="AB16" s="312">
        <f>IF($K$12="Seleccione Fecha",0,'Empleados Contratista'!A15)</f>
        <v>0</v>
      </c>
      <c r="AC16" s="312">
        <f>IF($K$12="Seleccione Fecha",0,IF('Equipo Contratista'!A15="",0,'Equipo Contratista'!A15))</f>
        <v>0</v>
      </c>
    </row>
    <row r="17" spans="1:29" s="6" customFormat="1" ht="20">
      <c r="A17" s="159"/>
      <c r="B17" s="467" t="s">
        <v>104</v>
      </c>
      <c r="C17" s="468"/>
      <c r="D17" s="468"/>
      <c r="E17" s="468"/>
      <c r="F17" s="468"/>
      <c r="G17" s="468"/>
      <c r="H17" s="468"/>
      <c r="I17" s="468"/>
      <c r="J17" s="468"/>
      <c r="K17" s="468"/>
      <c r="L17" s="469"/>
      <c r="M17" s="273"/>
      <c r="N17" s="271"/>
      <c r="O17" s="483"/>
      <c r="P17" s="483"/>
      <c r="Q17" s="274"/>
      <c r="R17" s="160"/>
      <c r="S17" s="2">
        <v>15</v>
      </c>
      <c r="T17" s="182" t="e">
        <f t="shared" si="0"/>
        <v>#VALUE!</v>
      </c>
      <c r="U17" s="2"/>
      <c r="V17" s="182"/>
      <c r="W17" s="3"/>
      <c r="X17" s="2"/>
      <c r="Y17" s="2"/>
      <c r="Z17" s="2">
        <v>2030</v>
      </c>
      <c r="AB17" s="312">
        <f>IF($K$12="Seleccione Fecha",0,'Empleados Contratista'!A16)</f>
        <v>0</v>
      </c>
      <c r="AC17" s="312">
        <f>IF($K$12="Seleccione Fecha",0,IF('Equipo Contratista'!A16="",0,'Equipo Contratista'!A16))</f>
        <v>0</v>
      </c>
    </row>
    <row r="18" spans="1:29" s="6" customFormat="1" ht="20">
      <c r="A18" s="159"/>
      <c r="B18" s="470"/>
      <c r="C18" s="471"/>
      <c r="D18" s="471"/>
      <c r="E18" s="471"/>
      <c r="F18" s="471"/>
      <c r="G18" s="471"/>
      <c r="H18" s="471"/>
      <c r="I18" s="471"/>
      <c r="J18" s="471"/>
      <c r="K18" s="471"/>
      <c r="L18" s="472"/>
      <c r="M18" s="273"/>
      <c r="N18" s="271"/>
      <c r="O18" s="483"/>
      <c r="P18" s="483"/>
      <c r="Q18" s="273"/>
      <c r="R18" s="160"/>
      <c r="S18" s="2">
        <v>16</v>
      </c>
      <c r="T18" s="182" t="e">
        <f t="shared" si="0"/>
        <v>#VALUE!</v>
      </c>
      <c r="U18" s="2"/>
      <c r="V18" s="182"/>
      <c r="AB18" s="312">
        <f>IF($K$12="Seleccione Fecha",0,'Empleados Contratista'!A17)</f>
        <v>0</v>
      </c>
      <c r="AC18" s="312">
        <f>IF($K$12="Seleccione Fecha",0,IF('Equipo Contratista'!A17="",0,'Equipo Contratista'!A17))</f>
        <v>0</v>
      </c>
    </row>
    <row r="19" spans="1:29" ht="13">
      <c r="A19" s="27"/>
      <c r="B19" s="473" t="s">
        <v>105</v>
      </c>
      <c r="C19" s="414"/>
      <c r="D19" s="414"/>
      <c r="E19" s="414" t="s">
        <v>106</v>
      </c>
      <c r="F19" s="414"/>
      <c r="G19" s="414"/>
      <c r="H19" s="475" t="s">
        <v>107</v>
      </c>
      <c r="I19" s="476" t="s">
        <v>108</v>
      </c>
      <c r="J19" s="414" t="s">
        <v>109</v>
      </c>
      <c r="K19" s="414" t="s">
        <v>110</v>
      </c>
      <c r="L19" s="477"/>
      <c r="M19" s="275"/>
      <c r="N19" s="271"/>
      <c r="O19" s="483"/>
      <c r="P19" s="483"/>
      <c r="Q19" s="474" t="s">
        <v>208</v>
      </c>
      <c r="R19" s="179"/>
      <c r="S19" s="2">
        <v>17</v>
      </c>
      <c r="T19" s="182" t="e">
        <f t="shared" si="0"/>
        <v>#VALUE!</v>
      </c>
      <c r="U19" s="2"/>
      <c r="V19" s="182"/>
      <c r="AB19" s="312">
        <f>IF($K$12="Seleccione Fecha",0,'Empleados Contratista'!A18)</f>
        <v>0</v>
      </c>
      <c r="AC19" s="312">
        <f>IF($K$12="Seleccione Fecha",0,IF('Equipo Contratista'!A18="",0,'Equipo Contratista'!A18))</f>
        <v>0</v>
      </c>
    </row>
    <row r="20" spans="1:29" ht="13">
      <c r="A20" s="27"/>
      <c r="B20" s="473"/>
      <c r="C20" s="414"/>
      <c r="D20" s="414"/>
      <c r="E20" s="414"/>
      <c r="F20" s="414"/>
      <c r="G20" s="414"/>
      <c r="H20" s="475"/>
      <c r="I20" s="476"/>
      <c r="J20" s="414"/>
      <c r="K20" s="478"/>
      <c r="L20" s="477"/>
      <c r="M20" s="275"/>
      <c r="N20" s="271"/>
      <c r="O20" s="483"/>
      <c r="P20" s="483"/>
      <c r="Q20" s="474"/>
      <c r="R20" s="161"/>
      <c r="S20" s="2">
        <v>18</v>
      </c>
      <c r="T20" s="182" t="e">
        <f t="shared" si="0"/>
        <v>#VALUE!</v>
      </c>
      <c r="U20" s="2"/>
      <c r="V20" s="182"/>
      <c r="W20" s="306"/>
      <c r="AB20" s="312">
        <f>IF($K$12="Seleccione Fecha",0,'Empleados Contratista'!A19)</f>
        <v>0</v>
      </c>
      <c r="AC20" s="312">
        <f>IF($K$12="Seleccione Fecha",0,IF('Equipo Contratista'!A19="",0,'Equipo Contratista'!A19))</f>
        <v>0</v>
      </c>
    </row>
    <row r="21" spans="1:29" ht="12.5" customHeight="1">
      <c r="A21" s="486"/>
      <c r="B21" s="487"/>
      <c r="C21" s="488"/>
      <c r="D21" s="489"/>
      <c r="E21" s="490" t="str">
        <f>IF(ISBLANK(B21),"",VLOOKUP(B21,'Empleados Contratista'!$A$2:$E$51,3,FALSE))</f>
        <v/>
      </c>
      <c r="F21" s="491"/>
      <c r="G21" s="8" t="s">
        <v>111</v>
      </c>
      <c r="H21" s="228"/>
      <c r="I21" s="162" t="str">
        <f>IF(ISBLANK(B21),"",VLOOKUP(B21,'Empleados Contratista'!$A$2:$E$51,4,FALSE))</f>
        <v/>
      </c>
      <c r="J21" s="162" t="str">
        <f>IF(ISBLANK(H21),"",H21*I21)</f>
        <v/>
      </c>
      <c r="K21" s="494" t="str">
        <f>IF(ISBLANK(B21),"",SUM(J21:J22))</f>
        <v/>
      </c>
      <c r="L21" s="495"/>
      <c r="M21" s="255"/>
      <c r="N21" s="255"/>
      <c r="O21" s="276">
        <f>IF(Q21&lt;&gt;"",1,0)</f>
        <v>0</v>
      </c>
      <c r="P21" s="276">
        <v>1</v>
      </c>
      <c r="Q21" s="276" t="str">
        <f>IF(ISBLANK(B21),"",IF(VLOOKUP(B21,'Empleados Contratista'!$A$2:$E$51,5,FALSE)=0,"NU",VLOOKUP(B21,'Empleados Contratista'!$A$2:$E$51,5,FALSE)))</f>
        <v/>
      </c>
      <c r="R21" s="163"/>
      <c r="S21" s="2">
        <v>19</v>
      </c>
      <c r="T21" s="182" t="e">
        <f t="shared" si="0"/>
        <v>#VALUE!</v>
      </c>
      <c r="U21" s="2"/>
      <c r="V21" s="182"/>
      <c r="AB21" s="312">
        <f>IF($K$12="Seleccione Fecha",0,'Empleados Contratista'!A20)</f>
        <v>0</v>
      </c>
      <c r="AC21" s="312">
        <f>IF($K$12="Seleccione Fecha",0,IF('Equipo Contratista'!A20="",0,'Equipo Contratista'!A20))</f>
        <v>0</v>
      </c>
    </row>
    <row r="22" spans="1:29">
      <c r="A22" s="486"/>
      <c r="B22" s="498" t="str">
        <f>IF(ISBLANK(B21),"",VLOOKUP(B21,'Empleados Contratista'!$A$2:$E$51,2,FALSE))</f>
        <v/>
      </c>
      <c r="C22" s="499"/>
      <c r="D22" s="500"/>
      <c r="E22" s="492"/>
      <c r="F22" s="493"/>
      <c r="G22" s="8" t="s">
        <v>112</v>
      </c>
      <c r="H22" s="228"/>
      <c r="I22" s="162" t="str">
        <f>IF(ISBLANK(H22),"",I21*2)</f>
        <v/>
      </c>
      <c r="J22" s="162" t="str">
        <f>IF(ISBLANK(H22),"",H22*I22)</f>
        <v/>
      </c>
      <c r="K22" s="496"/>
      <c r="L22" s="497"/>
      <c r="M22" s="255"/>
      <c r="N22" s="255"/>
      <c r="O22" s="276"/>
      <c r="P22" s="276"/>
      <c r="Q22" s="276"/>
      <c r="R22" s="163"/>
      <c r="S22" s="2">
        <v>20</v>
      </c>
      <c r="T22" s="182" t="e">
        <f t="shared" si="0"/>
        <v>#VALUE!</v>
      </c>
      <c r="U22" s="2"/>
      <c r="V22" s="182"/>
      <c r="AB22" s="312">
        <f>IF($K$12="Seleccione Fecha",0,'Empleados Contratista'!A21)</f>
        <v>0</v>
      </c>
      <c r="AC22" s="312">
        <f>IF($K$12="Seleccione Fecha",0,IF('Equipo Contratista'!A21="",0,'Equipo Contratista'!A21))</f>
        <v>0</v>
      </c>
    </row>
    <row r="23" spans="1:29" ht="12.75" customHeight="1">
      <c r="A23" s="486"/>
      <c r="B23" s="487"/>
      <c r="C23" s="488"/>
      <c r="D23" s="489"/>
      <c r="E23" s="490" t="str">
        <f>IF(ISBLANK(B23),"",VLOOKUP(B23,'Empleados Contratista'!$A$2:$E$51,3,FALSE))</f>
        <v/>
      </c>
      <c r="F23" s="491"/>
      <c r="G23" s="8" t="s">
        <v>111</v>
      </c>
      <c r="H23" s="228"/>
      <c r="I23" s="162" t="str">
        <f>IF(ISBLANK(B23),"",VLOOKUP(B23,'Empleados Contratista'!$A$2:$E$51,4,FALSE))</f>
        <v/>
      </c>
      <c r="J23" s="162" t="str">
        <f t="shared" ref="J23:J50" si="1">IF(ISBLANK(H23),"",H23*I23)</f>
        <v/>
      </c>
      <c r="K23" s="494" t="str">
        <f>IF(ISBLANK(B23),"",SUM(J23:J24))</f>
        <v/>
      </c>
      <c r="L23" s="495"/>
      <c r="M23" s="255"/>
      <c r="N23" s="255"/>
      <c r="O23" s="276">
        <f>IF(Q23&lt;&gt;"",1,0)</f>
        <v>0</v>
      </c>
      <c r="P23" s="276">
        <v>2</v>
      </c>
      <c r="Q23" s="276" t="str">
        <f>IF(ISBLANK(B23),"",IF(VLOOKUP(B23,'Empleados Contratista'!$A$2:$E$51,5,FALSE)=0,"NU",VLOOKUP(B23,'Empleados Contratista'!$A$2:$E$51,5,FALSE)))</f>
        <v/>
      </c>
      <c r="R23" s="163"/>
      <c r="S23" s="2">
        <v>21</v>
      </c>
      <c r="T23" s="182" t="e">
        <f t="shared" si="0"/>
        <v>#VALUE!</v>
      </c>
      <c r="U23" s="2"/>
      <c r="V23" s="182"/>
      <c r="AB23" s="312">
        <f>IF($K$12="Seleccione Fecha",0,'Empleados Contratista'!A22)</f>
        <v>0</v>
      </c>
      <c r="AC23" s="312">
        <f>IF($K$12="Seleccione Fecha",0,IF('Equipo Contratista'!A22="",0,'Equipo Contratista'!A22))</f>
        <v>0</v>
      </c>
    </row>
    <row r="24" spans="1:29">
      <c r="A24" s="486"/>
      <c r="B24" s="498" t="str">
        <f>IF(ISBLANK(B23),"",VLOOKUP(B23,'Empleados Contratista'!$A$2:$E$51,2,FALSE))</f>
        <v/>
      </c>
      <c r="C24" s="499"/>
      <c r="D24" s="500"/>
      <c r="E24" s="492"/>
      <c r="F24" s="493"/>
      <c r="G24" s="8" t="s">
        <v>112</v>
      </c>
      <c r="H24" s="228"/>
      <c r="I24" s="162" t="str">
        <f>IF(ISBLANK(H24),"",I23*2)</f>
        <v/>
      </c>
      <c r="J24" s="162" t="str">
        <f t="shared" si="1"/>
        <v/>
      </c>
      <c r="K24" s="496"/>
      <c r="L24" s="497"/>
      <c r="M24" s="255"/>
      <c r="N24" s="255"/>
      <c r="O24" s="276"/>
      <c r="P24" s="276"/>
      <c r="Q24" s="276"/>
      <c r="R24" s="163"/>
      <c r="S24" s="2">
        <v>22</v>
      </c>
      <c r="T24" s="182" t="e">
        <f t="shared" si="0"/>
        <v>#VALUE!</v>
      </c>
      <c r="U24" s="2"/>
      <c r="V24" s="182"/>
      <c r="AB24" s="312">
        <f>IF($K$12="Seleccione Fecha",0,'Empleados Contratista'!A23)</f>
        <v>0</v>
      </c>
      <c r="AC24" s="312">
        <f>IF($K$12="Seleccione Fecha",0,IF('Equipo Contratista'!A23="",0,'Equipo Contratista'!A23))</f>
        <v>0</v>
      </c>
    </row>
    <row r="25" spans="1:29" ht="12.5" customHeight="1">
      <c r="A25" s="486"/>
      <c r="B25" s="487"/>
      <c r="C25" s="488"/>
      <c r="D25" s="489"/>
      <c r="E25" s="490" t="str">
        <f>IF(ISBLANK(B25),"",VLOOKUP(B25,'Empleados Contratista'!$A$2:$E$51,3,FALSE))</f>
        <v/>
      </c>
      <c r="F25" s="491"/>
      <c r="G25" s="8" t="s">
        <v>111</v>
      </c>
      <c r="H25" s="228"/>
      <c r="I25" s="162" t="str">
        <f>IF(ISBLANK(B25),"",VLOOKUP(B25,'Empleados Contratista'!$A$2:$E$51,4,FALSE))</f>
        <v/>
      </c>
      <c r="J25" s="162" t="str">
        <f t="shared" si="1"/>
        <v/>
      </c>
      <c r="K25" s="494" t="str">
        <f>IF(ISBLANK(B25),"",SUM(J25:J26))</f>
        <v/>
      </c>
      <c r="L25" s="495"/>
      <c r="M25" s="255"/>
      <c r="N25" s="255"/>
      <c r="O25" s="276">
        <f>IF(Q25&lt;&gt;"",1,0)</f>
        <v>0</v>
      </c>
      <c r="P25" s="276">
        <v>3</v>
      </c>
      <c r="Q25" s="276" t="str">
        <f>IF(ISBLANK(B25),"",IF(VLOOKUP(B25,'Empleados Contratista'!$A$2:$E$51,5,FALSE)=0,"NU",VLOOKUP(B25,'Empleados Contratista'!$A$2:$E$51,5,FALSE)))</f>
        <v/>
      </c>
      <c r="R25" s="163"/>
      <c r="S25" s="2">
        <v>23</v>
      </c>
      <c r="T25" s="182" t="e">
        <f t="shared" si="0"/>
        <v>#VALUE!</v>
      </c>
      <c r="U25" s="2"/>
      <c r="V25" s="182"/>
      <c r="AB25" s="312">
        <f>IF($K$12="Seleccione Fecha",0,'Empleados Contratista'!A24)</f>
        <v>0</v>
      </c>
      <c r="AC25" s="312">
        <f>IF($K$12="Seleccione Fecha",0,IF('Equipo Contratista'!A24="",0,'Equipo Contratista'!A24))</f>
        <v>0</v>
      </c>
    </row>
    <row r="26" spans="1:29">
      <c r="A26" s="486"/>
      <c r="B26" s="498" t="str">
        <f>IF(ISBLANK(B25),"",VLOOKUP(B25,'Empleados Contratista'!$A$2:$E$51,2,FALSE))</f>
        <v/>
      </c>
      <c r="C26" s="499"/>
      <c r="D26" s="500"/>
      <c r="E26" s="492"/>
      <c r="F26" s="493"/>
      <c r="G26" s="8" t="s">
        <v>112</v>
      </c>
      <c r="H26" s="228"/>
      <c r="I26" s="162" t="str">
        <f>IF(ISBLANK(H26),"",I25*2)</f>
        <v/>
      </c>
      <c r="J26" s="162" t="str">
        <f t="shared" si="1"/>
        <v/>
      </c>
      <c r="K26" s="496"/>
      <c r="L26" s="497"/>
      <c r="M26" s="255"/>
      <c r="N26" s="255"/>
      <c r="O26" s="276"/>
      <c r="P26" s="276"/>
      <c r="Q26" s="276"/>
      <c r="R26" s="163"/>
      <c r="S26" s="2">
        <v>24</v>
      </c>
      <c r="T26" s="182" t="e">
        <f t="shared" si="0"/>
        <v>#VALUE!</v>
      </c>
      <c r="U26" s="2"/>
      <c r="V26" s="182"/>
      <c r="AB26" s="312">
        <f>IF($K$12="Seleccione Fecha",0,'Empleados Contratista'!A25)</f>
        <v>0</v>
      </c>
      <c r="AC26" s="312">
        <f>IF($K$12="Seleccione Fecha",0,IF('Equipo Contratista'!A25="",0,'Equipo Contratista'!A25))</f>
        <v>0</v>
      </c>
    </row>
    <row r="27" spans="1:29" ht="12.5" customHeight="1">
      <c r="A27" s="486"/>
      <c r="B27" s="487"/>
      <c r="C27" s="488"/>
      <c r="D27" s="489"/>
      <c r="E27" s="490" t="str">
        <f>IF(ISBLANK(B27),"",VLOOKUP(B27,'Empleados Contratista'!$A$2:$E$51,3,FALSE))</f>
        <v/>
      </c>
      <c r="F27" s="491"/>
      <c r="G27" s="8" t="s">
        <v>111</v>
      </c>
      <c r="H27" s="228"/>
      <c r="I27" s="162" t="str">
        <f>IF(ISBLANK(B27),"",VLOOKUP(B27,'Empleados Contratista'!$A$2:$E$51,4,FALSE))</f>
        <v/>
      </c>
      <c r="J27" s="162" t="str">
        <f t="shared" si="1"/>
        <v/>
      </c>
      <c r="K27" s="494" t="str">
        <f>IF(ISBLANK(B27),"",SUM(J27:J28))</f>
        <v/>
      </c>
      <c r="L27" s="495"/>
      <c r="M27" s="255"/>
      <c r="N27" s="255"/>
      <c r="O27" s="276">
        <f>IF(Q27&lt;&gt;"",1,0)</f>
        <v>0</v>
      </c>
      <c r="P27" s="276">
        <v>4</v>
      </c>
      <c r="Q27" s="276" t="str">
        <f>IF(ISBLANK(B27),"",IF(VLOOKUP(B27,'Empleados Contratista'!$A$2:$E$51,5,FALSE)=0,"NU",VLOOKUP(B27,'Empleados Contratista'!$A$2:$E$51,5,FALSE)))</f>
        <v/>
      </c>
      <c r="R27" s="163"/>
      <c r="S27" s="2">
        <v>25</v>
      </c>
      <c r="T27" s="182" t="e">
        <f t="shared" si="0"/>
        <v>#VALUE!</v>
      </c>
      <c r="U27" s="2"/>
      <c r="V27" s="182"/>
      <c r="AB27" s="312">
        <f>IF($K$12="Seleccione Fecha",0,'Empleados Contratista'!A26)</f>
        <v>0</v>
      </c>
      <c r="AC27" s="312">
        <f>IF($K$12="Seleccione Fecha",0,IF('Equipo Contratista'!A26="",0,'Equipo Contratista'!A26))</f>
        <v>0</v>
      </c>
    </row>
    <row r="28" spans="1:29">
      <c r="A28" s="486"/>
      <c r="B28" s="498" t="str">
        <f>IF(ISBLANK(B27),"",VLOOKUP(B27,'Empleados Contratista'!$A$2:$E$51,2,FALSE))</f>
        <v/>
      </c>
      <c r="C28" s="499"/>
      <c r="D28" s="500"/>
      <c r="E28" s="492"/>
      <c r="F28" s="493"/>
      <c r="G28" s="8" t="s">
        <v>112</v>
      </c>
      <c r="H28" s="228"/>
      <c r="I28" s="162" t="str">
        <f>IF(ISBLANK(H28),"",I27*2)</f>
        <v/>
      </c>
      <c r="J28" s="162" t="str">
        <f t="shared" si="1"/>
        <v/>
      </c>
      <c r="K28" s="496"/>
      <c r="L28" s="497"/>
      <c r="M28" s="255"/>
      <c r="N28" s="255"/>
      <c r="O28" s="276"/>
      <c r="P28" s="276"/>
      <c r="Q28" s="276"/>
      <c r="R28" s="163"/>
      <c r="S28" s="2">
        <v>26</v>
      </c>
      <c r="T28" s="182" t="e">
        <f t="shared" si="0"/>
        <v>#VALUE!</v>
      </c>
      <c r="U28" s="2"/>
      <c r="V28" s="182"/>
      <c r="AB28" s="312">
        <f>IF($K$12="Seleccione Fecha",0,'Empleados Contratista'!A27)</f>
        <v>0</v>
      </c>
      <c r="AC28" s="312">
        <f>IF($K$12="Seleccione Fecha",0,IF('Equipo Contratista'!A27="",0,'Equipo Contratista'!A27))</f>
        <v>0</v>
      </c>
    </row>
    <row r="29" spans="1:29" ht="12.5" customHeight="1">
      <c r="A29" s="486"/>
      <c r="B29" s="487"/>
      <c r="C29" s="488"/>
      <c r="D29" s="489"/>
      <c r="E29" s="490" t="str">
        <f>IF(ISBLANK(B29),"",VLOOKUP(B29,'Empleados Contratista'!$A$2:$E$51,3,FALSE))</f>
        <v/>
      </c>
      <c r="F29" s="491"/>
      <c r="G29" s="8" t="s">
        <v>111</v>
      </c>
      <c r="H29" s="228"/>
      <c r="I29" s="162" t="str">
        <f>IF(ISBLANK(B29),"",VLOOKUP(B29,'Empleados Contratista'!$A$2:$E$51,4,FALSE))</f>
        <v/>
      </c>
      <c r="J29" s="162" t="str">
        <f t="shared" si="1"/>
        <v/>
      </c>
      <c r="K29" s="494" t="str">
        <f>IF(ISBLANK(B29),"",SUM(J29:J30))</f>
        <v/>
      </c>
      <c r="L29" s="495"/>
      <c r="M29" s="255"/>
      <c r="N29" s="255"/>
      <c r="O29" s="276">
        <f>IF(Q29&lt;&gt;"",1,0)</f>
        <v>0</v>
      </c>
      <c r="P29" s="276">
        <v>5</v>
      </c>
      <c r="Q29" s="276" t="str">
        <f>IF(ISBLANK(B29),"",IF(VLOOKUP(B29,'Empleados Contratista'!$A$2:$E$51,5,FALSE)=0,"NU",VLOOKUP(B29,'Empleados Contratista'!$A$2:$E$51,5,FALSE)))</f>
        <v/>
      </c>
      <c r="R29" s="163"/>
      <c r="S29" s="2">
        <v>27</v>
      </c>
      <c r="T29" s="182" t="e">
        <f t="shared" si="0"/>
        <v>#VALUE!</v>
      </c>
      <c r="U29" s="2"/>
      <c r="V29" s="182"/>
      <c r="AB29" s="312">
        <f>IF($K$12="Seleccione Fecha",0,'Empleados Contratista'!A28)</f>
        <v>0</v>
      </c>
      <c r="AC29" s="312">
        <f>IF($K$12="Seleccione Fecha",0,IF('Equipo Contratista'!A28="",0,'Equipo Contratista'!A28))</f>
        <v>0</v>
      </c>
    </row>
    <row r="30" spans="1:29">
      <c r="A30" s="486"/>
      <c r="B30" s="498" t="str">
        <f>IF(ISBLANK(B29),"",VLOOKUP(B29,'Empleados Contratista'!$A$2:$E$51,2,FALSE))</f>
        <v/>
      </c>
      <c r="C30" s="499"/>
      <c r="D30" s="500"/>
      <c r="E30" s="492"/>
      <c r="F30" s="493"/>
      <c r="G30" s="8" t="s">
        <v>112</v>
      </c>
      <c r="H30" s="228"/>
      <c r="I30" s="162" t="str">
        <f>IF(ISBLANK(H30),"",I29*2)</f>
        <v/>
      </c>
      <c r="J30" s="162" t="str">
        <f t="shared" si="1"/>
        <v/>
      </c>
      <c r="K30" s="496"/>
      <c r="L30" s="497"/>
      <c r="M30" s="255"/>
      <c r="N30" s="255"/>
      <c r="O30" s="276"/>
      <c r="P30" s="276"/>
      <c r="Q30" s="276"/>
      <c r="R30" s="163"/>
      <c r="S30" s="2">
        <v>28</v>
      </c>
      <c r="T30" s="182" t="e">
        <f t="shared" si="0"/>
        <v>#VALUE!</v>
      </c>
      <c r="U30" s="2"/>
      <c r="V30" s="182"/>
      <c r="AB30" s="312">
        <f>IF($K$12="Seleccione Fecha",0,'Empleados Contratista'!A29)</f>
        <v>0</v>
      </c>
      <c r="AC30" s="312">
        <f>IF($K$12="Seleccione Fecha",0,IF('Equipo Contratista'!A29="",0,'Equipo Contratista'!A29))</f>
        <v>0</v>
      </c>
    </row>
    <row r="31" spans="1:29" ht="12.5" customHeight="1">
      <c r="A31" s="486"/>
      <c r="B31" s="487"/>
      <c r="C31" s="488"/>
      <c r="D31" s="489"/>
      <c r="E31" s="490" t="str">
        <f>IF(ISBLANK(B31),"",VLOOKUP(B31,'Empleados Contratista'!$A$2:$E$51,3,FALSE))</f>
        <v/>
      </c>
      <c r="F31" s="491"/>
      <c r="G31" s="8" t="s">
        <v>111</v>
      </c>
      <c r="H31" s="228"/>
      <c r="I31" s="162" t="str">
        <f>IF(ISBLANK(B31),"",VLOOKUP(B31,'Empleados Contratista'!$A$2:$E$51,4,FALSE))</f>
        <v/>
      </c>
      <c r="J31" s="162" t="str">
        <f t="shared" si="1"/>
        <v/>
      </c>
      <c r="K31" s="494" t="str">
        <f>IF(ISBLANK(B31),"",SUM(J31:J32))</f>
        <v/>
      </c>
      <c r="L31" s="495"/>
      <c r="M31" s="255"/>
      <c r="N31" s="255"/>
      <c r="O31" s="276">
        <f>IF(Q31&lt;&gt;"",1,0)</f>
        <v>0</v>
      </c>
      <c r="P31" s="276">
        <v>6</v>
      </c>
      <c r="Q31" s="276" t="str">
        <f>IF(ISBLANK(B31),"",IF(VLOOKUP(B31,'Empleados Contratista'!$A$2:$E$51,5,FALSE)=0,"NU",VLOOKUP(B31,'Empleados Contratista'!$A$2:$E$51,5,FALSE)))</f>
        <v/>
      </c>
      <c r="R31" s="163"/>
      <c r="S31" s="2">
        <v>29</v>
      </c>
      <c r="T31" s="182" t="e">
        <f t="shared" si="0"/>
        <v>#VALUE!</v>
      </c>
      <c r="U31" s="2"/>
      <c r="V31" s="182"/>
      <c r="AB31" s="312">
        <f>IF($K$12="Seleccione Fecha",0,'Empleados Contratista'!A30)</f>
        <v>0</v>
      </c>
      <c r="AC31" s="312">
        <f>IF($K$12="Seleccione Fecha",0,IF('Equipo Contratista'!A30="",0,'Equipo Contratista'!A30))</f>
        <v>0</v>
      </c>
    </row>
    <row r="32" spans="1:29">
      <c r="A32" s="486"/>
      <c r="B32" s="498" t="str">
        <f>IF(ISBLANK(B31),"",VLOOKUP(B31,'Empleados Contratista'!$A$2:$E$51,2,FALSE))</f>
        <v/>
      </c>
      <c r="C32" s="499"/>
      <c r="D32" s="500"/>
      <c r="E32" s="492"/>
      <c r="F32" s="493"/>
      <c r="G32" s="8" t="s">
        <v>112</v>
      </c>
      <c r="H32" s="228"/>
      <c r="I32" s="162" t="str">
        <f>IF(ISBLANK(H32),"",I31*2)</f>
        <v/>
      </c>
      <c r="J32" s="162" t="str">
        <f t="shared" si="1"/>
        <v/>
      </c>
      <c r="K32" s="496"/>
      <c r="L32" s="497"/>
      <c r="M32" s="255"/>
      <c r="N32" s="255"/>
      <c r="O32" s="276"/>
      <c r="P32" s="276"/>
      <c r="Q32" s="276"/>
      <c r="R32" s="163"/>
      <c r="S32" s="2">
        <v>30</v>
      </c>
      <c r="T32" s="182" t="e">
        <f t="shared" si="0"/>
        <v>#VALUE!</v>
      </c>
      <c r="U32" s="2"/>
      <c r="V32" s="182"/>
      <c r="AB32" s="312">
        <f>IF($K$12="Seleccione Fecha",0,'Empleados Contratista'!A31)</f>
        <v>0</v>
      </c>
      <c r="AC32" s="312">
        <f>IF($K$12="Seleccione Fecha",0,IF('Equipo Contratista'!A31="",0,'Equipo Contratista'!A31))</f>
        <v>0</v>
      </c>
    </row>
    <row r="33" spans="1:29" ht="12.5" customHeight="1">
      <c r="A33" s="486"/>
      <c r="B33" s="487"/>
      <c r="C33" s="488"/>
      <c r="D33" s="489"/>
      <c r="E33" s="490" t="str">
        <f>IF(ISBLANK(B33),"",VLOOKUP(B33,'Empleados Contratista'!$A$2:$E$51,3,FALSE))</f>
        <v/>
      </c>
      <c r="F33" s="491"/>
      <c r="G33" s="8" t="s">
        <v>111</v>
      </c>
      <c r="H33" s="228"/>
      <c r="I33" s="162" t="str">
        <f>IF(ISBLANK(B33),"",VLOOKUP(B33,'Empleados Contratista'!$A$2:$E$51,4,FALSE))</f>
        <v/>
      </c>
      <c r="J33" s="162" t="str">
        <f t="shared" si="1"/>
        <v/>
      </c>
      <c r="K33" s="494" t="str">
        <f>IF(ISBLANK(B33),"",SUM(J33:J34))</f>
        <v/>
      </c>
      <c r="L33" s="495"/>
      <c r="M33" s="255"/>
      <c r="N33" s="255"/>
      <c r="O33" s="276">
        <f>IF(Q33&lt;&gt;"",1,0)</f>
        <v>0</v>
      </c>
      <c r="P33" s="276">
        <v>7</v>
      </c>
      <c r="Q33" s="276" t="str">
        <f>IF(ISBLANK(B33),"",IF(VLOOKUP(B33,'Empleados Contratista'!$A$2:$E$51,5,FALSE)=0,"NU",VLOOKUP(B33,'Empleados Contratista'!$A$2:$E$51,5,FALSE)))</f>
        <v/>
      </c>
      <c r="R33" s="163"/>
      <c r="S33" s="2">
        <v>31</v>
      </c>
      <c r="T33" s="182" t="e">
        <f t="shared" si="0"/>
        <v>#VALUE!</v>
      </c>
      <c r="U33" s="2"/>
      <c r="V33" s="182"/>
      <c r="AB33" s="312">
        <f>IF($K$12="Seleccione Fecha",0,'Empleados Contratista'!A32)</f>
        <v>0</v>
      </c>
      <c r="AC33" s="312">
        <f>IF($K$12="Seleccione Fecha",0,IF('Equipo Contratista'!A32="",0,'Equipo Contratista'!A32))</f>
        <v>0</v>
      </c>
    </row>
    <row r="34" spans="1:29">
      <c r="A34" s="486"/>
      <c r="B34" s="498" t="str">
        <f>IF(ISBLANK(B33),"",VLOOKUP(B33,'Empleados Contratista'!$A$2:$E$51,2,FALSE))</f>
        <v/>
      </c>
      <c r="C34" s="499"/>
      <c r="D34" s="500"/>
      <c r="E34" s="492"/>
      <c r="F34" s="493"/>
      <c r="G34" s="8" t="s">
        <v>112</v>
      </c>
      <c r="H34" s="228"/>
      <c r="I34" s="162" t="str">
        <f>IF(ISBLANK(H34),"",I33*2)</f>
        <v/>
      </c>
      <c r="J34" s="162" t="str">
        <f t="shared" si="1"/>
        <v/>
      </c>
      <c r="K34" s="496"/>
      <c r="L34" s="497"/>
      <c r="M34" s="255"/>
      <c r="N34" s="255"/>
      <c r="O34" s="276"/>
      <c r="P34" s="276"/>
      <c r="Q34" s="276"/>
      <c r="R34" s="163"/>
      <c r="S34" s="2"/>
      <c r="T34" s="182"/>
      <c r="U34" s="2"/>
      <c r="V34" s="182"/>
      <c r="AB34" s="312">
        <f>IF($K$12="Seleccione Fecha",0,'Empleados Contratista'!A33)</f>
        <v>0</v>
      </c>
      <c r="AC34" s="312">
        <f>IF($K$12="Seleccione Fecha",0,IF('Equipo Contratista'!A33="",0,'Equipo Contratista'!A33))</f>
        <v>0</v>
      </c>
    </row>
    <row r="35" spans="1:29" ht="12.5" customHeight="1">
      <c r="A35" s="486"/>
      <c r="B35" s="487"/>
      <c r="C35" s="488"/>
      <c r="D35" s="489"/>
      <c r="E35" s="490" t="str">
        <f>IF(ISBLANK(B35),"",VLOOKUP(B35,'Empleados Contratista'!$A$2:$E$51,3,FALSE))</f>
        <v/>
      </c>
      <c r="F35" s="491"/>
      <c r="G35" s="8" t="s">
        <v>111</v>
      </c>
      <c r="H35" s="228"/>
      <c r="I35" s="162" t="str">
        <f>IF(ISBLANK(B35),"",VLOOKUP(B35,'Empleados Contratista'!$A$2:$E$51,4,FALSE))</f>
        <v/>
      </c>
      <c r="J35" s="162" t="str">
        <f t="shared" si="1"/>
        <v/>
      </c>
      <c r="K35" s="494" t="str">
        <f>IF(ISBLANK(B35),"",SUM(J35:J36))</f>
        <v/>
      </c>
      <c r="L35" s="495"/>
      <c r="M35" s="255"/>
      <c r="N35" s="255"/>
      <c r="O35" s="276">
        <f>IF(Q35&lt;&gt;"",1,0)</f>
        <v>0</v>
      </c>
      <c r="P35" s="276">
        <v>8</v>
      </c>
      <c r="Q35" s="276" t="str">
        <f>IF(ISBLANK(B35),"",IF(VLOOKUP(B35,'Empleados Contratista'!$A$2:$E$51,5,FALSE)=0,"NU",VLOOKUP(B35,'Empleados Contratista'!$A$2:$E$51,5,FALSE)))</f>
        <v/>
      </c>
      <c r="R35" s="163"/>
      <c r="S35" s="163"/>
      <c r="AB35" s="312">
        <f>IF($K$12="Seleccione Fecha",0,'Empleados Contratista'!A34)</f>
        <v>0</v>
      </c>
      <c r="AC35" s="312">
        <f>IF($K$12="Seleccione Fecha",0,IF('Equipo Contratista'!A34="",0,'Equipo Contratista'!A34))</f>
        <v>0</v>
      </c>
    </row>
    <row r="36" spans="1:29">
      <c r="A36" s="486"/>
      <c r="B36" s="498" t="str">
        <f>IF(ISBLANK(B35),"",VLOOKUP(B35,'Empleados Contratista'!$A$2:$E$51,2,FALSE))</f>
        <v/>
      </c>
      <c r="C36" s="499"/>
      <c r="D36" s="500"/>
      <c r="E36" s="492"/>
      <c r="F36" s="493"/>
      <c r="G36" s="8" t="s">
        <v>112</v>
      </c>
      <c r="H36" s="228"/>
      <c r="I36" s="162" t="str">
        <f>IF(ISBLANK(H36),"",I35*2)</f>
        <v/>
      </c>
      <c r="J36" s="162" t="str">
        <f t="shared" si="1"/>
        <v/>
      </c>
      <c r="K36" s="496"/>
      <c r="L36" s="497"/>
      <c r="M36" s="255"/>
      <c r="N36" s="255"/>
      <c r="O36" s="276"/>
      <c r="P36" s="276"/>
      <c r="Q36" s="276"/>
      <c r="R36" s="163"/>
      <c r="S36" s="163"/>
      <c r="AB36" s="312">
        <f>IF($K$12="Seleccione Fecha",0,'Empleados Contratista'!A35)</f>
        <v>0</v>
      </c>
      <c r="AC36" s="312">
        <f>IF($K$12="Seleccione Fecha",0,IF('Equipo Contratista'!A35="",0,'Equipo Contratista'!A35))</f>
        <v>0</v>
      </c>
    </row>
    <row r="37" spans="1:29" ht="12.5" customHeight="1">
      <c r="A37" s="486"/>
      <c r="B37" s="487"/>
      <c r="C37" s="488"/>
      <c r="D37" s="489"/>
      <c r="E37" s="490" t="str">
        <f>IF(ISBLANK(B37),"",VLOOKUP(B37,'Empleados Contratista'!$A$2:$E$51,3,FALSE))</f>
        <v/>
      </c>
      <c r="F37" s="491"/>
      <c r="G37" s="8" t="s">
        <v>111</v>
      </c>
      <c r="H37" s="228"/>
      <c r="I37" s="162" t="str">
        <f>IF(ISBLANK(B37),"",VLOOKUP(B37,'Empleados Contratista'!$A$2:$E$51,4,FALSE))</f>
        <v/>
      </c>
      <c r="J37" s="162" t="str">
        <f t="shared" si="1"/>
        <v/>
      </c>
      <c r="K37" s="494" t="str">
        <f>IF(ISBLANK(B37),"",SUM(J37:J38))</f>
        <v/>
      </c>
      <c r="L37" s="495"/>
      <c r="M37" s="255"/>
      <c r="N37" s="255"/>
      <c r="O37" s="276">
        <f>IF(Q37&lt;&gt;"",1,0)</f>
        <v>0</v>
      </c>
      <c r="P37" s="276">
        <v>9</v>
      </c>
      <c r="Q37" s="276" t="str">
        <f>IF(ISBLANK(B37),"",IF(VLOOKUP(B37,'Empleados Contratista'!$A$2:$E$51,5,FALSE)=0,"NU",VLOOKUP(B37,'Empleados Contratista'!$A$2:$E$51,5,FALSE)))</f>
        <v/>
      </c>
      <c r="R37" s="163"/>
      <c r="S37" s="163"/>
      <c r="AB37" s="312">
        <f>IF($K$12="Seleccione Fecha",0,'Empleados Contratista'!A36)</f>
        <v>0</v>
      </c>
      <c r="AC37" s="312">
        <f>IF($K$12="Seleccione Fecha",0,IF('Equipo Contratista'!A36="",0,'Equipo Contratista'!A36))</f>
        <v>0</v>
      </c>
    </row>
    <row r="38" spans="1:29">
      <c r="A38" s="486"/>
      <c r="B38" s="498" t="str">
        <f>IF(ISBLANK(B37),"",VLOOKUP(B37,'Empleados Contratista'!$A$2:$E$51,2,FALSE))</f>
        <v/>
      </c>
      <c r="C38" s="499"/>
      <c r="D38" s="500"/>
      <c r="E38" s="492"/>
      <c r="F38" s="493"/>
      <c r="G38" s="8" t="s">
        <v>112</v>
      </c>
      <c r="H38" s="228"/>
      <c r="I38" s="162" t="str">
        <f>IF(ISBLANK(H38),"",I37*2)</f>
        <v/>
      </c>
      <c r="J38" s="162" t="str">
        <f t="shared" si="1"/>
        <v/>
      </c>
      <c r="K38" s="496"/>
      <c r="L38" s="497"/>
      <c r="M38" s="255"/>
      <c r="N38" s="255"/>
      <c r="O38" s="276"/>
      <c r="P38" s="276"/>
      <c r="Q38" s="276"/>
      <c r="R38" s="163"/>
      <c r="S38" s="163"/>
      <c r="AB38" s="312">
        <f>IF($K$12="Seleccione Fecha",0,'Empleados Contratista'!A37)</f>
        <v>0</v>
      </c>
      <c r="AC38" s="312">
        <f>IF($K$12="Seleccione Fecha",0,IF('Equipo Contratista'!A37="",0,'Equipo Contratista'!A37))</f>
        <v>0</v>
      </c>
    </row>
    <row r="39" spans="1:29" ht="12.5" customHeight="1">
      <c r="A39" s="486"/>
      <c r="B39" s="487"/>
      <c r="C39" s="488"/>
      <c r="D39" s="489"/>
      <c r="E39" s="490" t="str">
        <f>IF(ISBLANK(B39),"",VLOOKUP(B39,'Empleados Contratista'!$A$2:$E$51,3,FALSE))</f>
        <v/>
      </c>
      <c r="F39" s="491"/>
      <c r="G39" s="8" t="s">
        <v>111</v>
      </c>
      <c r="H39" s="228"/>
      <c r="I39" s="162" t="str">
        <f>IF(ISBLANK(B39),"",VLOOKUP(B39,'Empleados Contratista'!$A$2:$E$51,4,FALSE))</f>
        <v/>
      </c>
      <c r="J39" s="162" t="str">
        <f t="shared" si="1"/>
        <v/>
      </c>
      <c r="K39" s="494" t="str">
        <f>IF(ISBLANK(B39),"",SUM(J39:J40))</f>
        <v/>
      </c>
      <c r="L39" s="495"/>
      <c r="M39" s="255"/>
      <c r="N39" s="255"/>
      <c r="O39" s="276">
        <f>IF(Q39&lt;&gt;"",1,0)</f>
        <v>0</v>
      </c>
      <c r="P39" s="276">
        <v>10</v>
      </c>
      <c r="Q39" s="276" t="str">
        <f>IF(ISBLANK(B39),"",IF(VLOOKUP(B39,'Empleados Contratista'!$A$2:$E$51,5,FALSE)=0,"NU",VLOOKUP(B39,'Empleados Contratista'!$A$2:$E$51,5,FALSE)))</f>
        <v/>
      </c>
      <c r="R39" s="163"/>
      <c r="S39" s="163"/>
      <c r="AB39" s="312">
        <f>IF($K$12="Seleccione Fecha",0,'Empleados Contratista'!A38)</f>
        <v>0</v>
      </c>
      <c r="AC39" s="312">
        <f>IF($K$12="Seleccione Fecha",0,IF('Equipo Contratista'!A38="",0,'Equipo Contratista'!A38))</f>
        <v>0</v>
      </c>
    </row>
    <row r="40" spans="1:29">
      <c r="A40" s="486"/>
      <c r="B40" s="498" t="str">
        <f>IF(ISBLANK(B39),"",VLOOKUP(B39,'Empleados Contratista'!$A$2:$E$51,2,FALSE))</f>
        <v/>
      </c>
      <c r="C40" s="499"/>
      <c r="D40" s="500"/>
      <c r="E40" s="492"/>
      <c r="F40" s="493"/>
      <c r="G40" s="8" t="s">
        <v>112</v>
      </c>
      <c r="H40" s="228"/>
      <c r="I40" s="162" t="str">
        <f>IF(ISBLANK(H40),"",I39*2)</f>
        <v/>
      </c>
      <c r="J40" s="162" t="str">
        <f t="shared" si="1"/>
        <v/>
      </c>
      <c r="K40" s="496"/>
      <c r="L40" s="497"/>
      <c r="M40" s="255"/>
      <c r="N40" s="255"/>
      <c r="O40" s="276"/>
      <c r="P40" s="276"/>
      <c r="Q40" s="276"/>
      <c r="R40" s="163"/>
      <c r="S40" s="163"/>
      <c r="AB40" s="312">
        <f>IF($K$12="Seleccione Fecha",0,'Empleados Contratista'!A39)</f>
        <v>0</v>
      </c>
      <c r="AC40" s="312">
        <f>IF($K$12="Seleccione Fecha",0,IF('Equipo Contratista'!A39="",0,'Equipo Contratista'!A39))</f>
        <v>0</v>
      </c>
    </row>
    <row r="41" spans="1:29" ht="12.5" customHeight="1">
      <c r="A41" s="486"/>
      <c r="B41" s="487"/>
      <c r="C41" s="488"/>
      <c r="D41" s="489"/>
      <c r="E41" s="490" t="str">
        <f>IF(ISBLANK(B41),"",VLOOKUP(B41,'Empleados Contratista'!$A$2:$E$51,3,FALSE))</f>
        <v/>
      </c>
      <c r="F41" s="491"/>
      <c r="G41" s="8" t="s">
        <v>111</v>
      </c>
      <c r="H41" s="228"/>
      <c r="I41" s="162" t="str">
        <f>IF(ISBLANK(B41),"",VLOOKUP(B41,'Empleados Contratista'!$A$2:$E$51,4,FALSE))</f>
        <v/>
      </c>
      <c r="J41" s="162" t="str">
        <f t="shared" si="1"/>
        <v/>
      </c>
      <c r="K41" s="494" t="str">
        <f>IF(ISBLANK(B41),"",SUM(J41:J42))</f>
        <v/>
      </c>
      <c r="L41" s="495"/>
      <c r="M41" s="255"/>
      <c r="N41" s="255"/>
      <c r="O41" s="276">
        <f>IF(Q41&lt;&gt;"",1,0)</f>
        <v>0</v>
      </c>
      <c r="P41" s="276">
        <v>11</v>
      </c>
      <c r="Q41" s="276" t="str">
        <f>IF(ISBLANK(B41),"",IF(VLOOKUP(B41,'Empleados Contratista'!$A$2:$E$51,5,FALSE)=0,"NU",VLOOKUP(B41,'Empleados Contratista'!$A$2:$E$51,5,FALSE)))</f>
        <v/>
      </c>
      <c r="R41" s="163"/>
      <c r="S41" s="163"/>
      <c r="AB41" s="312">
        <f>IF($K$12="Seleccione Fecha",0,'Empleados Contratista'!A40)</f>
        <v>0</v>
      </c>
      <c r="AC41" s="312">
        <f>IF($K$12="Seleccione Fecha",0,IF('Equipo Contratista'!A40="",0,'Equipo Contratista'!A40))</f>
        <v>0</v>
      </c>
    </row>
    <row r="42" spans="1:29">
      <c r="A42" s="486"/>
      <c r="B42" s="498" t="str">
        <f>IF(ISBLANK(B41),"",VLOOKUP(B41,'Empleados Contratista'!$A$2:$E$51,2,FALSE))</f>
        <v/>
      </c>
      <c r="C42" s="499"/>
      <c r="D42" s="500"/>
      <c r="E42" s="492"/>
      <c r="F42" s="493"/>
      <c r="G42" s="8" t="s">
        <v>112</v>
      </c>
      <c r="H42" s="228"/>
      <c r="I42" s="162" t="str">
        <f>IF(ISBLANK(H42),"",I41*2)</f>
        <v/>
      </c>
      <c r="J42" s="162" t="str">
        <f t="shared" si="1"/>
        <v/>
      </c>
      <c r="K42" s="496"/>
      <c r="L42" s="497"/>
      <c r="M42" s="255"/>
      <c r="N42" s="255"/>
      <c r="O42" s="276"/>
      <c r="P42" s="276"/>
      <c r="Q42" s="276"/>
      <c r="R42" s="163"/>
      <c r="S42" s="163"/>
      <c r="AB42" s="312">
        <f>IF($K$12="Seleccione Fecha",0,'Empleados Contratista'!A41)</f>
        <v>0</v>
      </c>
      <c r="AC42" s="312">
        <f>IF($K$12="Seleccione Fecha",0,IF('Equipo Contratista'!A41="",0,'Equipo Contratista'!A41))</f>
        <v>0</v>
      </c>
    </row>
    <row r="43" spans="1:29" ht="12.5" customHeight="1">
      <c r="A43" s="486"/>
      <c r="B43" s="487"/>
      <c r="C43" s="488"/>
      <c r="D43" s="489"/>
      <c r="E43" s="490" t="str">
        <f>IF(ISBLANK(B43),"",VLOOKUP(B43,'Empleados Contratista'!$A$2:$E$51,3,FALSE))</f>
        <v/>
      </c>
      <c r="F43" s="491"/>
      <c r="G43" s="8" t="s">
        <v>111</v>
      </c>
      <c r="H43" s="228"/>
      <c r="I43" s="162" t="str">
        <f>IF(ISBLANK(B43),"",VLOOKUP(B43,'Empleados Contratista'!$A$2:$E$51,4,FALSE))</f>
        <v/>
      </c>
      <c r="J43" s="162" t="str">
        <f t="shared" si="1"/>
        <v/>
      </c>
      <c r="K43" s="494" t="str">
        <f>IF(ISBLANK(B43),"",SUM(J43:J44))</f>
        <v/>
      </c>
      <c r="L43" s="495"/>
      <c r="M43" s="255"/>
      <c r="N43" s="255"/>
      <c r="O43" s="276">
        <f>IF(Q43&lt;&gt;"",1,0)</f>
        <v>0</v>
      </c>
      <c r="P43" s="276">
        <v>12</v>
      </c>
      <c r="Q43" s="276" t="str">
        <f>IF(ISBLANK(B43),"",IF(VLOOKUP(B43,'Empleados Contratista'!$A$2:$E$51,5,FALSE)=0,"NU",VLOOKUP(B43,'Empleados Contratista'!$A$2:$E$51,5,FALSE)))</f>
        <v/>
      </c>
      <c r="R43" s="163"/>
      <c r="S43" s="163"/>
      <c r="AB43" s="312">
        <f>IF($K$12="Seleccione Fecha",0,'Empleados Contratista'!A42)</f>
        <v>0</v>
      </c>
      <c r="AC43" s="312">
        <f>IF($K$12="Seleccione Fecha",0,IF('Equipo Contratista'!A42="",0,'Equipo Contratista'!A42))</f>
        <v>0</v>
      </c>
    </row>
    <row r="44" spans="1:29">
      <c r="A44" s="486"/>
      <c r="B44" s="498" t="str">
        <f>IF(ISBLANK(B43),"",VLOOKUP(B43,'Empleados Contratista'!$A$2:$E$51,2,FALSE))</f>
        <v/>
      </c>
      <c r="C44" s="499"/>
      <c r="D44" s="500"/>
      <c r="E44" s="492"/>
      <c r="F44" s="493"/>
      <c r="G44" s="8" t="s">
        <v>112</v>
      </c>
      <c r="H44" s="228"/>
      <c r="I44" s="162" t="str">
        <f>IF(ISBLANK(H44),"",I43*2)</f>
        <v/>
      </c>
      <c r="J44" s="162" t="str">
        <f t="shared" si="1"/>
        <v/>
      </c>
      <c r="K44" s="496"/>
      <c r="L44" s="497"/>
      <c r="M44" s="255"/>
      <c r="N44" s="255"/>
      <c r="O44" s="276"/>
      <c r="P44" s="276"/>
      <c r="Q44" s="276"/>
      <c r="R44" s="163"/>
      <c r="S44" s="163"/>
      <c r="AB44" s="312">
        <f>IF($K$12="Seleccione Fecha",0,'Empleados Contratista'!A43)</f>
        <v>0</v>
      </c>
      <c r="AC44" s="312">
        <f>IF($K$12="Seleccione Fecha",0,IF('Equipo Contratista'!A43="",0,'Equipo Contratista'!A43))</f>
        <v>0</v>
      </c>
    </row>
    <row r="45" spans="1:29" ht="12.5" customHeight="1">
      <c r="A45" s="486"/>
      <c r="B45" s="487"/>
      <c r="C45" s="488"/>
      <c r="D45" s="489"/>
      <c r="E45" s="490" t="str">
        <f>IF(ISBLANK(B45),"",VLOOKUP(B45,'Empleados Contratista'!$A$2:$E$51,3,FALSE))</f>
        <v/>
      </c>
      <c r="F45" s="491"/>
      <c r="G45" s="8" t="s">
        <v>111</v>
      </c>
      <c r="H45" s="228"/>
      <c r="I45" s="162" t="str">
        <f>IF(ISBLANK(B45),"",VLOOKUP(B45,'Empleados Contratista'!$A$2:$E$51,4,FALSE))</f>
        <v/>
      </c>
      <c r="J45" s="162" t="str">
        <f t="shared" si="1"/>
        <v/>
      </c>
      <c r="K45" s="494" t="str">
        <f>IF(ISBLANK(B45),"",SUM(J45:J46))</f>
        <v/>
      </c>
      <c r="L45" s="495"/>
      <c r="M45" s="255"/>
      <c r="N45" s="255"/>
      <c r="O45" s="276">
        <f>IF(Q45&lt;&gt;"",1,0)</f>
        <v>0</v>
      </c>
      <c r="P45" s="276">
        <v>13</v>
      </c>
      <c r="Q45" s="276" t="str">
        <f>IF(ISBLANK(B45),"",IF(VLOOKUP(B45,'Empleados Contratista'!$A$2:$E$51,5,FALSE)=0,"NU",VLOOKUP(B45,'Empleados Contratista'!$A$2:$E$51,5,FALSE)))</f>
        <v/>
      </c>
      <c r="R45" s="163"/>
      <c r="S45" s="163"/>
      <c r="AB45" s="312">
        <f>IF($K$12="Seleccione Fecha",0,'Empleados Contratista'!A44)</f>
        <v>0</v>
      </c>
      <c r="AC45" s="312">
        <f>IF($K$12="Seleccione Fecha",0,IF('Equipo Contratista'!A44="",0,'Equipo Contratista'!A44))</f>
        <v>0</v>
      </c>
    </row>
    <row r="46" spans="1:29">
      <c r="A46" s="486"/>
      <c r="B46" s="498" t="str">
        <f>IF(ISBLANK(B45),"",VLOOKUP(B45,'Empleados Contratista'!$A$2:$E$51,2,FALSE))</f>
        <v/>
      </c>
      <c r="C46" s="499"/>
      <c r="D46" s="500"/>
      <c r="E46" s="492"/>
      <c r="F46" s="493"/>
      <c r="G46" s="8" t="s">
        <v>112</v>
      </c>
      <c r="H46" s="228"/>
      <c r="I46" s="162" t="str">
        <f>IF(ISBLANK(H46),"",I45*2)</f>
        <v/>
      </c>
      <c r="J46" s="162" t="str">
        <f t="shared" si="1"/>
        <v/>
      </c>
      <c r="K46" s="496"/>
      <c r="L46" s="497"/>
      <c r="M46" s="255"/>
      <c r="N46" s="255"/>
      <c r="O46" s="276"/>
      <c r="P46" s="276"/>
      <c r="Q46" s="276"/>
      <c r="R46" s="163"/>
      <c r="S46" s="163"/>
      <c r="AB46" s="312">
        <f>IF($K$12="Seleccione Fecha",0,'Empleados Contratista'!A45)</f>
        <v>0</v>
      </c>
      <c r="AC46" s="312">
        <f>IF($K$12="Seleccione Fecha",0,IF('Equipo Contratista'!A45="",0,'Equipo Contratista'!A45))</f>
        <v>0</v>
      </c>
    </row>
    <row r="47" spans="1:29" ht="12.5" customHeight="1">
      <c r="A47" s="486"/>
      <c r="B47" s="487"/>
      <c r="C47" s="488"/>
      <c r="D47" s="489"/>
      <c r="E47" s="490" t="str">
        <f>IF(ISBLANK(B47),"",VLOOKUP(B47,'Empleados Contratista'!$A$2:$E$51,3,FALSE))</f>
        <v/>
      </c>
      <c r="F47" s="491"/>
      <c r="G47" s="8" t="s">
        <v>111</v>
      </c>
      <c r="H47" s="228"/>
      <c r="I47" s="162" t="str">
        <f>IF(ISBLANK(B47),"",VLOOKUP(B47,'Empleados Contratista'!$A$2:$E$51,4,FALSE))</f>
        <v/>
      </c>
      <c r="J47" s="162" t="str">
        <f t="shared" si="1"/>
        <v/>
      </c>
      <c r="K47" s="494" t="str">
        <f>IF(ISBLANK(B47),"",SUM(J47:J48))</f>
        <v/>
      </c>
      <c r="L47" s="495"/>
      <c r="M47" s="255"/>
      <c r="N47" s="255"/>
      <c r="O47" s="276">
        <f>IF(Q47&lt;&gt;"",1,0)</f>
        <v>0</v>
      </c>
      <c r="P47" s="276">
        <v>14</v>
      </c>
      <c r="Q47" s="276" t="str">
        <f>IF(ISBLANK(B47),"",IF(VLOOKUP(B47,'Empleados Contratista'!$A$2:$E$51,5,FALSE)=0,"NU",VLOOKUP(B47,'Empleados Contratista'!$A$2:$E$51,5,FALSE)))</f>
        <v/>
      </c>
      <c r="R47" s="163"/>
      <c r="S47" s="163"/>
      <c r="AB47" s="312">
        <f>IF($K$12="Seleccione Fecha",0,'Empleados Contratista'!A46)</f>
        <v>0</v>
      </c>
      <c r="AC47" s="312">
        <f>IF($K$12="Seleccione Fecha",0,IF('Equipo Contratista'!A46="",0,'Equipo Contratista'!A46))</f>
        <v>0</v>
      </c>
    </row>
    <row r="48" spans="1:29">
      <c r="A48" s="486"/>
      <c r="B48" s="498" t="str">
        <f>IF(ISBLANK(B47),"",VLOOKUP(B47,'Empleados Contratista'!$A$2:$E$51,2,FALSE))</f>
        <v/>
      </c>
      <c r="C48" s="499"/>
      <c r="D48" s="500"/>
      <c r="E48" s="492"/>
      <c r="F48" s="493"/>
      <c r="G48" s="8" t="s">
        <v>112</v>
      </c>
      <c r="H48" s="228"/>
      <c r="I48" s="162" t="str">
        <f>IF(ISBLANK(H48),"",I47*2)</f>
        <v/>
      </c>
      <c r="J48" s="162" t="str">
        <f t="shared" si="1"/>
        <v/>
      </c>
      <c r="K48" s="496"/>
      <c r="L48" s="497"/>
      <c r="M48" s="255"/>
      <c r="N48" s="255"/>
      <c r="O48" s="276"/>
      <c r="P48" s="276"/>
      <c r="Q48" s="276"/>
      <c r="R48" s="163"/>
      <c r="S48" s="163"/>
      <c r="AB48" s="312">
        <f>IF($K$12="Seleccione Fecha",0,'Empleados Contratista'!A47)</f>
        <v>0</v>
      </c>
      <c r="AC48" s="312">
        <f>IF($K$12="Seleccione Fecha",0,IF('Equipo Contratista'!A47="",0,'Equipo Contratista'!A47))</f>
        <v>0</v>
      </c>
    </row>
    <row r="49" spans="1:29" ht="12.5" customHeight="1">
      <c r="A49" s="486"/>
      <c r="B49" s="487"/>
      <c r="C49" s="488"/>
      <c r="D49" s="489"/>
      <c r="E49" s="490" t="str">
        <f>IF(ISBLANK(B49),"",VLOOKUP(B49,'Empleados Contratista'!$A$2:$E$51,3,FALSE))</f>
        <v/>
      </c>
      <c r="F49" s="491"/>
      <c r="G49" s="8" t="s">
        <v>111</v>
      </c>
      <c r="H49" s="228"/>
      <c r="I49" s="162" t="str">
        <f>IF(ISBLANK(B49),"",VLOOKUP(B49,'Empleados Contratista'!$A$2:$E$51,4,FALSE))</f>
        <v/>
      </c>
      <c r="J49" s="162" t="str">
        <f t="shared" si="1"/>
        <v/>
      </c>
      <c r="K49" s="494" t="str">
        <f>IF(ISBLANK(B49),"",SUM(J49:J50))</f>
        <v/>
      </c>
      <c r="L49" s="495"/>
      <c r="M49" s="255"/>
      <c r="N49" s="255"/>
      <c r="O49" s="276">
        <f>IF(Q49&lt;&gt;"",1,0)</f>
        <v>0</v>
      </c>
      <c r="P49" s="276">
        <v>15</v>
      </c>
      <c r="Q49" s="276" t="str">
        <f>IF(ISBLANK(B49),"",IF(VLOOKUP(B49,'Empleados Contratista'!$A$2:$E$51,5,FALSE)=0,"NU",VLOOKUP(B49,'Empleados Contratista'!$A$2:$E$51,5,FALSE)))</f>
        <v/>
      </c>
      <c r="R49" s="163"/>
      <c r="S49" s="163"/>
      <c r="AB49" s="312">
        <f>IF($K$12="Seleccione Fecha",0,'Empleados Contratista'!A48)</f>
        <v>0</v>
      </c>
      <c r="AC49" s="312">
        <f>IF($K$12="Seleccione Fecha",0,IF('Equipo Contratista'!A48="",0,'Equipo Contratista'!A48))</f>
        <v>0</v>
      </c>
    </row>
    <row r="50" spans="1:29" ht="13" thickBot="1">
      <c r="A50" s="486"/>
      <c r="B50" s="503" t="str">
        <f>IF(ISBLANK(B49),"",VLOOKUP(B49,'Empleados Contratista'!$A$2:$E$51,2,FALSE))</f>
        <v/>
      </c>
      <c r="C50" s="504"/>
      <c r="D50" s="505"/>
      <c r="E50" s="516"/>
      <c r="F50" s="517"/>
      <c r="G50" s="17" t="s">
        <v>112</v>
      </c>
      <c r="H50" s="234"/>
      <c r="I50" s="233" t="str">
        <f>IF(ISBLANK(H50),"",I49*2)</f>
        <v/>
      </c>
      <c r="J50" s="233" t="str">
        <f t="shared" si="1"/>
        <v/>
      </c>
      <c r="K50" s="501"/>
      <c r="L50" s="502"/>
      <c r="M50" s="255"/>
      <c r="N50" s="255"/>
      <c r="O50" s="276"/>
      <c r="P50" s="276"/>
      <c r="Q50" s="276"/>
      <c r="R50" s="163"/>
      <c r="S50" s="163"/>
      <c r="AB50" s="312">
        <f>IF($K$12="Seleccione Fecha",0,'Empleados Contratista'!A49)</f>
        <v>0</v>
      </c>
      <c r="AC50" s="312">
        <f>IF($K$12="Seleccione Fecha",0,IF('Equipo Contratista'!A49="",0,'Equipo Contratista'!A49))</f>
        <v>0</v>
      </c>
    </row>
    <row r="51" spans="1:29">
      <c r="B51" s="506" t="s">
        <v>199</v>
      </c>
      <c r="C51" s="476"/>
      <c r="D51" s="508" t="s">
        <v>198</v>
      </c>
      <c r="E51" s="476"/>
      <c r="F51" s="475" t="s">
        <v>113</v>
      </c>
      <c r="G51" s="475"/>
      <c r="H51" s="509"/>
      <c r="M51" s="257"/>
      <c r="N51" s="264"/>
      <c r="O51" s="264">
        <f>SUM(O21:O50)</f>
        <v>0</v>
      </c>
      <c r="P51" s="264"/>
      <c r="Q51" s="155"/>
      <c r="AB51" s="312">
        <f>IF($K$12="Seleccione Fecha",0,'Empleados Contratista'!A50)</f>
        <v>0</v>
      </c>
      <c r="AC51" s="312">
        <f>IF($K$12="Seleccione Fecha",0,IF('Equipo Contratista'!A50="",0,'Equipo Contratista'!A50))</f>
        <v>0</v>
      </c>
    </row>
    <row r="52" spans="1:29">
      <c r="B52" s="507"/>
      <c r="C52" s="476"/>
      <c r="D52" s="476"/>
      <c r="E52" s="476"/>
      <c r="F52" s="475"/>
      <c r="G52" s="475"/>
      <c r="H52" s="509"/>
      <c r="M52" s="257"/>
      <c r="N52" s="277"/>
      <c r="O52" s="277"/>
      <c r="P52" s="264"/>
      <c r="Q52" s="155"/>
      <c r="AB52" s="312">
        <f>IF($K$12="Seleccione Fecha",0,'Empleados Contratista'!A51)</f>
        <v>0</v>
      </c>
      <c r="AC52" s="312">
        <f>IF($K$12="Seleccione Fecha",0,IF('Equipo Contratista'!A51="",0,'Equipo Contratista'!A51))</f>
        <v>0</v>
      </c>
    </row>
    <row r="53" spans="1:29">
      <c r="B53" s="510" t="str">
        <f>IF('Información Force Account'!I2,SUMIFS(Total_PC,Pag_PC,$Q$1,Union_PC,"Operadores"),"")</f>
        <v/>
      </c>
      <c r="C53" s="511"/>
      <c r="D53" s="511" t="str">
        <f>IF('Información Force Account'!I2,SUMIFS(Total_PC,Pag_PC,$Q$1,Union_PC,"Carpinteros"),"")</f>
        <v/>
      </c>
      <c r="E53" s="511"/>
      <c r="F53" s="511" t="str">
        <f>IF('Información Force Account'!I2,SUMIFS(Total_PC,Pag_PC,$Q$1,Union_PC,"NU"),"")</f>
        <v/>
      </c>
      <c r="G53" s="511"/>
      <c r="H53" s="514"/>
      <c r="M53" s="257"/>
      <c r="N53" s="261"/>
      <c r="O53" s="257"/>
      <c r="P53" s="257"/>
      <c r="Q53" s="155"/>
      <c r="AC53" s="312">
        <f>IF($K$12="Seleccione Fecha",0,IF('Equipo Contratista'!A52="",0,'Equipo Contratista'!A52))</f>
        <v>0</v>
      </c>
    </row>
    <row r="54" spans="1:29" ht="13" thickBot="1">
      <c r="B54" s="512"/>
      <c r="C54" s="513"/>
      <c r="D54" s="513"/>
      <c r="E54" s="513"/>
      <c r="F54" s="513"/>
      <c r="G54" s="513"/>
      <c r="H54" s="515"/>
      <c r="I54" s="518" t="s">
        <v>24</v>
      </c>
      <c r="J54" s="519"/>
      <c r="K54" s="520">
        <f>SUM(K21:L50)</f>
        <v>0</v>
      </c>
      <c r="L54" s="521"/>
      <c r="M54" s="278"/>
      <c r="N54" s="278"/>
      <c r="O54" s="278"/>
      <c r="P54" s="278"/>
      <c r="Q54" s="278"/>
      <c r="R54" s="164"/>
      <c r="S54" s="164"/>
      <c r="AC54" s="312">
        <f>IF($K$12="Seleccione Fecha",0,IF('Equipo Contratista'!A53="",0,'Equipo Contratista'!A53))</f>
        <v>0</v>
      </c>
    </row>
    <row r="55" spans="1:29">
      <c r="M55" s="257"/>
      <c r="N55" s="261"/>
      <c r="O55" s="257"/>
      <c r="P55" s="257"/>
      <c r="Q55" s="155"/>
      <c r="AC55" s="312">
        <f>IF($K$12="Seleccione Fecha",0,IF('Equipo Contratista'!A54="",0,'Equipo Contratista'!A54))</f>
        <v>0</v>
      </c>
    </row>
    <row r="56" spans="1:29">
      <c r="M56" s="257"/>
      <c r="N56" s="261"/>
      <c r="O56" s="257"/>
      <c r="P56" s="257"/>
      <c r="Q56" s="155"/>
      <c r="AC56" s="312">
        <f>IF($K$12="Seleccione Fecha",0,IF('Equipo Contratista'!A55="",0,'Equipo Contratista'!A55))</f>
        <v>0</v>
      </c>
    </row>
    <row r="57" spans="1:29" ht="20">
      <c r="B57" s="522" t="s">
        <v>114</v>
      </c>
      <c r="C57" s="522"/>
      <c r="D57" s="522"/>
      <c r="E57" s="522"/>
      <c r="F57" s="522"/>
      <c r="G57" s="522"/>
      <c r="H57" s="522"/>
      <c r="I57" s="522"/>
      <c r="J57" s="522"/>
      <c r="K57" s="522"/>
      <c r="L57" s="522"/>
      <c r="M57" s="279"/>
      <c r="N57" s="279"/>
      <c r="O57" s="279"/>
      <c r="P57" s="279"/>
      <c r="Q57" s="280"/>
      <c r="R57" s="166"/>
      <c r="S57" s="166"/>
      <c r="AC57" s="312">
        <f>IF($K$12="Seleccione Fecha",0,IF('Equipo Contratista'!A56="",0,'Equipo Contratista'!A56))</f>
        <v>0</v>
      </c>
    </row>
    <row r="58" spans="1:29" ht="13" thickBot="1">
      <c r="M58" s="257"/>
      <c r="N58" s="261"/>
      <c r="O58" s="257"/>
      <c r="P58" s="257"/>
      <c r="Q58" s="155"/>
      <c r="AC58" s="312">
        <f>IF($K$12="Seleccione Fecha",0,IF('Equipo Contratista'!A57="",0,'Equipo Contratista'!A57))</f>
        <v>0</v>
      </c>
    </row>
    <row r="59" spans="1:29">
      <c r="A59" s="2"/>
      <c r="B59" s="534" t="s">
        <v>115</v>
      </c>
      <c r="C59" s="535"/>
      <c r="D59" s="535" t="s">
        <v>116</v>
      </c>
      <c r="E59" s="535" t="s">
        <v>117</v>
      </c>
      <c r="F59" s="535" t="s">
        <v>118</v>
      </c>
      <c r="G59" s="535"/>
      <c r="H59" s="536" t="s">
        <v>119</v>
      </c>
      <c r="I59" s="543" t="s">
        <v>120</v>
      </c>
      <c r="J59" s="535" t="s">
        <v>121</v>
      </c>
      <c r="K59" s="535"/>
      <c r="L59" s="538"/>
      <c r="M59" s="281"/>
      <c r="N59" s="281"/>
      <c r="O59" s="281"/>
      <c r="P59" s="281"/>
      <c r="Q59" s="259"/>
      <c r="R59" s="152"/>
      <c r="S59" s="152"/>
      <c r="AC59" s="312">
        <f>IF($K$12="Seleccione Fecha",0,IF('Equipo Contratista'!A58="",0,'Equipo Contratista'!A58))</f>
        <v>0</v>
      </c>
    </row>
    <row r="60" spans="1:29">
      <c r="A60" s="2"/>
      <c r="B60" s="473"/>
      <c r="C60" s="414"/>
      <c r="D60" s="414"/>
      <c r="E60" s="414"/>
      <c r="F60" s="414"/>
      <c r="G60" s="414"/>
      <c r="H60" s="537"/>
      <c r="I60" s="476"/>
      <c r="J60" s="190" t="s">
        <v>122</v>
      </c>
      <c r="K60" s="190" t="s">
        <v>123</v>
      </c>
      <c r="L60" s="231" t="s">
        <v>124</v>
      </c>
      <c r="M60" s="281"/>
      <c r="N60" s="281"/>
      <c r="O60" s="281"/>
      <c r="P60" s="281"/>
      <c r="Q60" s="259"/>
      <c r="R60" s="152"/>
      <c r="S60" s="152"/>
      <c r="AC60" s="312">
        <f>IF($K$12="Seleccione Fecha",0,IF('Equipo Contratista'!A59="",0,'Equipo Contratista'!A59))</f>
        <v>0</v>
      </c>
    </row>
    <row r="61" spans="1:29">
      <c r="A61" s="523"/>
      <c r="B61" s="524"/>
      <c r="C61" s="525"/>
      <c r="D61" s="528" t="str">
        <f>IFERROR(IF(VLOOKUP(B61,Equipos,4,FALSE)=0,"",VLOOKUP(B61,Equipos,4,FALSE)),"")</f>
        <v/>
      </c>
      <c r="E61" s="530" t="str">
        <f>IFERROR(IF(VLOOKUP(B61,Equipos,5,FALSE)=0,"",VLOOKUP(B61,Equipos,5,FALSE)),"")</f>
        <v/>
      </c>
      <c r="F61" s="539" t="str">
        <f>IFERROR(IF(VLOOKUP(B61,Equipos,6,FALSE)=0,"",VLOOKUP(B61,Equipos,6,FALSE)),"")</f>
        <v/>
      </c>
      <c r="G61" s="540"/>
      <c r="H61" s="530" t="str">
        <f>IFERROR(IF(VLOOKUP(B61,Equipos,7,FALSE)=0,"",VLOOKUP(B61,Equipos,7,FALSE)),"")</f>
        <v/>
      </c>
      <c r="I61" s="530" t="str">
        <f>IFERROR(IF(VLOOKUP(B61,Equipos,8,FALSE)=0,"",VLOOKUP(B61,Equipos,8,FALSE)),"")</f>
        <v/>
      </c>
      <c r="J61" s="532"/>
      <c r="K61" s="532"/>
      <c r="L61" s="544"/>
      <c r="M61" s="282"/>
      <c r="N61" s="283"/>
      <c r="O61" s="256">
        <f>IF(B61&lt;&gt;"",1,0)</f>
        <v>0</v>
      </c>
      <c r="P61" s="256">
        <v>1</v>
      </c>
      <c r="Q61" s="282"/>
      <c r="R61" s="167"/>
      <c r="S61" s="167"/>
      <c r="AC61" s="312">
        <f>IF($K$12="Seleccione Fecha",0,IF('Equipo Contratista'!A60="",0,'Equipo Contratista'!A60))</f>
        <v>0</v>
      </c>
    </row>
    <row r="62" spans="1:29">
      <c r="A62" s="523"/>
      <c r="B62" s="526"/>
      <c r="C62" s="527"/>
      <c r="D62" s="529"/>
      <c r="E62" s="531"/>
      <c r="F62" s="541"/>
      <c r="G62" s="542"/>
      <c r="H62" s="531"/>
      <c r="I62" s="531"/>
      <c r="J62" s="533"/>
      <c r="K62" s="533"/>
      <c r="L62" s="545"/>
      <c r="M62" s="282"/>
      <c r="N62" s="283"/>
      <c r="O62" s="282"/>
      <c r="P62" s="256"/>
      <c r="Q62" s="282"/>
      <c r="R62" s="167"/>
      <c r="S62" s="167"/>
      <c r="AC62" s="312">
        <f>IF($K$12="Seleccione Fecha",0,IF('Equipo Contratista'!A61="",0,'Equipo Contratista'!A61))</f>
        <v>0</v>
      </c>
    </row>
    <row r="63" spans="1:29">
      <c r="A63" s="523"/>
      <c r="B63" s="524"/>
      <c r="C63" s="525"/>
      <c r="D63" s="528" t="str">
        <f>IFERROR(IF(VLOOKUP(B63,Equipos,4,FALSE)=0,"",VLOOKUP(B63,Equipos,4,FALSE)),"")</f>
        <v/>
      </c>
      <c r="E63" s="530" t="str">
        <f>IFERROR(IF(VLOOKUP(B63,Equipos,5,FALSE)=0,"",VLOOKUP(B63,Equipos,5,FALSE)),"")</f>
        <v/>
      </c>
      <c r="F63" s="539" t="str">
        <f>IFERROR(IF(VLOOKUP(B63,Equipos,6,FALSE)=0,"",VLOOKUP(B63,Equipos,6,FALSE)),"")</f>
        <v/>
      </c>
      <c r="G63" s="540"/>
      <c r="H63" s="530" t="str">
        <f>IFERROR(IF(VLOOKUP(B63,Equipos,7,FALSE)=0,"",VLOOKUP(B63,Equipos,7,FALSE)),"")</f>
        <v/>
      </c>
      <c r="I63" s="530" t="str">
        <f>IFERROR(IF(VLOOKUP(B63,Equipos,8,FALSE)=0,"",VLOOKUP(B63,Equipos,8,FALSE)),"")</f>
        <v/>
      </c>
      <c r="J63" s="532"/>
      <c r="K63" s="532"/>
      <c r="L63" s="544"/>
      <c r="M63" s="282"/>
      <c r="N63" s="283"/>
      <c r="O63" s="256">
        <f>IF(B63&lt;&gt;"",1,0)</f>
        <v>0</v>
      </c>
      <c r="P63" s="256">
        <v>2</v>
      </c>
      <c r="Q63" s="282"/>
      <c r="R63" s="167"/>
      <c r="S63" s="167"/>
      <c r="AC63" s="312">
        <f>IF($K$12="Seleccione Fecha",0,IF('Equipo Contratista'!A62="",0,'Equipo Contratista'!A62))</f>
        <v>0</v>
      </c>
    </row>
    <row r="64" spans="1:29">
      <c r="A64" s="523"/>
      <c r="B64" s="526"/>
      <c r="C64" s="527"/>
      <c r="D64" s="529"/>
      <c r="E64" s="531"/>
      <c r="F64" s="541"/>
      <c r="G64" s="542"/>
      <c r="H64" s="531"/>
      <c r="I64" s="531"/>
      <c r="J64" s="533"/>
      <c r="K64" s="533"/>
      <c r="L64" s="545"/>
      <c r="M64" s="282"/>
      <c r="N64" s="283"/>
      <c r="O64" s="282"/>
      <c r="P64" s="256"/>
      <c r="Q64" s="282"/>
      <c r="R64" s="167"/>
      <c r="S64" s="167"/>
      <c r="AC64" s="312">
        <f>IF($K$12="Seleccione Fecha",0,IF('Equipo Contratista'!A63="",0,'Equipo Contratista'!A63))</f>
        <v>0</v>
      </c>
    </row>
    <row r="65" spans="1:29">
      <c r="A65" s="523"/>
      <c r="B65" s="524"/>
      <c r="C65" s="525"/>
      <c r="D65" s="528" t="str">
        <f>IFERROR(IF(VLOOKUP(B65,Equipos,4,FALSE)=0,"",VLOOKUP(B65,Equipos,4,FALSE)),"")</f>
        <v/>
      </c>
      <c r="E65" s="530" t="str">
        <f>IFERROR(IF(VLOOKUP(B65,Equipos,5,FALSE)=0,"",VLOOKUP(B65,Equipos,5,FALSE)),"")</f>
        <v/>
      </c>
      <c r="F65" s="539" t="str">
        <f>IFERROR(IF(VLOOKUP(B65,Equipos,6,FALSE)=0,"",VLOOKUP(B65,Equipos,6,FALSE)),"")</f>
        <v/>
      </c>
      <c r="G65" s="540"/>
      <c r="H65" s="530" t="str">
        <f>IFERROR(IF(VLOOKUP(B65,Equipos,7,FALSE)=0,"",VLOOKUP(B65,Equipos,7,FALSE)),"")</f>
        <v/>
      </c>
      <c r="I65" s="530" t="str">
        <f>IFERROR(IF(VLOOKUP(B65,Equipos,8,FALSE)=0,"",VLOOKUP(B65,Equipos,8,FALSE)),"")</f>
        <v/>
      </c>
      <c r="J65" s="532"/>
      <c r="K65" s="532"/>
      <c r="L65" s="544"/>
      <c r="M65" s="282"/>
      <c r="N65" s="283"/>
      <c r="O65" s="256">
        <f>IF(B65&lt;&gt;"",1,0)</f>
        <v>0</v>
      </c>
      <c r="P65" s="256">
        <v>3</v>
      </c>
      <c r="Q65" s="282"/>
      <c r="R65" s="167"/>
      <c r="S65" s="167"/>
      <c r="AC65" s="312">
        <f>IF($K$12="Seleccione Fecha",0,IF('Equipo Contratista'!A64="",0,'Equipo Contratista'!A64))</f>
        <v>0</v>
      </c>
    </row>
    <row r="66" spans="1:29">
      <c r="A66" s="523"/>
      <c r="B66" s="526"/>
      <c r="C66" s="527"/>
      <c r="D66" s="529"/>
      <c r="E66" s="531"/>
      <c r="F66" s="541"/>
      <c r="G66" s="542"/>
      <c r="H66" s="531"/>
      <c r="I66" s="531"/>
      <c r="J66" s="533"/>
      <c r="K66" s="533"/>
      <c r="L66" s="545"/>
      <c r="M66" s="282"/>
      <c r="N66" s="283"/>
      <c r="O66" s="282"/>
      <c r="P66" s="256"/>
      <c r="Q66" s="282"/>
      <c r="R66" s="167"/>
      <c r="S66" s="167"/>
      <c r="AC66" s="312">
        <f>IF($K$12="Seleccione Fecha",0,IF('Equipo Contratista'!A65="",0,'Equipo Contratista'!A65))</f>
        <v>0</v>
      </c>
    </row>
    <row r="67" spans="1:29">
      <c r="A67" s="523"/>
      <c r="B67" s="524"/>
      <c r="C67" s="525"/>
      <c r="D67" s="528" t="str">
        <f>IFERROR(IF(VLOOKUP(B67,Equipos,4,FALSE)=0,"",VLOOKUP(B67,Equipos,4,FALSE)),"")</f>
        <v/>
      </c>
      <c r="E67" s="530" t="str">
        <f>IFERROR(IF(VLOOKUP(B67,Equipos,5,FALSE)=0,"",VLOOKUP(B67,Equipos,5,FALSE)),"")</f>
        <v/>
      </c>
      <c r="F67" s="539" t="str">
        <f>IFERROR(IF(VLOOKUP(B67,Equipos,6,FALSE)=0,"",VLOOKUP(B67,Equipos,6,FALSE)),"")</f>
        <v/>
      </c>
      <c r="G67" s="540"/>
      <c r="H67" s="530" t="str">
        <f>IFERROR(IF(VLOOKUP(B67,Equipos,7,FALSE)=0,"",VLOOKUP(B67,Equipos,7,FALSE)),"")</f>
        <v/>
      </c>
      <c r="I67" s="530" t="str">
        <f>IFERROR(IF(VLOOKUP(B67,Equipos,8,FALSE)=0,"",VLOOKUP(B67,Equipos,8,FALSE)),"")</f>
        <v/>
      </c>
      <c r="J67" s="532"/>
      <c r="K67" s="532"/>
      <c r="L67" s="544"/>
      <c r="M67" s="282"/>
      <c r="N67" s="283"/>
      <c r="O67" s="256">
        <f>IF(B67&lt;&gt;"",1,0)</f>
        <v>0</v>
      </c>
      <c r="P67" s="256">
        <v>4</v>
      </c>
      <c r="Q67" s="282"/>
      <c r="R67" s="167"/>
      <c r="S67" s="167"/>
      <c r="AC67" s="312">
        <f>IF($K$12="Seleccione Fecha",0,IF('Equipo Contratista'!A66="",0,'Equipo Contratista'!A66))</f>
        <v>0</v>
      </c>
    </row>
    <row r="68" spans="1:29">
      <c r="A68" s="523"/>
      <c r="B68" s="526"/>
      <c r="C68" s="527"/>
      <c r="D68" s="529"/>
      <c r="E68" s="531"/>
      <c r="F68" s="541"/>
      <c r="G68" s="542"/>
      <c r="H68" s="531"/>
      <c r="I68" s="531"/>
      <c r="J68" s="533"/>
      <c r="K68" s="533"/>
      <c r="L68" s="545"/>
      <c r="M68" s="282"/>
      <c r="N68" s="283"/>
      <c r="O68" s="282"/>
      <c r="P68" s="256"/>
      <c r="Q68" s="282"/>
      <c r="R68" s="167"/>
      <c r="S68" s="167"/>
      <c r="AC68" s="312">
        <f>IF($K$12="Seleccione Fecha",0,IF('Equipo Contratista'!A67="",0,'Equipo Contratista'!A67))</f>
        <v>0</v>
      </c>
    </row>
    <row r="69" spans="1:29">
      <c r="A69" s="523"/>
      <c r="B69" s="524"/>
      <c r="C69" s="525"/>
      <c r="D69" s="528" t="str">
        <f>IFERROR(IF(VLOOKUP(B69,Equipos,4,FALSE)=0,"",VLOOKUP(B69,Equipos,4,FALSE)),"")</f>
        <v/>
      </c>
      <c r="E69" s="530" t="str">
        <f>IFERROR(IF(VLOOKUP(B69,Equipos,5,FALSE)=0,"",VLOOKUP(B69,Equipos,5,FALSE)),"")</f>
        <v/>
      </c>
      <c r="F69" s="539" t="str">
        <f>IFERROR(IF(VLOOKUP(B69,Equipos,6,FALSE)=0,"",VLOOKUP(B69,Equipos,6,FALSE)),"")</f>
        <v/>
      </c>
      <c r="G69" s="540"/>
      <c r="H69" s="530" t="str">
        <f>IFERROR(IF(VLOOKUP(B69,Equipos,7,FALSE)=0,"",VLOOKUP(B69,Equipos,7,FALSE)),"")</f>
        <v/>
      </c>
      <c r="I69" s="530" t="str">
        <f>IFERROR(IF(VLOOKUP(B69,Equipos,8,FALSE)=0,"",VLOOKUP(B69,Equipos,8,FALSE)),"")</f>
        <v/>
      </c>
      <c r="J69" s="532"/>
      <c r="K69" s="532"/>
      <c r="L69" s="544"/>
      <c r="M69" s="282"/>
      <c r="N69" s="283"/>
      <c r="O69" s="256">
        <f>IF(B69&lt;&gt;"",1,0)</f>
        <v>0</v>
      </c>
      <c r="P69" s="256">
        <v>5</v>
      </c>
      <c r="Q69" s="282"/>
      <c r="R69" s="167"/>
      <c r="S69" s="167"/>
      <c r="AC69" s="312">
        <f>IF($K$12="Seleccione Fecha",0,IF('Equipo Contratista'!A68="",0,'Equipo Contratista'!A68))</f>
        <v>0</v>
      </c>
    </row>
    <row r="70" spans="1:29">
      <c r="A70" s="523"/>
      <c r="B70" s="526"/>
      <c r="C70" s="527"/>
      <c r="D70" s="529"/>
      <c r="E70" s="531"/>
      <c r="F70" s="541"/>
      <c r="G70" s="542"/>
      <c r="H70" s="531"/>
      <c r="I70" s="531"/>
      <c r="J70" s="533"/>
      <c r="K70" s="533"/>
      <c r="L70" s="545"/>
      <c r="M70" s="282"/>
      <c r="N70" s="283"/>
      <c r="O70" s="282"/>
      <c r="P70" s="256"/>
      <c r="Q70" s="282"/>
      <c r="R70" s="167"/>
      <c r="S70" s="167"/>
      <c r="AC70" s="312">
        <f>IF($K$12="Seleccione Fecha",0,IF('Equipo Contratista'!A69="",0,'Equipo Contratista'!A69))</f>
        <v>0</v>
      </c>
    </row>
    <row r="71" spans="1:29">
      <c r="A71" s="523"/>
      <c r="B71" s="524"/>
      <c r="C71" s="525"/>
      <c r="D71" s="528" t="str">
        <f>IFERROR(IF(VLOOKUP(B71,Equipos,4,FALSE)=0,"",VLOOKUP(B71,Equipos,4,FALSE)),"")</f>
        <v/>
      </c>
      <c r="E71" s="530" t="str">
        <f>IFERROR(IF(VLOOKUP(B71,Equipos,5,FALSE)=0,"",VLOOKUP(B71,Equipos,5,FALSE)),"")</f>
        <v/>
      </c>
      <c r="F71" s="539" t="str">
        <f>IFERROR(IF(VLOOKUP(B71,Equipos,6,FALSE)=0,"",VLOOKUP(B71,Equipos,6,FALSE)),"")</f>
        <v/>
      </c>
      <c r="G71" s="540"/>
      <c r="H71" s="530" t="str">
        <f>IFERROR(IF(VLOOKUP(B71,Equipos,7,FALSE)=0,"",VLOOKUP(B71,Equipos,7,FALSE)),"")</f>
        <v/>
      </c>
      <c r="I71" s="530" t="str">
        <f>IFERROR(IF(VLOOKUP(B71,Equipos,8,FALSE)=0,"",VLOOKUP(B71,Equipos,8,FALSE)),"")</f>
        <v/>
      </c>
      <c r="J71" s="532"/>
      <c r="K71" s="532"/>
      <c r="L71" s="544"/>
      <c r="M71" s="282"/>
      <c r="N71" s="283"/>
      <c r="O71" s="256">
        <f>IF(B71&lt;&gt;"",1,0)</f>
        <v>0</v>
      </c>
      <c r="P71" s="256">
        <v>6</v>
      </c>
      <c r="Q71" s="282"/>
      <c r="R71" s="167"/>
      <c r="S71" s="167"/>
      <c r="AC71" s="312">
        <f>IF($K$12="Seleccione Fecha",0,IF('Equipo Contratista'!A70="",0,'Equipo Contratista'!A70))</f>
        <v>0</v>
      </c>
    </row>
    <row r="72" spans="1:29">
      <c r="A72" s="523"/>
      <c r="B72" s="526"/>
      <c r="C72" s="527"/>
      <c r="D72" s="529"/>
      <c r="E72" s="531"/>
      <c r="F72" s="541"/>
      <c r="G72" s="542"/>
      <c r="H72" s="531"/>
      <c r="I72" s="531"/>
      <c r="J72" s="533"/>
      <c r="K72" s="533"/>
      <c r="L72" s="545"/>
      <c r="M72" s="282"/>
      <c r="N72" s="283"/>
      <c r="O72" s="282"/>
      <c r="P72" s="256"/>
      <c r="Q72" s="282"/>
      <c r="R72" s="167"/>
      <c r="S72" s="167"/>
      <c r="AC72" s="312">
        <f>IF($K$12="Seleccione Fecha",0,IF('Equipo Contratista'!A71="",0,'Equipo Contratista'!A71))</f>
        <v>0</v>
      </c>
    </row>
    <row r="73" spans="1:29">
      <c r="A73" s="523"/>
      <c r="B73" s="524"/>
      <c r="C73" s="525"/>
      <c r="D73" s="528" t="str">
        <f>IFERROR(IF(VLOOKUP(B73,Equipos,4,FALSE)=0,"",VLOOKUP(B73,Equipos,4,FALSE)),"")</f>
        <v/>
      </c>
      <c r="E73" s="530" t="str">
        <f>IFERROR(IF(VLOOKUP(B73,Equipos,5,FALSE)=0,"",VLOOKUP(B73,Equipos,5,FALSE)),"")</f>
        <v/>
      </c>
      <c r="F73" s="539" t="str">
        <f>IFERROR(IF(VLOOKUP(B73,Equipos,6,FALSE)=0,"",VLOOKUP(B73,Equipos,6,FALSE)),"")</f>
        <v/>
      </c>
      <c r="G73" s="540"/>
      <c r="H73" s="530" t="str">
        <f>IFERROR(IF(VLOOKUP(B73,Equipos,7,FALSE)=0,"",VLOOKUP(B73,Equipos,7,FALSE)),"")</f>
        <v/>
      </c>
      <c r="I73" s="530" t="str">
        <f>IFERROR(IF(VLOOKUP(B73,Equipos,8,FALSE)=0,"",VLOOKUP(B73,Equipos,8,FALSE)),"")</f>
        <v/>
      </c>
      <c r="J73" s="532"/>
      <c r="K73" s="532"/>
      <c r="L73" s="544"/>
      <c r="M73" s="282"/>
      <c r="N73" s="283"/>
      <c r="O73" s="256">
        <f>IF(B73&lt;&gt;"",1,0)</f>
        <v>0</v>
      </c>
      <c r="P73" s="256">
        <v>7</v>
      </c>
      <c r="Q73" s="282"/>
      <c r="R73" s="167"/>
      <c r="S73" s="167"/>
      <c r="AC73" s="312">
        <f>IF($K$12="Seleccione Fecha",0,IF('Equipo Contratista'!A72="",0,'Equipo Contratista'!A72))</f>
        <v>0</v>
      </c>
    </row>
    <row r="74" spans="1:29">
      <c r="A74" s="523"/>
      <c r="B74" s="526"/>
      <c r="C74" s="527"/>
      <c r="D74" s="529"/>
      <c r="E74" s="531"/>
      <c r="F74" s="541"/>
      <c r="G74" s="542"/>
      <c r="H74" s="531"/>
      <c r="I74" s="531"/>
      <c r="J74" s="533"/>
      <c r="K74" s="533"/>
      <c r="L74" s="545"/>
      <c r="M74" s="282"/>
      <c r="N74" s="283"/>
      <c r="O74" s="282"/>
      <c r="P74" s="256"/>
      <c r="Q74" s="282"/>
      <c r="R74" s="167"/>
      <c r="S74" s="167"/>
      <c r="AC74" s="312">
        <f>IF($K$12="Seleccione Fecha",0,IF('Equipo Contratista'!A73="",0,'Equipo Contratista'!A73))</f>
        <v>0</v>
      </c>
    </row>
    <row r="75" spans="1:29">
      <c r="A75" s="523"/>
      <c r="B75" s="524"/>
      <c r="C75" s="525"/>
      <c r="D75" s="528" t="str">
        <f>IFERROR(IF(VLOOKUP(B75,Equipos,4,FALSE)=0,"",VLOOKUP(B75,Equipos,4,FALSE)),"")</f>
        <v/>
      </c>
      <c r="E75" s="530" t="str">
        <f>IFERROR(IF(VLOOKUP(B75,Equipos,5,FALSE)=0,"",VLOOKUP(B75,Equipos,5,FALSE)),"")</f>
        <v/>
      </c>
      <c r="F75" s="539" t="str">
        <f>IFERROR(IF(VLOOKUP(B75,Equipos,6,FALSE)=0,"",VLOOKUP(B75,Equipos,6,FALSE)),"")</f>
        <v/>
      </c>
      <c r="G75" s="540"/>
      <c r="H75" s="530" t="str">
        <f>IFERROR(IF(VLOOKUP(B75,Equipos,7,FALSE)=0,"",VLOOKUP(B75,Equipos,7,FALSE)),"")</f>
        <v/>
      </c>
      <c r="I75" s="530" t="str">
        <f>IFERROR(IF(VLOOKUP(B75,Equipos,8,FALSE)=0,"",VLOOKUP(B75,Equipos,8,FALSE)),"")</f>
        <v/>
      </c>
      <c r="J75" s="532"/>
      <c r="K75" s="532"/>
      <c r="L75" s="544"/>
      <c r="M75" s="282"/>
      <c r="N75" s="283"/>
      <c r="O75" s="256">
        <f>IF(B75&lt;&gt;"",1,0)</f>
        <v>0</v>
      </c>
      <c r="P75" s="256">
        <v>8</v>
      </c>
      <c r="Q75" s="282"/>
      <c r="R75" s="167"/>
      <c r="S75" s="167"/>
      <c r="AC75" s="312">
        <f>IF($K$12="Seleccione Fecha",0,IF('Equipo Contratista'!A74="",0,'Equipo Contratista'!A74))</f>
        <v>0</v>
      </c>
    </row>
    <row r="76" spans="1:29">
      <c r="A76" s="523"/>
      <c r="B76" s="526"/>
      <c r="C76" s="527"/>
      <c r="D76" s="529"/>
      <c r="E76" s="531"/>
      <c r="F76" s="541"/>
      <c r="G76" s="542"/>
      <c r="H76" s="531"/>
      <c r="I76" s="531"/>
      <c r="J76" s="533"/>
      <c r="K76" s="533"/>
      <c r="L76" s="545"/>
      <c r="M76" s="282"/>
      <c r="N76" s="283"/>
      <c r="O76" s="282"/>
      <c r="P76" s="256"/>
      <c r="Q76" s="282"/>
      <c r="R76" s="167"/>
      <c r="S76" s="167"/>
      <c r="AC76" s="312">
        <f>IF($K$12="Seleccione Fecha",0,IF('Equipo Contratista'!A75="",0,'Equipo Contratista'!A75))</f>
        <v>0</v>
      </c>
    </row>
    <row r="77" spans="1:29">
      <c r="A77" s="523"/>
      <c r="B77" s="524"/>
      <c r="C77" s="525"/>
      <c r="D77" s="528" t="str">
        <f>IFERROR(IF(VLOOKUP(B77,Equipos,4,FALSE)=0,"",VLOOKUP(B77,Equipos,4,FALSE)),"")</f>
        <v/>
      </c>
      <c r="E77" s="530" t="str">
        <f>IFERROR(IF(VLOOKUP(B77,Equipos,5,FALSE)=0,"",VLOOKUP(B77,Equipos,5,FALSE)),"")</f>
        <v/>
      </c>
      <c r="F77" s="539" t="str">
        <f>IFERROR(IF(VLOOKUP(B77,Equipos,6,FALSE)=0,"",VLOOKUP(B77,Equipos,6,FALSE)),"")</f>
        <v/>
      </c>
      <c r="G77" s="540"/>
      <c r="H77" s="530" t="str">
        <f>IFERROR(IF(VLOOKUP(B77,Equipos,7,FALSE)=0,"",VLOOKUP(B77,Equipos,7,FALSE)),"")</f>
        <v/>
      </c>
      <c r="I77" s="530" t="str">
        <f>IFERROR(IF(VLOOKUP(B77,Equipos,8,FALSE)=0,"",VLOOKUP(B77,Equipos,8,FALSE)),"")</f>
        <v/>
      </c>
      <c r="J77" s="532"/>
      <c r="K77" s="532"/>
      <c r="L77" s="544"/>
      <c r="M77" s="282"/>
      <c r="N77" s="283"/>
      <c r="O77" s="256">
        <f>IF(B77&lt;&gt;"",1,0)</f>
        <v>0</v>
      </c>
      <c r="P77" s="256">
        <v>9</v>
      </c>
      <c r="Q77" s="282"/>
      <c r="R77" s="167"/>
      <c r="S77" s="167"/>
      <c r="AC77" s="312">
        <f>IF($K$12="Seleccione Fecha",0,IF('Equipo Contratista'!A76="",0,'Equipo Contratista'!A76))</f>
        <v>0</v>
      </c>
    </row>
    <row r="78" spans="1:29">
      <c r="A78" s="523"/>
      <c r="B78" s="526"/>
      <c r="C78" s="527"/>
      <c r="D78" s="529"/>
      <c r="E78" s="531"/>
      <c r="F78" s="541"/>
      <c r="G78" s="542"/>
      <c r="H78" s="531"/>
      <c r="I78" s="531"/>
      <c r="J78" s="533"/>
      <c r="K78" s="533"/>
      <c r="L78" s="545"/>
      <c r="M78" s="282"/>
      <c r="N78" s="283"/>
      <c r="O78" s="282"/>
      <c r="P78" s="256"/>
      <c r="Q78" s="282"/>
      <c r="R78" s="167"/>
      <c r="S78" s="167"/>
      <c r="AC78" s="312">
        <f>IF($K$12="Seleccione Fecha",0,IF('Equipo Contratista'!A77="",0,'Equipo Contratista'!A77))</f>
        <v>0</v>
      </c>
    </row>
    <row r="79" spans="1:29">
      <c r="A79" s="523"/>
      <c r="B79" s="524"/>
      <c r="C79" s="525"/>
      <c r="D79" s="528" t="str">
        <f>IFERROR(IF(VLOOKUP(B79,Equipos,4,FALSE)=0,"",VLOOKUP(B79,Equipos,4,FALSE)),"")</f>
        <v/>
      </c>
      <c r="E79" s="530" t="str">
        <f>IFERROR(IF(VLOOKUP(B79,Equipos,5,FALSE)=0,"",VLOOKUP(B79,Equipos,5,FALSE)),"")</f>
        <v/>
      </c>
      <c r="F79" s="539" t="str">
        <f>IFERROR(IF(VLOOKUP(B79,Equipos,6,FALSE)=0,"",VLOOKUP(B79,Equipos,6,FALSE)),"")</f>
        <v/>
      </c>
      <c r="G79" s="540"/>
      <c r="H79" s="530" t="str">
        <f>IFERROR(IF(VLOOKUP(B79,Equipos,7,FALSE)=0,"",VLOOKUP(B79,Equipos,7,FALSE)),"")</f>
        <v/>
      </c>
      <c r="I79" s="530" t="str">
        <f>IFERROR(IF(VLOOKUP(B79,Equipos,8,FALSE)=0,"",VLOOKUP(B79,Equipos,8,FALSE)),"")</f>
        <v/>
      </c>
      <c r="J79" s="532"/>
      <c r="K79" s="532"/>
      <c r="L79" s="544"/>
      <c r="M79" s="282"/>
      <c r="N79" s="283"/>
      <c r="O79" s="256">
        <f>IF(B79&lt;&gt;"",1,0)</f>
        <v>0</v>
      </c>
      <c r="P79" s="256">
        <v>10</v>
      </c>
      <c r="Q79" s="282"/>
      <c r="R79" s="167"/>
      <c r="S79" s="167"/>
      <c r="AC79" s="312">
        <f>IF($K$12="Seleccione Fecha",0,IF('Equipo Contratista'!A78="",0,'Equipo Contratista'!A78))</f>
        <v>0</v>
      </c>
    </row>
    <row r="80" spans="1:29" ht="13" thickBot="1">
      <c r="A80" s="523"/>
      <c r="B80" s="546"/>
      <c r="C80" s="547"/>
      <c r="D80" s="548"/>
      <c r="E80" s="549"/>
      <c r="F80" s="550"/>
      <c r="G80" s="551"/>
      <c r="H80" s="549"/>
      <c r="I80" s="549"/>
      <c r="J80" s="552"/>
      <c r="K80" s="552"/>
      <c r="L80" s="621"/>
      <c r="M80" s="282"/>
      <c r="N80" s="283"/>
      <c r="O80" s="282"/>
      <c r="P80" s="282"/>
      <c r="Q80" s="282"/>
      <c r="R80" s="167"/>
      <c r="S80" s="167"/>
      <c r="AC80" s="312">
        <f>IF($K$12="Seleccione Fecha",0,IF('Equipo Contratista'!A79="",0,'Equipo Contratista'!A79))</f>
        <v>0</v>
      </c>
    </row>
    <row r="81" spans="2:29">
      <c r="M81" s="257"/>
      <c r="N81" s="258"/>
      <c r="O81" s="259">
        <f>SUM(O61:O79)</f>
        <v>0</v>
      </c>
      <c r="P81" s="257"/>
      <c r="Q81" s="155"/>
      <c r="AC81" s="312">
        <f>IF($K$12="Seleccione Fecha",0,IF('Equipo Contratista'!A80="",0,'Equipo Contratista'!A80))</f>
        <v>0</v>
      </c>
    </row>
    <row r="82" spans="2:29" ht="13" thickBot="1">
      <c r="B82" s="3" t="s">
        <v>125</v>
      </c>
      <c r="D82" s="590"/>
      <c r="E82" s="590"/>
      <c r="F82" s="590"/>
      <c r="G82" s="590"/>
      <c r="H82" s="590"/>
      <c r="I82" s="590"/>
      <c r="J82" s="590"/>
      <c r="K82" s="590"/>
      <c r="L82" s="590"/>
      <c r="M82" s="284"/>
      <c r="N82" s="284"/>
      <c r="O82" s="284"/>
      <c r="P82" s="284"/>
      <c r="Q82" s="259"/>
      <c r="R82" s="152"/>
      <c r="S82" s="152"/>
      <c r="AC82" s="312">
        <f>IF($K$12="Seleccione Fecha",0,IF('Equipo Contratista'!A81="",0,'Equipo Contratista'!A81))</f>
        <v>0</v>
      </c>
    </row>
    <row r="83" spans="2:29">
      <c r="B83" s="591"/>
      <c r="C83" s="592"/>
      <c r="D83" s="592"/>
      <c r="E83" s="592"/>
      <c r="F83" s="592"/>
      <c r="G83" s="592"/>
      <c r="H83" s="592"/>
      <c r="I83" s="592"/>
      <c r="J83" s="592"/>
      <c r="K83" s="592"/>
      <c r="L83" s="593"/>
      <c r="M83" s="253"/>
      <c r="N83" s="253"/>
      <c r="O83" s="253"/>
      <c r="P83" s="253"/>
      <c r="Q83" s="152"/>
      <c r="R83" s="152"/>
      <c r="S83" s="152"/>
      <c r="AC83" s="312">
        <f>IF($K$12="Seleccione Fecha",0,IF('Equipo Contratista'!A82="",0,'Equipo Contratista'!A82))</f>
        <v>0</v>
      </c>
    </row>
    <row r="84" spans="2:29">
      <c r="B84" s="594"/>
      <c r="C84" s="595"/>
      <c r="D84" s="595"/>
      <c r="E84" s="595"/>
      <c r="F84" s="595"/>
      <c r="G84" s="595"/>
      <c r="H84" s="595"/>
      <c r="I84" s="595"/>
      <c r="J84" s="595"/>
      <c r="K84" s="595"/>
      <c r="L84" s="596"/>
      <c r="M84" s="253"/>
      <c r="N84" s="253"/>
      <c r="O84" s="253"/>
      <c r="P84" s="253"/>
      <c r="Q84" s="152"/>
      <c r="R84" s="152"/>
      <c r="S84" s="152"/>
      <c r="AC84" s="312">
        <f>IF($K$12="Seleccione Fecha",0,IF('Equipo Contratista'!A83="",0,'Equipo Contratista'!A83))</f>
        <v>0</v>
      </c>
    </row>
    <row r="85" spans="2:29">
      <c r="B85" s="594"/>
      <c r="C85" s="595"/>
      <c r="D85" s="595"/>
      <c r="E85" s="595"/>
      <c r="F85" s="595"/>
      <c r="G85" s="595"/>
      <c r="H85" s="595"/>
      <c r="I85" s="595"/>
      <c r="J85" s="595"/>
      <c r="K85" s="595"/>
      <c r="L85" s="596"/>
      <c r="M85" s="253"/>
      <c r="N85" s="253"/>
      <c r="O85" s="253"/>
      <c r="P85" s="253"/>
      <c r="Q85" s="152"/>
      <c r="R85" s="152"/>
      <c r="S85" s="152"/>
      <c r="AC85" s="312">
        <f>IF($K$12="Seleccione Fecha",0,IF('Equipo Contratista'!A84="",0,'Equipo Contratista'!A84))</f>
        <v>0</v>
      </c>
    </row>
    <row r="86" spans="2:29">
      <c r="B86" s="594"/>
      <c r="C86" s="595"/>
      <c r="D86" s="595"/>
      <c r="E86" s="595"/>
      <c r="F86" s="595"/>
      <c r="G86" s="595"/>
      <c r="H86" s="595"/>
      <c r="I86" s="595"/>
      <c r="J86" s="595"/>
      <c r="K86" s="595"/>
      <c r="L86" s="596"/>
      <c r="M86" s="253"/>
      <c r="N86" s="253"/>
      <c r="O86" s="253"/>
      <c r="P86" s="253"/>
      <c r="Q86" s="152"/>
      <c r="R86" s="152"/>
      <c r="S86" s="152"/>
      <c r="AC86" s="312">
        <f>IF($K$12="Seleccione Fecha",0,IF('Equipo Contratista'!A85="",0,'Equipo Contratista'!A85))</f>
        <v>0</v>
      </c>
    </row>
    <row r="87" spans="2:29" ht="13" thickBot="1">
      <c r="B87" s="597"/>
      <c r="C87" s="598"/>
      <c r="D87" s="598"/>
      <c r="E87" s="598"/>
      <c r="F87" s="598"/>
      <c r="G87" s="598"/>
      <c r="H87" s="598"/>
      <c r="I87" s="598"/>
      <c r="J87" s="598"/>
      <c r="K87" s="598"/>
      <c r="L87" s="599"/>
      <c r="M87" s="253"/>
      <c r="N87" s="253"/>
      <c r="O87" s="253"/>
      <c r="P87" s="253"/>
      <c r="Q87" s="152"/>
      <c r="R87" s="152"/>
      <c r="S87" s="152"/>
      <c r="AC87" s="312">
        <f>IF($K$12="Seleccione Fecha",0,IF('Equipo Contratista'!A86="",0,'Equipo Contratista'!A86))</f>
        <v>0</v>
      </c>
    </row>
    <row r="88" spans="2:29">
      <c r="N88" s="161"/>
      <c r="AC88" s="312">
        <f>IF($K$12="Seleccione Fecha",0,IF('Equipo Contratista'!A87="",0,'Equipo Contratista'!A87))</f>
        <v>0</v>
      </c>
    </row>
    <row r="89" spans="2:29">
      <c r="N89" s="161"/>
      <c r="AC89" s="312">
        <f>IF($K$12="Seleccione Fecha",0,IF('Equipo Contratista'!A88="",0,'Equipo Contratista'!A88))</f>
        <v>0</v>
      </c>
    </row>
    <row r="90" spans="2:29">
      <c r="N90" s="161"/>
      <c r="AC90" s="312">
        <f>IF($K$12="Seleccione Fecha",0,IF('Equipo Contratista'!A89="",0,'Equipo Contratista'!A89))</f>
        <v>0</v>
      </c>
    </row>
    <row r="91" spans="2:29">
      <c r="N91" s="161"/>
      <c r="AC91" s="312">
        <f>IF($K$12="Seleccione Fecha",0,IF('Equipo Contratista'!A90="",0,'Equipo Contratista'!A90))</f>
        <v>0</v>
      </c>
    </row>
    <row r="92" spans="2:29">
      <c r="H92" s="3"/>
      <c r="N92" s="161"/>
      <c r="AC92" s="312">
        <f>IF($K$12="Seleccione Fecha",0,IF('Equipo Contratista'!A91="",0,'Equipo Contratista'!A91))</f>
        <v>0</v>
      </c>
    </row>
    <row r="93" spans="2:29">
      <c r="H93" s="3"/>
      <c r="N93" s="161"/>
      <c r="AC93" s="312">
        <f>IF($K$12="Seleccione Fecha",0,IF('Equipo Contratista'!A92="",0,'Equipo Contratista'!A92))</f>
        <v>0</v>
      </c>
    </row>
    <row r="94" spans="2:29">
      <c r="H94" s="3"/>
      <c r="N94" s="161"/>
      <c r="AC94" s="312">
        <f>IF($K$12="Seleccione Fecha",0,IF('Equipo Contratista'!A93="",0,'Equipo Contratista'!A93))</f>
        <v>0</v>
      </c>
    </row>
    <row r="95" spans="2:29" ht="13" thickBot="1">
      <c r="H95" s="3"/>
      <c r="N95" s="161"/>
      <c r="AC95" s="312">
        <f>IF($K$12="Seleccione Fecha",0,IF('Equipo Contratista'!A94="",0,'Equipo Contratista'!A94))</f>
        <v>0</v>
      </c>
    </row>
    <row r="96" spans="2:29" ht="20">
      <c r="B96" s="601" t="s">
        <v>126</v>
      </c>
      <c r="C96" s="602"/>
      <c r="D96" s="602"/>
      <c r="E96" s="602"/>
      <c r="F96" s="602"/>
      <c r="G96" s="602"/>
      <c r="H96" s="602"/>
      <c r="I96" s="602"/>
      <c r="J96" s="602"/>
      <c r="K96" s="602"/>
      <c r="L96" s="603"/>
      <c r="M96" s="168"/>
      <c r="N96" s="168"/>
      <c r="O96" s="168"/>
      <c r="P96" s="168"/>
      <c r="Q96" s="168"/>
      <c r="R96" s="168"/>
      <c r="S96" s="168"/>
      <c r="AC96" s="312">
        <f>IF($K$12="Seleccione Fecha",0,IF('Equipo Contratista'!A95="",0,'Equipo Contratista'!A95))</f>
        <v>0</v>
      </c>
    </row>
    <row r="97" spans="1:29" ht="20">
      <c r="B97" s="604"/>
      <c r="C97" s="605"/>
      <c r="D97" s="605"/>
      <c r="E97" s="605"/>
      <c r="F97" s="605"/>
      <c r="G97" s="605"/>
      <c r="H97" s="605"/>
      <c r="I97" s="605"/>
      <c r="J97" s="605"/>
      <c r="K97" s="605"/>
      <c r="L97" s="606"/>
      <c r="M97" s="168"/>
      <c r="N97" s="168"/>
      <c r="O97" s="168"/>
      <c r="P97" s="168"/>
      <c r="Q97" s="168"/>
      <c r="R97" s="168"/>
      <c r="S97" s="168"/>
      <c r="AC97" s="312">
        <f>IF($K$12="Seleccione Fecha",0,IF('Equipo Contratista'!A96="",0,'Equipo Contratista'!A96))</f>
        <v>0</v>
      </c>
    </row>
    <row r="98" spans="1:29" ht="12.5" customHeight="1">
      <c r="A98" s="586"/>
      <c r="B98" s="587" t="s">
        <v>222</v>
      </c>
      <c r="C98" s="613" t="s">
        <v>127</v>
      </c>
      <c r="D98" s="614"/>
      <c r="E98" s="614"/>
      <c r="F98" s="491"/>
      <c r="G98" s="607" t="s">
        <v>128</v>
      </c>
      <c r="H98" s="607"/>
      <c r="I98" s="607" t="s">
        <v>129</v>
      </c>
      <c r="J98" s="607"/>
      <c r="K98" s="607" t="s">
        <v>109</v>
      </c>
      <c r="L98" s="610"/>
      <c r="M98" s="169"/>
      <c r="N98" s="212"/>
      <c r="O98" s="169"/>
      <c r="P98" s="169"/>
      <c r="Q98" s="169"/>
      <c r="R98" s="169"/>
      <c r="S98" s="169"/>
      <c r="AC98" s="312">
        <f>IF($K$12="Seleccione Fecha",0,IF('Equipo Contratista'!A97="",0,'Equipo Contratista'!A97))</f>
        <v>0</v>
      </c>
    </row>
    <row r="99" spans="1:29">
      <c r="A99" s="586"/>
      <c r="B99" s="588"/>
      <c r="C99" s="516"/>
      <c r="D99" s="586"/>
      <c r="E99" s="586"/>
      <c r="F99" s="517"/>
      <c r="G99" s="608"/>
      <c r="H99" s="608"/>
      <c r="I99" s="608"/>
      <c r="J99" s="608"/>
      <c r="K99" s="608"/>
      <c r="L99" s="611"/>
      <c r="M99" s="169"/>
      <c r="N99" s="212"/>
      <c r="O99" s="169"/>
      <c r="P99" s="169"/>
      <c r="R99" s="169"/>
      <c r="S99" s="169"/>
      <c r="AC99" s="312">
        <f>IF($K$12="Seleccione Fecha",0,IF('Equipo Contratista'!A98="",0,'Equipo Contratista'!A98))</f>
        <v>0</v>
      </c>
    </row>
    <row r="100" spans="1:29">
      <c r="A100" s="586"/>
      <c r="B100" s="588"/>
      <c r="C100" s="492"/>
      <c r="D100" s="615"/>
      <c r="E100" s="615"/>
      <c r="F100" s="493"/>
      <c r="G100" s="609"/>
      <c r="H100" s="609"/>
      <c r="I100" s="609"/>
      <c r="J100" s="609"/>
      <c r="K100" s="609"/>
      <c r="L100" s="612"/>
      <c r="M100" s="169"/>
      <c r="N100" s="212"/>
      <c r="O100" s="169"/>
      <c r="P100" s="169"/>
      <c r="R100" s="169"/>
      <c r="S100" s="169"/>
      <c r="AC100" s="312">
        <f>IF($K$12="Seleccione Fecha",0,IF('Equipo Contratista'!A99="",0,'Equipo Contratista'!A99))</f>
        <v>0</v>
      </c>
    </row>
    <row r="101" spans="1:29">
      <c r="A101" s="486"/>
      <c r="B101" s="565"/>
      <c r="C101" s="600"/>
      <c r="D101" s="568"/>
      <c r="E101" s="568"/>
      <c r="F101" s="569"/>
      <c r="G101" s="589"/>
      <c r="H101" s="554"/>
      <c r="I101" s="585"/>
      <c r="J101" s="554"/>
      <c r="K101" s="622"/>
      <c r="L101" s="623"/>
      <c r="M101" s="254"/>
      <c r="N101" s="255"/>
      <c r="O101" s="256">
        <f>IF(B101&lt;&gt;"",1,0)</f>
        <v>0</v>
      </c>
      <c r="P101" s="256">
        <v>1</v>
      </c>
      <c r="R101" s="170"/>
      <c r="S101" s="170"/>
      <c r="AC101" s="312">
        <f>IF($K$12="Seleccione Fecha",0,IF('Equipo Contratista'!A100="",0,'Equipo Contratista'!A100))</f>
        <v>0</v>
      </c>
    </row>
    <row r="102" spans="1:29">
      <c r="A102" s="486"/>
      <c r="B102" s="581"/>
      <c r="C102" s="582"/>
      <c r="D102" s="583"/>
      <c r="E102" s="583"/>
      <c r="F102" s="584"/>
      <c r="G102" s="554"/>
      <c r="H102" s="554"/>
      <c r="I102" s="554"/>
      <c r="J102" s="554"/>
      <c r="K102" s="624"/>
      <c r="L102" s="625"/>
      <c r="M102" s="254"/>
      <c r="N102" s="255"/>
      <c r="O102" s="256"/>
      <c r="P102" s="256"/>
      <c r="R102" s="170"/>
      <c r="S102" s="170"/>
      <c r="AC102" s="312">
        <f>IF($K$12="Seleccione Fecha",0,IF('Equipo Contratista'!A101="",0,'Equipo Contratista'!A101))</f>
        <v>0</v>
      </c>
    </row>
    <row r="103" spans="1:29">
      <c r="A103" s="486"/>
      <c r="B103" s="565"/>
      <c r="C103" s="600"/>
      <c r="D103" s="568"/>
      <c r="E103" s="568"/>
      <c r="F103" s="569"/>
      <c r="G103" s="589"/>
      <c r="H103" s="554"/>
      <c r="I103" s="585"/>
      <c r="J103" s="554"/>
      <c r="K103" s="577"/>
      <c r="L103" s="578"/>
      <c r="M103" s="254"/>
      <c r="N103" s="255"/>
      <c r="O103" s="256">
        <f>IF(B103&lt;&gt;"",1,0)</f>
        <v>0</v>
      </c>
      <c r="P103" s="256">
        <v>2</v>
      </c>
      <c r="Q103" s="170"/>
      <c r="R103" s="170"/>
      <c r="S103" s="170"/>
      <c r="AC103" s="312">
        <f>IF($K$12="Seleccione Fecha",0,IF('Equipo Contratista'!A102="",0,'Equipo Contratista'!A102))</f>
        <v>0</v>
      </c>
    </row>
    <row r="104" spans="1:29">
      <c r="A104" s="486"/>
      <c r="B104" s="581"/>
      <c r="C104" s="582"/>
      <c r="D104" s="583"/>
      <c r="E104" s="583"/>
      <c r="F104" s="584"/>
      <c r="G104" s="554"/>
      <c r="H104" s="554"/>
      <c r="I104" s="554"/>
      <c r="J104" s="554"/>
      <c r="K104" s="577"/>
      <c r="L104" s="578"/>
      <c r="M104" s="254"/>
      <c r="N104" s="255"/>
      <c r="O104" s="256"/>
      <c r="P104" s="256"/>
      <c r="Q104" s="170"/>
      <c r="R104" s="170"/>
      <c r="S104" s="170"/>
      <c r="AC104" s="312">
        <f>IF($K$12="Seleccione Fecha",0,IF('Equipo Contratista'!A103="",0,'Equipo Contratista'!A103))</f>
        <v>0</v>
      </c>
    </row>
    <row r="105" spans="1:29">
      <c r="A105" s="486"/>
      <c r="B105" s="565"/>
      <c r="C105" s="567"/>
      <c r="D105" s="568"/>
      <c r="E105" s="568"/>
      <c r="F105" s="569"/>
      <c r="G105" s="585"/>
      <c r="H105" s="554"/>
      <c r="I105" s="554"/>
      <c r="J105" s="554"/>
      <c r="K105" s="577"/>
      <c r="L105" s="578"/>
      <c r="M105" s="254"/>
      <c r="N105" s="255"/>
      <c r="O105" s="256">
        <f>IF(B105&lt;&gt;"",1,0)</f>
        <v>0</v>
      </c>
      <c r="P105" s="256">
        <v>3</v>
      </c>
      <c r="Q105" s="170"/>
      <c r="R105" s="170"/>
      <c r="S105" s="170"/>
      <c r="AC105" s="312">
        <f>IF($K$12="Seleccione Fecha",0,IF('Equipo Contratista'!A104="",0,'Equipo Contratista'!A104))</f>
        <v>0</v>
      </c>
    </row>
    <row r="106" spans="1:29">
      <c r="A106" s="486"/>
      <c r="B106" s="581"/>
      <c r="C106" s="582"/>
      <c r="D106" s="583"/>
      <c r="E106" s="583"/>
      <c r="F106" s="584"/>
      <c r="G106" s="554"/>
      <c r="H106" s="554"/>
      <c r="I106" s="554"/>
      <c r="J106" s="554"/>
      <c r="K106" s="577"/>
      <c r="L106" s="578"/>
      <c r="M106" s="254"/>
      <c r="N106" s="255"/>
      <c r="O106" s="256"/>
      <c r="P106" s="256"/>
      <c r="Q106" s="170"/>
      <c r="R106" s="170"/>
      <c r="S106" s="170"/>
      <c r="AC106" s="312">
        <f>IF($K$12="Seleccione Fecha",0,IF('Equipo Contratista'!A105="",0,'Equipo Contratista'!A105))</f>
        <v>0</v>
      </c>
    </row>
    <row r="107" spans="1:29">
      <c r="A107" s="486"/>
      <c r="B107" s="565"/>
      <c r="C107" s="567"/>
      <c r="D107" s="568"/>
      <c r="E107" s="568"/>
      <c r="F107" s="569"/>
      <c r="G107" s="585"/>
      <c r="H107" s="554"/>
      <c r="I107" s="554"/>
      <c r="J107" s="554"/>
      <c r="K107" s="577"/>
      <c r="L107" s="578"/>
      <c r="M107" s="254"/>
      <c r="N107" s="255"/>
      <c r="O107" s="256">
        <f>IF(B107&lt;&gt;"",1,0)</f>
        <v>0</v>
      </c>
      <c r="P107" s="256">
        <v>4</v>
      </c>
      <c r="Q107" s="170"/>
      <c r="R107" s="170"/>
      <c r="S107" s="170"/>
      <c r="AC107" s="312">
        <f>IF($K$12="Seleccione Fecha",0,IF('Equipo Contratista'!A106="",0,'Equipo Contratista'!A106))</f>
        <v>0</v>
      </c>
    </row>
    <row r="108" spans="1:29">
      <c r="A108" s="486"/>
      <c r="B108" s="581"/>
      <c r="C108" s="582"/>
      <c r="D108" s="583"/>
      <c r="E108" s="583"/>
      <c r="F108" s="584"/>
      <c r="G108" s="554"/>
      <c r="H108" s="554"/>
      <c r="I108" s="554"/>
      <c r="J108" s="554"/>
      <c r="K108" s="577"/>
      <c r="L108" s="578"/>
      <c r="M108" s="254"/>
      <c r="N108" s="255"/>
      <c r="O108" s="256"/>
      <c r="P108" s="256"/>
      <c r="Q108" s="170"/>
      <c r="R108" s="170"/>
      <c r="S108" s="170"/>
      <c r="AC108" s="312">
        <f>IF($K$12="Seleccione Fecha",0,IF('Equipo Contratista'!A107="",0,'Equipo Contratista'!A107))</f>
        <v>0</v>
      </c>
    </row>
    <row r="109" spans="1:29">
      <c r="A109" s="486"/>
      <c r="B109" s="565"/>
      <c r="C109" s="567"/>
      <c r="D109" s="568"/>
      <c r="E109" s="568"/>
      <c r="F109" s="569"/>
      <c r="G109" s="554"/>
      <c r="H109" s="554"/>
      <c r="I109" s="554"/>
      <c r="J109" s="554"/>
      <c r="K109" s="577"/>
      <c r="L109" s="578"/>
      <c r="M109" s="254"/>
      <c r="N109" s="255"/>
      <c r="O109" s="256">
        <f>IF(B109&lt;&gt;"",1,0)</f>
        <v>0</v>
      </c>
      <c r="P109" s="256">
        <v>5</v>
      </c>
      <c r="Q109" s="170"/>
      <c r="R109" s="170"/>
      <c r="S109" s="170"/>
      <c r="AC109" s="312">
        <f>IF($K$12="Seleccione Fecha",0,IF('Equipo Contratista'!A108="",0,'Equipo Contratista'!A108))</f>
        <v>0</v>
      </c>
    </row>
    <row r="110" spans="1:29">
      <c r="A110" s="486"/>
      <c r="B110" s="581"/>
      <c r="C110" s="582"/>
      <c r="D110" s="583"/>
      <c r="E110" s="583"/>
      <c r="F110" s="584"/>
      <c r="G110" s="554"/>
      <c r="H110" s="554"/>
      <c r="I110" s="554"/>
      <c r="J110" s="554"/>
      <c r="K110" s="577"/>
      <c r="L110" s="578"/>
      <c r="M110" s="254"/>
      <c r="N110" s="255"/>
      <c r="O110" s="256"/>
      <c r="P110" s="256"/>
      <c r="Q110" s="170"/>
      <c r="R110" s="170"/>
      <c r="S110" s="170"/>
      <c r="AC110" s="312">
        <f>IF($K$12="Seleccione Fecha",0,IF('Equipo Contratista'!A109="",0,'Equipo Contratista'!A109))</f>
        <v>0</v>
      </c>
    </row>
    <row r="111" spans="1:29">
      <c r="A111" s="486"/>
      <c r="B111" s="565"/>
      <c r="C111" s="567"/>
      <c r="D111" s="568"/>
      <c r="E111" s="568"/>
      <c r="F111" s="569"/>
      <c r="G111" s="554"/>
      <c r="H111" s="554"/>
      <c r="I111" s="554"/>
      <c r="J111" s="554"/>
      <c r="K111" s="577"/>
      <c r="L111" s="578"/>
      <c r="M111" s="254"/>
      <c r="N111" s="255"/>
      <c r="O111" s="256">
        <f>IF(B111&lt;&gt;"",1,0)</f>
        <v>0</v>
      </c>
      <c r="P111" s="256">
        <v>6</v>
      </c>
      <c r="Q111" s="170"/>
      <c r="R111" s="170"/>
      <c r="S111" s="170"/>
      <c r="AC111" s="312">
        <f>IF($K$12="Seleccione Fecha",0,IF('Equipo Contratista'!A110="",0,'Equipo Contratista'!A110))</f>
        <v>0</v>
      </c>
    </row>
    <row r="112" spans="1:29">
      <c r="A112" s="486"/>
      <c r="B112" s="581"/>
      <c r="C112" s="582"/>
      <c r="D112" s="583"/>
      <c r="E112" s="583"/>
      <c r="F112" s="584"/>
      <c r="G112" s="554"/>
      <c r="H112" s="554"/>
      <c r="I112" s="554"/>
      <c r="J112" s="554"/>
      <c r="K112" s="577"/>
      <c r="L112" s="578"/>
      <c r="M112" s="254"/>
      <c r="N112" s="255"/>
      <c r="O112" s="256"/>
      <c r="P112" s="256"/>
      <c r="Q112" s="170"/>
      <c r="R112" s="170"/>
      <c r="S112" s="170"/>
      <c r="AC112" s="312">
        <f>IF($K$12="Seleccione Fecha",0,IF('Equipo Contratista'!A111="",0,'Equipo Contratista'!A111))</f>
        <v>0</v>
      </c>
    </row>
    <row r="113" spans="1:29">
      <c r="A113" s="486"/>
      <c r="B113" s="565"/>
      <c r="C113" s="567"/>
      <c r="D113" s="568"/>
      <c r="E113" s="568"/>
      <c r="F113" s="569"/>
      <c r="G113" s="554"/>
      <c r="H113" s="554"/>
      <c r="I113" s="554"/>
      <c r="J113" s="554"/>
      <c r="K113" s="577"/>
      <c r="L113" s="578"/>
      <c r="M113" s="254"/>
      <c r="N113" s="255"/>
      <c r="O113" s="256">
        <f>IF(B113&lt;&gt;"",1,0)</f>
        <v>0</v>
      </c>
      <c r="P113" s="256">
        <v>7</v>
      </c>
      <c r="Q113" s="170"/>
      <c r="R113" s="170"/>
      <c r="S113" s="170"/>
      <c r="AC113" s="312">
        <f>IF($K$12="Seleccione Fecha",0,IF('Equipo Contratista'!A112="",0,'Equipo Contratista'!A112))</f>
        <v>0</v>
      </c>
    </row>
    <row r="114" spans="1:29">
      <c r="A114" s="486"/>
      <c r="B114" s="581"/>
      <c r="C114" s="582"/>
      <c r="D114" s="583"/>
      <c r="E114" s="583"/>
      <c r="F114" s="584"/>
      <c r="G114" s="554"/>
      <c r="H114" s="554"/>
      <c r="I114" s="554"/>
      <c r="J114" s="554"/>
      <c r="K114" s="577"/>
      <c r="L114" s="578"/>
      <c r="M114" s="254"/>
      <c r="N114" s="255"/>
      <c r="O114" s="256"/>
      <c r="P114" s="256"/>
      <c r="Q114" s="170"/>
      <c r="R114" s="170"/>
      <c r="S114" s="170"/>
      <c r="AC114" s="312">
        <f>IF($K$12="Seleccione Fecha",0,IF('Equipo Contratista'!A113="",0,'Equipo Contratista'!A113))</f>
        <v>0</v>
      </c>
    </row>
    <row r="115" spans="1:29">
      <c r="A115" s="486"/>
      <c r="B115" s="565"/>
      <c r="C115" s="567"/>
      <c r="D115" s="568"/>
      <c r="E115" s="568"/>
      <c r="F115" s="569"/>
      <c r="G115" s="554"/>
      <c r="H115" s="554"/>
      <c r="I115" s="554"/>
      <c r="J115" s="554"/>
      <c r="K115" s="577"/>
      <c r="L115" s="578"/>
      <c r="M115" s="254"/>
      <c r="N115" s="255"/>
      <c r="O115" s="256">
        <f>IF(B115&lt;&gt;"",1,0)</f>
        <v>0</v>
      </c>
      <c r="P115" s="256">
        <v>8</v>
      </c>
      <c r="Q115" s="170"/>
      <c r="R115" s="170"/>
      <c r="S115" s="170"/>
      <c r="AC115" s="312">
        <f>IF($K$12="Seleccione Fecha",0,IF('Equipo Contratista'!A114="",0,'Equipo Contratista'!A114))</f>
        <v>0</v>
      </c>
    </row>
    <row r="116" spans="1:29">
      <c r="A116" s="486"/>
      <c r="B116" s="581"/>
      <c r="C116" s="582"/>
      <c r="D116" s="583"/>
      <c r="E116" s="583"/>
      <c r="F116" s="584"/>
      <c r="G116" s="554"/>
      <c r="H116" s="554"/>
      <c r="I116" s="554"/>
      <c r="J116" s="554"/>
      <c r="K116" s="577"/>
      <c r="L116" s="578"/>
      <c r="M116" s="254"/>
      <c r="N116" s="255"/>
      <c r="O116" s="256"/>
      <c r="P116" s="256"/>
      <c r="Q116" s="170"/>
      <c r="R116" s="170"/>
      <c r="S116" s="170"/>
      <c r="AC116" s="312">
        <f>IF($K$12="Seleccione Fecha",0,IF('Equipo Contratista'!A115="",0,'Equipo Contratista'!A115))</f>
        <v>0</v>
      </c>
    </row>
    <row r="117" spans="1:29">
      <c r="A117" s="486"/>
      <c r="B117" s="565"/>
      <c r="C117" s="567"/>
      <c r="D117" s="568"/>
      <c r="E117" s="568"/>
      <c r="F117" s="569"/>
      <c r="G117" s="554"/>
      <c r="H117" s="554"/>
      <c r="I117" s="554"/>
      <c r="J117" s="554"/>
      <c r="K117" s="577"/>
      <c r="L117" s="578"/>
      <c r="M117" s="254"/>
      <c r="N117" s="255"/>
      <c r="O117" s="256">
        <f>IF(B117&lt;&gt;"",1,0)</f>
        <v>0</v>
      </c>
      <c r="P117" s="256">
        <v>9</v>
      </c>
      <c r="Q117" s="170"/>
      <c r="R117" s="170"/>
      <c r="S117" s="170"/>
      <c r="AC117" s="312">
        <f>IF($K$12="Seleccione Fecha",0,IF('Equipo Contratista'!A116="",0,'Equipo Contratista'!A116))</f>
        <v>0</v>
      </c>
    </row>
    <row r="118" spans="1:29">
      <c r="A118" s="486"/>
      <c r="B118" s="581"/>
      <c r="C118" s="582"/>
      <c r="D118" s="583"/>
      <c r="E118" s="583"/>
      <c r="F118" s="584"/>
      <c r="G118" s="554"/>
      <c r="H118" s="554"/>
      <c r="I118" s="554"/>
      <c r="J118" s="554"/>
      <c r="K118" s="577"/>
      <c r="L118" s="578"/>
      <c r="M118" s="254"/>
      <c r="N118" s="255"/>
      <c r="O118" s="256"/>
      <c r="P118" s="256"/>
      <c r="Q118" s="170"/>
      <c r="R118" s="170"/>
      <c r="S118" s="170"/>
      <c r="AC118" s="312">
        <f>IF($K$12="Seleccione Fecha",0,IF('Equipo Contratista'!A117="",0,'Equipo Contratista'!A117))</f>
        <v>0</v>
      </c>
    </row>
    <row r="119" spans="1:29">
      <c r="A119" s="486"/>
      <c r="B119" s="565"/>
      <c r="C119" s="567"/>
      <c r="D119" s="568"/>
      <c r="E119" s="568"/>
      <c r="F119" s="569"/>
      <c r="G119" s="554"/>
      <c r="H119" s="554"/>
      <c r="I119" s="554"/>
      <c r="J119" s="554"/>
      <c r="K119" s="577"/>
      <c r="L119" s="578"/>
      <c r="M119" s="254"/>
      <c r="N119" s="255"/>
      <c r="O119" s="256">
        <f>IF(B119&lt;&gt;"",1,0)</f>
        <v>0</v>
      </c>
      <c r="P119" s="256">
        <v>10</v>
      </c>
      <c r="Q119" s="170"/>
      <c r="R119" s="170"/>
      <c r="S119" s="170"/>
      <c r="AC119" s="312">
        <f>IF($K$12="Seleccione Fecha",0,IF('Equipo Contratista'!A118="",0,'Equipo Contratista'!A118))</f>
        <v>0</v>
      </c>
    </row>
    <row r="120" spans="1:29">
      <c r="A120" s="486"/>
      <c r="B120" s="581"/>
      <c r="C120" s="582"/>
      <c r="D120" s="583"/>
      <c r="E120" s="583"/>
      <c r="F120" s="584"/>
      <c r="G120" s="554"/>
      <c r="H120" s="554"/>
      <c r="I120" s="554"/>
      <c r="J120" s="554"/>
      <c r="K120" s="577"/>
      <c r="L120" s="578"/>
      <c r="M120" s="254"/>
      <c r="N120" s="255"/>
      <c r="O120" s="256"/>
      <c r="P120" s="256"/>
      <c r="Q120" s="170"/>
      <c r="R120" s="170"/>
      <c r="S120" s="170"/>
      <c r="AC120" s="312">
        <f>IF($K$12="Seleccione Fecha",0,IF('Equipo Contratista'!A119="",0,'Equipo Contratista'!A119))</f>
        <v>0</v>
      </c>
    </row>
    <row r="121" spans="1:29">
      <c r="A121" s="486"/>
      <c r="B121" s="565"/>
      <c r="C121" s="567"/>
      <c r="D121" s="568"/>
      <c r="E121" s="568"/>
      <c r="F121" s="569"/>
      <c r="G121" s="554"/>
      <c r="H121" s="554"/>
      <c r="I121" s="554"/>
      <c r="J121" s="554"/>
      <c r="K121" s="577"/>
      <c r="L121" s="578"/>
      <c r="M121" s="254"/>
      <c r="N121" s="255"/>
      <c r="O121" s="256">
        <f>IF(B121&lt;&gt;"",1,0)</f>
        <v>0</v>
      </c>
      <c r="P121" s="256">
        <v>11</v>
      </c>
      <c r="Q121" s="170"/>
      <c r="R121" s="170"/>
      <c r="S121" s="170"/>
      <c r="AC121" s="312">
        <f>IF($K$12="Seleccione Fecha",0,IF('Equipo Contratista'!A120="",0,'Equipo Contratista'!A120))</f>
        <v>0</v>
      </c>
    </row>
    <row r="122" spans="1:29">
      <c r="A122" s="486"/>
      <c r="B122" s="581"/>
      <c r="C122" s="582"/>
      <c r="D122" s="583"/>
      <c r="E122" s="583"/>
      <c r="F122" s="584"/>
      <c r="G122" s="554"/>
      <c r="H122" s="554"/>
      <c r="I122" s="554"/>
      <c r="J122" s="554"/>
      <c r="K122" s="577"/>
      <c r="L122" s="578"/>
      <c r="M122" s="254"/>
      <c r="N122" s="255"/>
      <c r="O122" s="256"/>
      <c r="P122" s="256"/>
      <c r="Q122" s="170"/>
      <c r="R122" s="170"/>
      <c r="S122" s="170"/>
      <c r="AC122" s="312">
        <f>IF($K$12="Seleccione Fecha",0,IF('Equipo Contratista'!A121="",0,'Equipo Contratista'!A121))</f>
        <v>0</v>
      </c>
    </row>
    <row r="123" spans="1:29">
      <c r="A123" s="486"/>
      <c r="B123" s="565"/>
      <c r="C123" s="567"/>
      <c r="D123" s="568"/>
      <c r="E123" s="568"/>
      <c r="F123" s="569"/>
      <c r="G123" s="554"/>
      <c r="H123" s="554"/>
      <c r="I123" s="554"/>
      <c r="J123" s="554"/>
      <c r="K123" s="577"/>
      <c r="L123" s="578"/>
      <c r="M123" s="254"/>
      <c r="N123" s="255"/>
      <c r="O123" s="256">
        <f>IF(B123&lt;&gt;"",1,0)</f>
        <v>0</v>
      </c>
      <c r="P123" s="256">
        <v>12</v>
      </c>
      <c r="Q123" s="170"/>
      <c r="R123" s="170"/>
      <c r="S123" s="170"/>
      <c r="AC123" s="312">
        <f>IF($K$12="Seleccione Fecha",0,IF('Equipo Contratista'!A122="",0,'Equipo Contratista'!A122))</f>
        <v>0</v>
      </c>
    </row>
    <row r="124" spans="1:29">
      <c r="A124" s="486"/>
      <c r="B124" s="581"/>
      <c r="C124" s="582"/>
      <c r="D124" s="583"/>
      <c r="E124" s="583"/>
      <c r="F124" s="584"/>
      <c r="G124" s="554"/>
      <c r="H124" s="554"/>
      <c r="I124" s="554"/>
      <c r="J124" s="554"/>
      <c r="K124" s="577"/>
      <c r="L124" s="578"/>
      <c r="M124" s="254"/>
      <c r="N124" s="255"/>
      <c r="O124" s="256"/>
      <c r="P124" s="256"/>
      <c r="Q124" s="170"/>
      <c r="R124" s="170"/>
      <c r="S124" s="170"/>
      <c r="AC124" s="312">
        <f>IF($K$12="Seleccione Fecha",0,IF('Equipo Contratista'!A123="",0,'Equipo Contratista'!A123))</f>
        <v>0</v>
      </c>
    </row>
    <row r="125" spans="1:29">
      <c r="A125" s="486"/>
      <c r="B125" s="565"/>
      <c r="C125" s="567"/>
      <c r="D125" s="568"/>
      <c r="E125" s="568"/>
      <c r="F125" s="569"/>
      <c r="G125" s="554"/>
      <c r="H125" s="554"/>
      <c r="I125" s="554"/>
      <c r="J125" s="554"/>
      <c r="K125" s="577"/>
      <c r="L125" s="578"/>
      <c r="M125" s="254"/>
      <c r="N125" s="255"/>
      <c r="O125" s="256">
        <f>IF(B125&lt;&gt;"",1,0)</f>
        <v>0</v>
      </c>
      <c r="P125" s="256">
        <v>13</v>
      </c>
      <c r="Q125" s="170"/>
      <c r="R125" s="170"/>
      <c r="S125" s="170"/>
      <c r="AC125" s="312">
        <f>IF($K$12="Seleccione Fecha",0,IF('Equipo Contratista'!A124="",0,'Equipo Contratista'!A124))</f>
        <v>0</v>
      </c>
    </row>
    <row r="126" spans="1:29">
      <c r="A126" s="486"/>
      <c r="B126" s="581"/>
      <c r="C126" s="582"/>
      <c r="D126" s="583"/>
      <c r="E126" s="583"/>
      <c r="F126" s="584"/>
      <c r="G126" s="554"/>
      <c r="H126" s="554"/>
      <c r="I126" s="554"/>
      <c r="J126" s="554"/>
      <c r="K126" s="577"/>
      <c r="L126" s="578"/>
      <c r="M126" s="254"/>
      <c r="N126" s="255"/>
      <c r="O126" s="256"/>
      <c r="P126" s="256"/>
      <c r="Q126" s="170"/>
      <c r="R126" s="170"/>
      <c r="S126" s="170"/>
      <c r="AC126" s="312">
        <f>IF($K$12="Seleccione Fecha",0,IF('Equipo Contratista'!A125="",0,'Equipo Contratista'!A125))</f>
        <v>0</v>
      </c>
    </row>
    <row r="127" spans="1:29">
      <c r="A127" s="486"/>
      <c r="B127" s="565"/>
      <c r="C127" s="567"/>
      <c r="D127" s="568"/>
      <c r="E127" s="568"/>
      <c r="F127" s="569"/>
      <c r="G127" s="554"/>
      <c r="H127" s="554"/>
      <c r="I127" s="554"/>
      <c r="J127" s="554"/>
      <c r="K127" s="577"/>
      <c r="L127" s="578"/>
      <c r="M127" s="254"/>
      <c r="N127" s="255"/>
      <c r="O127" s="256">
        <f>IF(B127&lt;&gt;"",1,0)</f>
        <v>0</v>
      </c>
      <c r="P127" s="256">
        <v>14</v>
      </c>
      <c r="Q127" s="170"/>
      <c r="R127" s="170"/>
      <c r="S127" s="170"/>
      <c r="AC127" s="312">
        <f>IF($K$12="Seleccione Fecha",0,IF('Equipo Contratista'!A126="",0,'Equipo Contratista'!A126))</f>
        <v>0</v>
      </c>
    </row>
    <row r="128" spans="1:29">
      <c r="A128" s="486"/>
      <c r="B128" s="581"/>
      <c r="C128" s="582"/>
      <c r="D128" s="583"/>
      <c r="E128" s="583"/>
      <c r="F128" s="584"/>
      <c r="G128" s="554"/>
      <c r="H128" s="554"/>
      <c r="I128" s="554"/>
      <c r="J128" s="554"/>
      <c r="K128" s="577"/>
      <c r="L128" s="578"/>
      <c r="M128" s="254"/>
      <c r="N128" s="255"/>
      <c r="O128" s="256"/>
      <c r="P128" s="256"/>
      <c r="Q128" s="170"/>
      <c r="R128" s="170"/>
      <c r="S128" s="170"/>
      <c r="AC128" s="312">
        <f>IF($K$12="Seleccione Fecha",0,IF('Equipo Contratista'!A127="",0,'Equipo Contratista'!A127))</f>
        <v>0</v>
      </c>
    </row>
    <row r="129" spans="1:29">
      <c r="A129" s="486"/>
      <c r="B129" s="565"/>
      <c r="C129" s="567"/>
      <c r="D129" s="568"/>
      <c r="E129" s="568"/>
      <c r="F129" s="569"/>
      <c r="G129" s="554"/>
      <c r="H129" s="554"/>
      <c r="I129" s="554"/>
      <c r="J129" s="554"/>
      <c r="K129" s="577"/>
      <c r="L129" s="578"/>
      <c r="M129" s="254"/>
      <c r="N129" s="255"/>
      <c r="O129" s="256">
        <f>IF(B129&lt;&gt;"",1,0)</f>
        <v>0</v>
      </c>
      <c r="P129" s="256">
        <v>15</v>
      </c>
      <c r="Q129" s="170"/>
      <c r="R129" s="170"/>
      <c r="S129" s="170"/>
      <c r="AC129" s="312">
        <f>IF($K$12="Seleccione Fecha",0,IF('Equipo Contratista'!A128="",0,'Equipo Contratista'!A128))</f>
        <v>0</v>
      </c>
    </row>
    <row r="130" spans="1:29" ht="13" thickBot="1">
      <c r="A130" s="486"/>
      <c r="B130" s="566"/>
      <c r="C130" s="570"/>
      <c r="D130" s="571"/>
      <c r="E130" s="571"/>
      <c r="F130" s="572"/>
      <c r="G130" s="555"/>
      <c r="H130" s="555"/>
      <c r="I130" s="555"/>
      <c r="J130" s="555"/>
      <c r="K130" s="579"/>
      <c r="L130" s="580"/>
      <c r="M130" s="254"/>
      <c r="N130" s="255"/>
      <c r="O130" s="256"/>
      <c r="P130" s="256"/>
      <c r="Q130" s="170"/>
      <c r="R130" s="170"/>
      <c r="S130" s="170"/>
      <c r="AC130" s="312">
        <f>IF($K$12="Seleccione Fecha",0,IF('Equipo Contratista'!A129="",0,'Equipo Contratista'!A129))</f>
        <v>0</v>
      </c>
    </row>
    <row r="131" spans="1:29">
      <c r="H131" s="3"/>
      <c r="M131" s="257"/>
      <c r="N131" s="258"/>
      <c r="O131" s="259">
        <f>SUM(O101:O130)</f>
        <v>0</v>
      </c>
      <c r="P131" s="257"/>
      <c r="AC131" s="312">
        <f>IF($K$12="Seleccione Fecha",0,IF('Equipo Contratista'!A130="",0,'Equipo Contratista'!A130))</f>
        <v>0</v>
      </c>
    </row>
    <row r="132" spans="1:29">
      <c r="H132" s="3"/>
      <c r="J132" s="3" t="s">
        <v>130</v>
      </c>
      <c r="K132" s="575">
        <f>SUM(K101:L130)</f>
        <v>0</v>
      </c>
      <c r="L132" s="575"/>
      <c r="M132" s="260"/>
      <c r="N132" s="260"/>
      <c r="O132" s="260"/>
      <c r="P132" s="260"/>
      <c r="Q132" s="171"/>
      <c r="R132" s="171"/>
      <c r="S132" s="171"/>
      <c r="AC132" s="312">
        <f>IF($K$12="Seleccione Fecha",0,IF('Equipo Contratista'!A131="",0,'Equipo Contratista'!A131))</f>
        <v>0</v>
      </c>
    </row>
    <row r="133" spans="1:29">
      <c r="H133" s="3"/>
      <c r="M133" s="257"/>
      <c r="N133" s="261"/>
      <c r="O133" s="257"/>
      <c r="P133" s="257"/>
      <c r="AC133" s="312">
        <f>IF($K$12="Seleccione Fecha",0,IF('Equipo Contratista'!A132="",0,'Equipo Contratista'!A132))</f>
        <v>0</v>
      </c>
    </row>
    <row r="134" spans="1:29">
      <c r="H134" s="3"/>
      <c r="M134" s="257"/>
      <c r="N134" s="261"/>
      <c r="O134" s="257"/>
      <c r="P134" s="257"/>
      <c r="AC134" s="312">
        <f>IF($K$12="Seleccione Fecha",0,IF('Equipo Contratista'!A133="",0,'Equipo Contratista'!A133))</f>
        <v>0</v>
      </c>
    </row>
    <row r="135" spans="1:29">
      <c r="H135" s="3"/>
      <c r="M135" s="257"/>
      <c r="N135" s="261"/>
      <c r="O135" s="257"/>
      <c r="P135" s="257"/>
      <c r="AC135" s="312">
        <f>IF($K$12="Seleccione Fecha",0,IF('Equipo Contratista'!A134="",0,'Equipo Contratista'!A134))</f>
        <v>0</v>
      </c>
    </row>
    <row r="136" spans="1:29">
      <c r="H136" s="3"/>
      <c r="M136" s="257"/>
      <c r="N136" s="261"/>
      <c r="O136" s="257"/>
      <c r="P136" s="257"/>
      <c r="AC136" s="312">
        <f>IF($K$12="Seleccione Fecha",0,IF('Equipo Contratista'!A135="",0,'Equipo Contratista'!A135))</f>
        <v>0</v>
      </c>
    </row>
    <row r="137" spans="1:29">
      <c r="B137" s="576" t="s">
        <v>131</v>
      </c>
      <c r="C137" s="576"/>
      <c r="D137" s="576"/>
      <c r="E137" s="576"/>
      <c r="F137" s="576"/>
      <c r="G137" s="576"/>
      <c r="H137" s="576"/>
      <c r="I137" s="576"/>
      <c r="J137" s="576"/>
      <c r="K137" s="576"/>
      <c r="L137" s="576"/>
      <c r="M137" s="262"/>
      <c r="N137" s="262"/>
      <c r="O137" s="262"/>
      <c r="P137" s="262"/>
      <c r="Q137" s="172"/>
      <c r="R137" s="172"/>
      <c r="S137" s="172"/>
      <c r="AC137" s="312">
        <f>IF($K$12="Seleccione Fecha",0,IF('Equipo Contratista'!A136="",0,'Equipo Contratista'!A136))</f>
        <v>0</v>
      </c>
    </row>
    <row r="138" spans="1:29">
      <c r="B138" s="576"/>
      <c r="C138" s="576"/>
      <c r="D138" s="576"/>
      <c r="E138" s="576"/>
      <c r="F138" s="576"/>
      <c r="G138" s="576"/>
      <c r="H138" s="576"/>
      <c r="I138" s="576"/>
      <c r="J138" s="576"/>
      <c r="K138" s="576"/>
      <c r="L138" s="576"/>
      <c r="M138" s="262"/>
      <c r="N138" s="262"/>
      <c r="O138" s="262"/>
      <c r="P138" s="262"/>
      <c r="Q138" s="172"/>
      <c r="R138" s="172"/>
      <c r="S138" s="172"/>
      <c r="AC138" s="312">
        <f>IF($K$12="Seleccione Fecha",0,IF('Equipo Contratista'!A137="",0,'Equipo Contratista'!A137))</f>
        <v>0</v>
      </c>
    </row>
    <row r="139" spans="1:29" ht="13" thickBot="1">
      <c r="B139" s="430"/>
      <c r="C139" s="430"/>
      <c r="D139" s="430"/>
      <c r="E139" s="430"/>
      <c r="F139" s="430"/>
      <c r="G139" s="430"/>
      <c r="H139" s="430"/>
      <c r="I139" s="430"/>
      <c r="J139" s="430"/>
      <c r="K139" s="430"/>
      <c r="L139" s="430"/>
      <c r="M139" s="261"/>
      <c r="N139" s="261"/>
      <c r="O139" s="261"/>
      <c r="P139" s="261"/>
      <c r="Q139" s="161"/>
      <c r="R139" s="161"/>
      <c r="S139" s="161"/>
      <c r="AC139" s="312">
        <f>IF($K$12="Seleccione Fecha",0,IF('Equipo Contratista'!A138="",0,'Equipo Contratista'!A138))</f>
        <v>0</v>
      </c>
    </row>
    <row r="140" spans="1:29">
      <c r="B140" s="556"/>
      <c r="C140" s="557"/>
      <c r="D140" s="557"/>
      <c r="E140" s="557"/>
      <c r="F140" s="557"/>
      <c r="G140" s="557"/>
      <c r="H140" s="557"/>
      <c r="I140" s="557"/>
      <c r="J140" s="557"/>
      <c r="K140" s="557"/>
      <c r="L140" s="558"/>
      <c r="M140" s="263"/>
      <c r="N140" s="259"/>
      <c r="O140" s="263"/>
      <c r="P140" s="263"/>
      <c r="Q140" s="173"/>
      <c r="R140" s="173"/>
      <c r="S140" s="173"/>
      <c r="AC140" s="312">
        <f>IF($K$12="Seleccione Fecha",0,IF('Equipo Contratista'!A139="",0,'Equipo Contratista'!A139))</f>
        <v>0</v>
      </c>
    </row>
    <row r="141" spans="1:29">
      <c r="B141" s="559"/>
      <c r="C141" s="560"/>
      <c r="D141" s="560"/>
      <c r="E141" s="560"/>
      <c r="F141" s="560"/>
      <c r="G141" s="560"/>
      <c r="H141" s="560"/>
      <c r="I141" s="560"/>
      <c r="J141" s="560"/>
      <c r="K141" s="560"/>
      <c r="L141" s="561"/>
      <c r="M141" s="263"/>
      <c r="N141" s="259"/>
      <c r="O141" s="263"/>
      <c r="P141" s="263"/>
      <c r="Q141" s="173"/>
      <c r="R141" s="173"/>
      <c r="S141" s="173"/>
      <c r="AC141" s="312">
        <f>IF($K$12="Seleccione Fecha",0,IF('Equipo Contratista'!A140="",0,'Equipo Contratista'!A140))</f>
        <v>0</v>
      </c>
    </row>
    <row r="142" spans="1:29">
      <c r="B142" s="559"/>
      <c r="C142" s="560"/>
      <c r="D142" s="560"/>
      <c r="E142" s="560"/>
      <c r="F142" s="560"/>
      <c r="G142" s="560"/>
      <c r="H142" s="560"/>
      <c r="I142" s="560"/>
      <c r="J142" s="560"/>
      <c r="K142" s="560"/>
      <c r="L142" s="561"/>
      <c r="M142" s="263"/>
      <c r="N142" s="259"/>
      <c r="O142" s="263"/>
      <c r="P142" s="263"/>
      <c r="Q142" s="173"/>
      <c r="R142" s="173"/>
      <c r="S142" s="173"/>
      <c r="AC142" s="312">
        <f>IF($K$12="Seleccione Fecha",0,IF('Equipo Contratista'!A141="",0,'Equipo Contratista'!A141))</f>
        <v>0</v>
      </c>
    </row>
    <row r="143" spans="1:29">
      <c r="B143" s="559"/>
      <c r="C143" s="560"/>
      <c r="D143" s="560"/>
      <c r="E143" s="560"/>
      <c r="F143" s="560"/>
      <c r="G143" s="560"/>
      <c r="H143" s="560"/>
      <c r="I143" s="560"/>
      <c r="J143" s="560"/>
      <c r="K143" s="560"/>
      <c r="L143" s="561"/>
      <c r="M143" s="263"/>
      <c r="N143" s="259"/>
      <c r="O143" s="263"/>
      <c r="P143" s="263"/>
      <c r="Q143" s="173"/>
      <c r="R143" s="173"/>
      <c r="S143" s="173"/>
      <c r="AC143" s="312">
        <f>IF($K$12="Seleccione Fecha",0,IF('Equipo Contratista'!A142="",0,'Equipo Contratista'!A142))</f>
        <v>0</v>
      </c>
    </row>
    <row r="144" spans="1:29">
      <c r="B144" s="559"/>
      <c r="C144" s="560"/>
      <c r="D144" s="560"/>
      <c r="E144" s="560"/>
      <c r="F144" s="560"/>
      <c r="G144" s="560"/>
      <c r="H144" s="560"/>
      <c r="I144" s="560"/>
      <c r="J144" s="560"/>
      <c r="K144" s="560"/>
      <c r="L144" s="561"/>
      <c r="M144" s="263"/>
      <c r="N144" s="259"/>
      <c r="O144" s="263"/>
      <c r="P144" s="263"/>
      <c r="Q144" s="173"/>
      <c r="R144" s="173"/>
      <c r="S144" s="173"/>
      <c r="AC144" s="312">
        <f>IF($K$12="Seleccione Fecha",0,IF('Equipo Contratista'!A143="",0,'Equipo Contratista'!A143))</f>
        <v>0</v>
      </c>
    </row>
    <row r="145" spans="2:29">
      <c r="B145" s="559"/>
      <c r="C145" s="560"/>
      <c r="D145" s="560"/>
      <c r="E145" s="560"/>
      <c r="F145" s="560"/>
      <c r="G145" s="560"/>
      <c r="H145" s="560"/>
      <c r="I145" s="560"/>
      <c r="J145" s="560"/>
      <c r="K145" s="560"/>
      <c r="L145" s="561"/>
      <c r="M145" s="263"/>
      <c r="N145" s="259"/>
      <c r="O145" s="263"/>
      <c r="P145" s="263"/>
      <c r="Q145" s="173"/>
      <c r="R145" s="173"/>
      <c r="S145" s="173"/>
      <c r="AC145" s="312">
        <f>IF($K$12="Seleccione Fecha",0,IF('Equipo Contratista'!A144="",0,'Equipo Contratista'!A144))</f>
        <v>0</v>
      </c>
    </row>
    <row r="146" spans="2:29">
      <c r="B146" s="559"/>
      <c r="C146" s="560"/>
      <c r="D146" s="560"/>
      <c r="E146" s="560"/>
      <c r="F146" s="560"/>
      <c r="G146" s="560"/>
      <c r="H146" s="560"/>
      <c r="I146" s="560"/>
      <c r="J146" s="560"/>
      <c r="K146" s="560"/>
      <c r="L146" s="561"/>
      <c r="M146" s="263"/>
      <c r="N146" s="259"/>
      <c r="O146" s="263"/>
      <c r="P146" s="263"/>
      <c r="Q146" s="174"/>
      <c r="R146" s="174"/>
      <c r="S146" s="174"/>
      <c r="AC146" s="312">
        <f>IF($K$12="Seleccione Fecha",0,IF('Equipo Contratista'!A145="",0,'Equipo Contratista'!A145))</f>
        <v>0</v>
      </c>
    </row>
    <row r="147" spans="2:29">
      <c r="B147" s="559"/>
      <c r="C147" s="560"/>
      <c r="D147" s="560"/>
      <c r="E147" s="560"/>
      <c r="F147" s="560"/>
      <c r="G147" s="560"/>
      <c r="H147" s="560"/>
      <c r="I147" s="560"/>
      <c r="J147" s="560"/>
      <c r="K147" s="560"/>
      <c r="L147" s="561"/>
      <c r="M147" s="263"/>
      <c r="N147" s="259"/>
      <c r="O147" s="263"/>
      <c r="P147" s="263"/>
      <c r="Q147" s="174"/>
      <c r="R147" s="174"/>
      <c r="S147" s="174"/>
      <c r="AC147" s="312">
        <f>IF($K$12="Seleccione Fecha",0,IF('Equipo Contratista'!A146="",0,'Equipo Contratista'!A146))</f>
        <v>0</v>
      </c>
    </row>
    <row r="148" spans="2:29">
      <c r="B148" s="559"/>
      <c r="C148" s="560"/>
      <c r="D148" s="560"/>
      <c r="E148" s="560"/>
      <c r="F148" s="560"/>
      <c r="G148" s="560"/>
      <c r="H148" s="560"/>
      <c r="I148" s="560"/>
      <c r="J148" s="560"/>
      <c r="K148" s="560"/>
      <c r="L148" s="561"/>
      <c r="M148" s="263"/>
      <c r="N148" s="259"/>
      <c r="O148" s="263"/>
      <c r="P148" s="263"/>
      <c r="Q148" s="174"/>
      <c r="R148" s="174"/>
      <c r="S148" s="174"/>
      <c r="AC148" s="312">
        <f>IF($K$12="Seleccione Fecha",0,IF('Equipo Contratista'!A147="",0,'Equipo Contratista'!A147))</f>
        <v>0</v>
      </c>
    </row>
    <row r="149" spans="2:29">
      <c r="B149" s="559"/>
      <c r="C149" s="560"/>
      <c r="D149" s="560"/>
      <c r="E149" s="560"/>
      <c r="F149" s="560"/>
      <c r="G149" s="560"/>
      <c r="H149" s="560"/>
      <c r="I149" s="560"/>
      <c r="J149" s="560"/>
      <c r="K149" s="560"/>
      <c r="L149" s="561"/>
      <c r="M149" s="263"/>
      <c r="N149" s="259"/>
      <c r="O149" s="263"/>
      <c r="P149" s="263"/>
      <c r="Q149" s="174"/>
      <c r="R149" s="174"/>
      <c r="S149" s="174"/>
      <c r="AC149" s="312">
        <f>IF($K$12="Seleccione Fecha",0,IF('Equipo Contratista'!A148="",0,'Equipo Contratista'!A148))</f>
        <v>0</v>
      </c>
    </row>
    <row r="150" spans="2:29">
      <c r="B150" s="559"/>
      <c r="C150" s="560"/>
      <c r="D150" s="560"/>
      <c r="E150" s="560"/>
      <c r="F150" s="560"/>
      <c r="G150" s="560"/>
      <c r="H150" s="560"/>
      <c r="I150" s="560"/>
      <c r="J150" s="560"/>
      <c r="K150" s="560"/>
      <c r="L150" s="561"/>
      <c r="M150" s="263"/>
      <c r="N150" s="259"/>
      <c r="O150" s="263"/>
      <c r="P150" s="263"/>
      <c r="Q150" s="174"/>
      <c r="R150" s="174"/>
      <c r="S150" s="174"/>
      <c r="AC150" s="312">
        <f>IF($K$12="Seleccione Fecha",0,IF('Equipo Contratista'!A149="",0,'Equipo Contratista'!A149))</f>
        <v>0</v>
      </c>
    </row>
    <row r="151" spans="2:29">
      <c r="B151" s="559"/>
      <c r="C151" s="560"/>
      <c r="D151" s="560"/>
      <c r="E151" s="560"/>
      <c r="F151" s="560"/>
      <c r="G151" s="560"/>
      <c r="H151" s="560"/>
      <c r="I151" s="560"/>
      <c r="J151" s="560"/>
      <c r="K151" s="560"/>
      <c r="L151" s="561"/>
      <c r="M151" s="263"/>
      <c r="N151" s="259"/>
      <c r="O151" s="263"/>
      <c r="P151" s="263"/>
      <c r="Q151" s="174"/>
      <c r="R151" s="174"/>
      <c r="S151" s="174"/>
      <c r="AC151" s="312">
        <f>IF($K$12="Seleccione Fecha",0,IF('Equipo Contratista'!A150="",0,'Equipo Contratista'!A150))</f>
        <v>0</v>
      </c>
    </row>
    <row r="152" spans="2:29">
      <c r="B152" s="559"/>
      <c r="C152" s="560"/>
      <c r="D152" s="560"/>
      <c r="E152" s="560"/>
      <c r="F152" s="560"/>
      <c r="G152" s="560"/>
      <c r="H152" s="560"/>
      <c r="I152" s="560"/>
      <c r="J152" s="560"/>
      <c r="K152" s="560"/>
      <c r="L152" s="561"/>
      <c r="M152" s="263"/>
      <c r="N152" s="259"/>
      <c r="O152" s="263"/>
      <c r="P152" s="263"/>
      <c r="Q152" s="174"/>
      <c r="R152" s="174"/>
      <c r="S152" s="174"/>
      <c r="AC152" s="312">
        <f>IF($K$12="Seleccione Fecha",0,IF('Equipo Contratista'!A151="",0,'Equipo Contratista'!A151))</f>
        <v>0</v>
      </c>
    </row>
    <row r="153" spans="2:29">
      <c r="B153" s="559"/>
      <c r="C153" s="560"/>
      <c r="D153" s="560"/>
      <c r="E153" s="560"/>
      <c r="F153" s="560"/>
      <c r="G153" s="560"/>
      <c r="H153" s="560"/>
      <c r="I153" s="560"/>
      <c r="J153" s="560"/>
      <c r="K153" s="560"/>
      <c r="L153" s="561"/>
      <c r="M153" s="263"/>
      <c r="N153" s="259"/>
      <c r="O153" s="263"/>
      <c r="P153" s="263"/>
      <c r="Q153" s="174"/>
      <c r="R153" s="174"/>
      <c r="S153" s="174"/>
    </row>
    <row r="154" spans="2:29">
      <c r="B154" s="559"/>
      <c r="C154" s="560"/>
      <c r="D154" s="560"/>
      <c r="E154" s="560"/>
      <c r="F154" s="560"/>
      <c r="G154" s="560"/>
      <c r="H154" s="560"/>
      <c r="I154" s="560"/>
      <c r="J154" s="560"/>
      <c r="K154" s="560"/>
      <c r="L154" s="561"/>
      <c r="M154" s="263"/>
      <c r="N154" s="259"/>
      <c r="O154" s="263"/>
      <c r="P154" s="263"/>
      <c r="Q154" s="174"/>
      <c r="R154" s="174"/>
      <c r="S154" s="174"/>
    </row>
    <row r="155" spans="2:29">
      <c r="B155" s="559"/>
      <c r="C155" s="560"/>
      <c r="D155" s="560"/>
      <c r="E155" s="560"/>
      <c r="F155" s="560"/>
      <c r="G155" s="560"/>
      <c r="H155" s="560"/>
      <c r="I155" s="560"/>
      <c r="J155" s="560"/>
      <c r="K155" s="560"/>
      <c r="L155" s="561"/>
      <c r="M155" s="263"/>
      <c r="N155" s="259"/>
      <c r="O155" s="263"/>
      <c r="P155" s="263"/>
      <c r="Q155" s="174"/>
      <c r="R155" s="174"/>
      <c r="S155" s="174"/>
    </row>
    <row r="156" spans="2:29">
      <c r="B156" s="559"/>
      <c r="C156" s="560"/>
      <c r="D156" s="560"/>
      <c r="E156" s="560"/>
      <c r="F156" s="560"/>
      <c r="G156" s="560"/>
      <c r="H156" s="560"/>
      <c r="I156" s="560"/>
      <c r="J156" s="560"/>
      <c r="K156" s="560"/>
      <c r="L156" s="561"/>
      <c r="M156" s="263"/>
      <c r="N156" s="259"/>
      <c r="O156" s="263"/>
      <c r="P156" s="263"/>
      <c r="Q156" s="174"/>
      <c r="R156" s="174"/>
      <c r="S156" s="174"/>
    </row>
    <row r="157" spans="2:29">
      <c r="B157" s="559"/>
      <c r="C157" s="560"/>
      <c r="D157" s="560"/>
      <c r="E157" s="560"/>
      <c r="F157" s="560"/>
      <c r="G157" s="560"/>
      <c r="H157" s="560"/>
      <c r="I157" s="560"/>
      <c r="J157" s="560"/>
      <c r="K157" s="560"/>
      <c r="L157" s="561"/>
      <c r="M157" s="263"/>
      <c r="N157" s="259"/>
      <c r="O157" s="263"/>
      <c r="P157" s="263"/>
      <c r="Q157" s="174"/>
      <c r="R157" s="174"/>
      <c r="S157" s="174"/>
    </row>
    <row r="158" spans="2:29">
      <c r="B158" s="559"/>
      <c r="C158" s="560"/>
      <c r="D158" s="560"/>
      <c r="E158" s="560"/>
      <c r="F158" s="560"/>
      <c r="G158" s="560"/>
      <c r="H158" s="560"/>
      <c r="I158" s="560"/>
      <c r="J158" s="560"/>
      <c r="K158" s="560"/>
      <c r="L158" s="561"/>
      <c r="M158" s="263"/>
      <c r="N158" s="259"/>
      <c r="O158" s="263"/>
      <c r="P158" s="263"/>
      <c r="Q158" s="174"/>
      <c r="R158" s="174"/>
      <c r="S158" s="174"/>
    </row>
    <row r="159" spans="2:29">
      <c r="B159" s="559"/>
      <c r="C159" s="560"/>
      <c r="D159" s="560"/>
      <c r="E159" s="560"/>
      <c r="F159" s="560"/>
      <c r="G159" s="560"/>
      <c r="H159" s="560"/>
      <c r="I159" s="560"/>
      <c r="J159" s="560"/>
      <c r="K159" s="560"/>
      <c r="L159" s="561"/>
      <c r="M159" s="263"/>
      <c r="N159" s="259"/>
      <c r="O159" s="263"/>
      <c r="P159" s="263"/>
      <c r="Q159" s="174"/>
      <c r="R159" s="174"/>
      <c r="S159" s="174"/>
    </row>
    <row r="160" spans="2:29">
      <c r="B160" s="559"/>
      <c r="C160" s="560"/>
      <c r="D160" s="560"/>
      <c r="E160" s="560"/>
      <c r="F160" s="560"/>
      <c r="G160" s="560"/>
      <c r="H160" s="560"/>
      <c r="I160" s="560"/>
      <c r="J160" s="560"/>
      <c r="K160" s="560"/>
      <c r="L160" s="561"/>
      <c r="M160" s="263"/>
      <c r="N160" s="259"/>
      <c r="O160" s="263"/>
      <c r="P160" s="263"/>
      <c r="Q160" s="174"/>
      <c r="R160" s="174"/>
      <c r="S160" s="174"/>
    </row>
    <row r="161" spans="2:19" ht="13" thickBot="1">
      <c r="B161" s="562"/>
      <c r="C161" s="563"/>
      <c r="D161" s="563"/>
      <c r="E161" s="563"/>
      <c r="F161" s="563"/>
      <c r="G161" s="563"/>
      <c r="H161" s="563"/>
      <c r="I161" s="563"/>
      <c r="J161" s="563"/>
      <c r="K161" s="563"/>
      <c r="L161" s="564"/>
      <c r="M161" s="263"/>
      <c r="N161" s="259"/>
      <c r="O161" s="263"/>
      <c r="P161" s="263"/>
      <c r="Q161" s="174"/>
      <c r="R161" s="174"/>
      <c r="S161" s="174"/>
    </row>
    <row r="162" spans="2:19">
      <c r="N162" s="227"/>
      <c r="O162" s="14">
        <f>IF(OR(B83&lt;&gt;"",B140&lt;&gt;""),1,0)</f>
        <v>0</v>
      </c>
    </row>
    <row r="163" spans="2:19"/>
    <row r="164" spans="2:19">
      <c r="B164" s="573" t="s">
        <v>132</v>
      </c>
      <c r="C164" s="573"/>
      <c r="D164" s="573"/>
      <c r="E164" s="573"/>
      <c r="F164" s="573"/>
      <c r="G164" s="573"/>
      <c r="H164" s="573"/>
      <c r="I164" s="573"/>
      <c r="J164" s="573"/>
      <c r="K164" s="573"/>
      <c r="L164" s="573"/>
      <c r="M164" s="214"/>
      <c r="N164" s="214"/>
      <c r="O164" s="214"/>
      <c r="P164" s="214"/>
      <c r="Q164" s="175"/>
      <c r="R164" s="175"/>
      <c r="S164" s="175"/>
    </row>
    <row r="165" spans="2:19">
      <c r="B165" s="573"/>
      <c r="C165" s="573"/>
      <c r="D165" s="573"/>
      <c r="E165" s="573"/>
      <c r="F165" s="573"/>
      <c r="G165" s="573"/>
      <c r="H165" s="573"/>
      <c r="I165" s="573"/>
      <c r="J165" s="573"/>
      <c r="K165" s="573"/>
      <c r="L165" s="573"/>
      <c r="M165" s="214"/>
      <c r="N165" s="214"/>
      <c r="O165" s="214"/>
      <c r="P165" s="214"/>
      <c r="Q165" s="175"/>
      <c r="R165" s="175"/>
      <c r="S165" s="175"/>
    </row>
    <row r="166" spans="2:19"/>
    <row r="167" spans="2:19"/>
    <row r="168" spans="2:19">
      <c r="B168" s="3" t="s">
        <v>83</v>
      </c>
      <c r="F168" s="3" t="s">
        <v>84</v>
      </c>
      <c r="J168" s="3" t="s">
        <v>85</v>
      </c>
    </row>
    <row r="169" spans="2:19"/>
    <row r="170" spans="2:19"/>
    <row r="171" spans="2:19">
      <c r="B171" s="553">
        <f>'Información Force Account'!B3</f>
        <v>0</v>
      </c>
      <c r="C171" s="553"/>
      <c r="D171" s="553"/>
      <c r="F171" s="574">
        <f>'Información Force Account'!B5</f>
        <v>0</v>
      </c>
      <c r="G171" s="574"/>
      <c r="H171" s="574"/>
      <c r="J171" s="574">
        <f>'Información Force Account'!B4</f>
        <v>0</v>
      </c>
      <c r="K171" s="574"/>
      <c r="L171" s="574"/>
      <c r="M171" s="213"/>
      <c r="N171" s="213"/>
      <c r="O171" s="213"/>
      <c r="P171" s="213"/>
      <c r="Q171" s="152"/>
      <c r="R171" s="152"/>
      <c r="S171" s="152"/>
    </row>
    <row r="172" spans="2:19">
      <c r="B172" s="335" t="s">
        <v>86</v>
      </c>
      <c r="C172" s="335"/>
      <c r="D172" s="335"/>
      <c r="F172" s="553" t="s">
        <v>87</v>
      </c>
      <c r="G172" s="553"/>
      <c r="H172" s="553"/>
      <c r="J172" s="335" t="s">
        <v>90</v>
      </c>
      <c r="K172" s="335"/>
      <c r="L172" s="335"/>
      <c r="M172" s="213"/>
      <c r="N172" s="213"/>
      <c r="O172" s="213"/>
      <c r="P172" s="213"/>
      <c r="Q172" s="152"/>
      <c r="R172" s="152"/>
      <c r="S172" s="152"/>
    </row>
    <row r="173" spans="2:19"/>
  </sheetData>
  <sheetProtection password="AE77" sheet="1" objects="1" scenarios="1"/>
  <mergeCells count="329">
    <mergeCell ref="O5:P5"/>
    <mergeCell ref="D11:H13"/>
    <mergeCell ref="D15:H15"/>
    <mergeCell ref="C103:F104"/>
    <mergeCell ref="L75:L76"/>
    <mergeCell ref="I73:I74"/>
    <mergeCell ref="J73:J74"/>
    <mergeCell ref="K73:K74"/>
    <mergeCell ref="L73:L74"/>
    <mergeCell ref="L71:L72"/>
    <mergeCell ref="I69:I70"/>
    <mergeCell ref="J69:J70"/>
    <mergeCell ref="K69:K70"/>
    <mergeCell ref="L69:L70"/>
    <mergeCell ref="I67:I68"/>
    <mergeCell ref="J67:J68"/>
    <mergeCell ref="K67:K68"/>
    <mergeCell ref="L77:L78"/>
    <mergeCell ref="I75:I76"/>
    <mergeCell ref="J75:J76"/>
    <mergeCell ref="K75:K76"/>
    <mergeCell ref="K103:L104"/>
    <mergeCell ref="L79:L80"/>
    <mergeCell ref="K101:L102"/>
    <mergeCell ref="D82:L82"/>
    <mergeCell ref="B83:L87"/>
    <mergeCell ref="C101:F102"/>
    <mergeCell ref="B101:B102"/>
    <mergeCell ref="B96:L97"/>
    <mergeCell ref="G98:H100"/>
    <mergeCell ref="I98:J100"/>
    <mergeCell ref="K98:L100"/>
    <mergeCell ref="C98:F100"/>
    <mergeCell ref="G101:H102"/>
    <mergeCell ref="I101:J102"/>
    <mergeCell ref="K105:L106"/>
    <mergeCell ref="A111:A112"/>
    <mergeCell ref="A113:A114"/>
    <mergeCell ref="A98:A100"/>
    <mergeCell ref="A101:A102"/>
    <mergeCell ref="A103:A104"/>
    <mergeCell ref="B105:B106"/>
    <mergeCell ref="B98:B100"/>
    <mergeCell ref="A105:A106"/>
    <mergeCell ref="B103:B104"/>
    <mergeCell ref="B111:B112"/>
    <mergeCell ref="B113:B114"/>
    <mergeCell ref="B107:B108"/>
    <mergeCell ref="C105:F106"/>
    <mergeCell ref="B109:B110"/>
    <mergeCell ref="C109:F110"/>
    <mergeCell ref="C113:F114"/>
    <mergeCell ref="G113:H114"/>
    <mergeCell ref="I113:J114"/>
    <mergeCell ref="K113:L114"/>
    <mergeCell ref="G105:H106"/>
    <mergeCell ref="I105:J106"/>
    <mergeCell ref="G103:H104"/>
    <mergeCell ref="I103:J104"/>
    <mergeCell ref="C107:F108"/>
    <mergeCell ref="A129:A130"/>
    <mergeCell ref="A115:A116"/>
    <mergeCell ref="A117:A118"/>
    <mergeCell ref="A119:A120"/>
    <mergeCell ref="A121:A122"/>
    <mergeCell ref="G117:H118"/>
    <mergeCell ref="I125:J126"/>
    <mergeCell ref="K125:L126"/>
    <mergeCell ref="K115:L116"/>
    <mergeCell ref="B115:B116"/>
    <mergeCell ref="C115:F116"/>
    <mergeCell ref="B117:B118"/>
    <mergeCell ref="C117:F118"/>
    <mergeCell ref="K111:L112"/>
    <mergeCell ref="I109:J110"/>
    <mergeCell ref="G111:H112"/>
    <mergeCell ref="G109:H110"/>
    <mergeCell ref="G107:H108"/>
    <mergeCell ref="I107:J108"/>
    <mergeCell ref="K107:L108"/>
    <mergeCell ref="K109:L110"/>
    <mergeCell ref="C111:F112"/>
    <mergeCell ref="I111:J112"/>
    <mergeCell ref="Q19:Q20"/>
    <mergeCell ref="A123:A124"/>
    <mergeCell ref="A125:A126"/>
    <mergeCell ref="A107:A108"/>
    <mergeCell ref="A109:A110"/>
    <mergeCell ref="A127:A128"/>
    <mergeCell ref="G123:H124"/>
    <mergeCell ref="I123:J124"/>
    <mergeCell ref="K123:L124"/>
    <mergeCell ref="I121:J122"/>
    <mergeCell ref="K121:L122"/>
    <mergeCell ref="B123:B124"/>
    <mergeCell ref="C123:F124"/>
    <mergeCell ref="C121:F122"/>
    <mergeCell ref="G119:H120"/>
    <mergeCell ref="I119:J120"/>
    <mergeCell ref="K119:L120"/>
    <mergeCell ref="B119:B120"/>
    <mergeCell ref="C119:F120"/>
    <mergeCell ref="B121:B122"/>
    <mergeCell ref="I117:J118"/>
    <mergeCell ref="K117:L118"/>
    <mergeCell ref="G115:H116"/>
    <mergeCell ref="I115:J116"/>
    <mergeCell ref="B172:D172"/>
    <mergeCell ref="F172:H172"/>
    <mergeCell ref="G129:H130"/>
    <mergeCell ref="G125:H126"/>
    <mergeCell ref="G121:H122"/>
    <mergeCell ref="B140:L161"/>
    <mergeCell ref="B129:B130"/>
    <mergeCell ref="C129:F130"/>
    <mergeCell ref="G127:H128"/>
    <mergeCell ref="J172:L172"/>
    <mergeCell ref="B164:L165"/>
    <mergeCell ref="B171:D171"/>
    <mergeCell ref="F171:H171"/>
    <mergeCell ref="J171:L171"/>
    <mergeCell ref="K132:L132"/>
    <mergeCell ref="B137:L139"/>
    <mergeCell ref="I129:J130"/>
    <mergeCell ref="K129:L130"/>
    <mergeCell ref="I127:J128"/>
    <mergeCell ref="K127:L128"/>
    <mergeCell ref="B127:B128"/>
    <mergeCell ref="C127:F128"/>
    <mergeCell ref="B125:B126"/>
    <mergeCell ref="C125:F126"/>
    <mergeCell ref="A79:A80"/>
    <mergeCell ref="B79:C80"/>
    <mergeCell ref="D79:D80"/>
    <mergeCell ref="E79:E80"/>
    <mergeCell ref="F79:G80"/>
    <mergeCell ref="H79:H80"/>
    <mergeCell ref="I77:I78"/>
    <mergeCell ref="J77:J78"/>
    <mergeCell ref="K77:K78"/>
    <mergeCell ref="I79:I80"/>
    <mergeCell ref="J79:J80"/>
    <mergeCell ref="A77:A78"/>
    <mergeCell ref="B77:C78"/>
    <mergeCell ref="D77:D78"/>
    <mergeCell ref="E77:E78"/>
    <mergeCell ref="F77:G78"/>
    <mergeCell ref="H77:H78"/>
    <mergeCell ref="K79:K80"/>
    <mergeCell ref="A75:A76"/>
    <mergeCell ref="B75:C76"/>
    <mergeCell ref="D75:D76"/>
    <mergeCell ref="E75:E76"/>
    <mergeCell ref="F75:G76"/>
    <mergeCell ref="H75:H76"/>
    <mergeCell ref="I71:I72"/>
    <mergeCell ref="J71:J72"/>
    <mergeCell ref="K71:K72"/>
    <mergeCell ref="A73:A74"/>
    <mergeCell ref="B73:C74"/>
    <mergeCell ref="D73:D74"/>
    <mergeCell ref="E73:E74"/>
    <mergeCell ref="F73:G74"/>
    <mergeCell ref="H73:H74"/>
    <mergeCell ref="A71:A72"/>
    <mergeCell ref="B71:C72"/>
    <mergeCell ref="D71:D72"/>
    <mergeCell ref="E71:E72"/>
    <mergeCell ref="F71:G72"/>
    <mergeCell ref="H71:H72"/>
    <mergeCell ref="A69:A70"/>
    <mergeCell ref="B69:C70"/>
    <mergeCell ref="D69:D70"/>
    <mergeCell ref="E69:E70"/>
    <mergeCell ref="F69:G70"/>
    <mergeCell ref="H69:H70"/>
    <mergeCell ref="I65:I66"/>
    <mergeCell ref="J65:J66"/>
    <mergeCell ref="K65:K66"/>
    <mergeCell ref="L65:L66"/>
    <mergeCell ref="A67:A68"/>
    <mergeCell ref="B67:C68"/>
    <mergeCell ref="D67:D68"/>
    <mergeCell ref="E67:E68"/>
    <mergeCell ref="F67:G68"/>
    <mergeCell ref="H67:H68"/>
    <mergeCell ref="I63:I64"/>
    <mergeCell ref="J63:J64"/>
    <mergeCell ref="K63:K64"/>
    <mergeCell ref="L63:L64"/>
    <mergeCell ref="A65:A66"/>
    <mergeCell ref="B65:C66"/>
    <mergeCell ref="D65:D66"/>
    <mergeCell ref="E65:E66"/>
    <mergeCell ref="F65:G66"/>
    <mergeCell ref="H65:H66"/>
    <mergeCell ref="A63:A64"/>
    <mergeCell ref="B63:C64"/>
    <mergeCell ref="D63:D64"/>
    <mergeCell ref="E63:E64"/>
    <mergeCell ref="F63:G64"/>
    <mergeCell ref="H63:H64"/>
    <mergeCell ref="L67:L68"/>
    <mergeCell ref="I54:J54"/>
    <mergeCell ref="K54:L54"/>
    <mergeCell ref="B57:L57"/>
    <mergeCell ref="A61:A62"/>
    <mergeCell ref="B61:C62"/>
    <mergeCell ref="D61:D62"/>
    <mergeCell ref="E61:E62"/>
    <mergeCell ref="K61:K62"/>
    <mergeCell ref="B59:C60"/>
    <mergeCell ref="D59:D60"/>
    <mergeCell ref="E59:E60"/>
    <mergeCell ref="F59:G60"/>
    <mergeCell ref="H59:H60"/>
    <mergeCell ref="J59:L59"/>
    <mergeCell ref="F61:G62"/>
    <mergeCell ref="H61:H62"/>
    <mergeCell ref="I61:I62"/>
    <mergeCell ref="J61:J62"/>
    <mergeCell ref="I59:I60"/>
    <mergeCell ref="L61:L62"/>
    <mergeCell ref="B51:C52"/>
    <mergeCell ref="D51:E52"/>
    <mergeCell ref="F51:H52"/>
    <mergeCell ref="B53:C54"/>
    <mergeCell ref="D53:E54"/>
    <mergeCell ref="F53:H54"/>
    <mergeCell ref="A49:A50"/>
    <mergeCell ref="B49:D49"/>
    <mergeCell ref="E49:F50"/>
    <mergeCell ref="K49:L50"/>
    <mergeCell ref="B50:D50"/>
    <mergeCell ref="A47:A48"/>
    <mergeCell ref="B47:D47"/>
    <mergeCell ref="E47:F48"/>
    <mergeCell ref="K47:L48"/>
    <mergeCell ref="B48:D48"/>
    <mergeCell ref="A45:A46"/>
    <mergeCell ref="B45:D45"/>
    <mergeCell ref="E45:F46"/>
    <mergeCell ref="K45:L46"/>
    <mergeCell ref="B46:D46"/>
    <mergeCell ref="A43:A44"/>
    <mergeCell ref="B43:D43"/>
    <mergeCell ref="E43:F44"/>
    <mergeCell ref="K43:L44"/>
    <mergeCell ref="B44:D44"/>
    <mergeCell ref="A41:A42"/>
    <mergeCell ref="B41:D41"/>
    <mergeCell ref="E41:F42"/>
    <mergeCell ref="K41:L42"/>
    <mergeCell ref="B42:D42"/>
    <mergeCell ref="A39:A40"/>
    <mergeCell ref="B39:D39"/>
    <mergeCell ref="E39:F40"/>
    <mergeCell ref="K39:L40"/>
    <mergeCell ref="B40:D40"/>
    <mergeCell ref="A37:A38"/>
    <mergeCell ref="B37:D37"/>
    <mergeCell ref="E37:F38"/>
    <mergeCell ref="K37:L38"/>
    <mergeCell ref="B38:D38"/>
    <mergeCell ref="A35:A36"/>
    <mergeCell ref="B35:D35"/>
    <mergeCell ref="E35:F36"/>
    <mergeCell ref="K35:L36"/>
    <mergeCell ref="B36:D36"/>
    <mergeCell ref="A33:A34"/>
    <mergeCell ref="B33:D33"/>
    <mergeCell ref="E33:F34"/>
    <mergeCell ref="K33:L34"/>
    <mergeCell ref="B34:D34"/>
    <mergeCell ref="A31:A32"/>
    <mergeCell ref="B31:D31"/>
    <mergeCell ref="E31:F32"/>
    <mergeCell ref="K31:L32"/>
    <mergeCell ref="B32:D32"/>
    <mergeCell ref="A29:A30"/>
    <mergeCell ref="B29:D29"/>
    <mergeCell ref="E29:F30"/>
    <mergeCell ref="K29:L30"/>
    <mergeCell ref="B30:D30"/>
    <mergeCell ref="A27:A28"/>
    <mergeCell ref="B27:D27"/>
    <mergeCell ref="E27:F28"/>
    <mergeCell ref="K27:L28"/>
    <mergeCell ref="B28:D28"/>
    <mergeCell ref="A25:A26"/>
    <mergeCell ref="B25:D25"/>
    <mergeCell ref="E25:F26"/>
    <mergeCell ref="K25:L26"/>
    <mergeCell ref="B26:D26"/>
    <mergeCell ref="B12:C13"/>
    <mergeCell ref="A23:A24"/>
    <mergeCell ref="B23:D23"/>
    <mergeCell ref="E23:F24"/>
    <mergeCell ref="K23:L24"/>
    <mergeCell ref="B24:D24"/>
    <mergeCell ref="A21:A22"/>
    <mergeCell ref="B21:D21"/>
    <mergeCell ref="E21:F22"/>
    <mergeCell ref="K21:L22"/>
    <mergeCell ref="B22:D22"/>
    <mergeCell ref="O6:P6"/>
    <mergeCell ref="J15:K15"/>
    <mergeCell ref="B17:L18"/>
    <mergeCell ref="B19:D20"/>
    <mergeCell ref="E19:F20"/>
    <mergeCell ref="G19:G20"/>
    <mergeCell ref="O1:P1"/>
    <mergeCell ref="O4:P4"/>
    <mergeCell ref="H19:H20"/>
    <mergeCell ref="I19:I20"/>
    <mergeCell ref="J19:J20"/>
    <mergeCell ref="K19:L20"/>
    <mergeCell ref="B8:L8"/>
    <mergeCell ref="B9:D9"/>
    <mergeCell ref="K12:L12"/>
    <mergeCell ref="J13:K13"/>
    <mergeCell ref="O3:P3"/>
    <mergeCell ref="O2:P2"/>
    <mergeCell ref="B2:L2"/>
    <mergeCell ref="B3:L3"/>
    <mergeCell ref="B4:L4"/>
    <mergeCell ref="B5:L5"/>
    <mergeCell ref="P10:P20"/>
    <mergeCell ref="O10:O20"/>
  </mergeCells>
  <phoneticPr fontId="0" type="noConversion"/>
  <conditionalFormatting sqref="B171:D171 F171:H171 J171:L171 O171:P171">
    <cfRule type="cellIs" dxfId="7" priority="5" stopIfTrue="1" operator="equal">
      <formula>0</formula>
    </cfRule>
  </conditionalFormatting>
  <conditionalFormatting sqref="I21:L50 D61:I80">
    <cfRule type="cellIs" dxfId="6" priority="4" stopIfTrue="1" operator="equal">
      <formula>0</formula>
    </cfRule>
  </conditionalFormatting>
  <conditionalFormatting sqref="E9 H9 K9 D15:H15">
    <cfRule type="cellIs" dxfId="5" priority="2" stopIfTrue="1" operator="equal">
      <formula>0</formula>
    </cfRule>
  </conditionalFormatting>
  <conditionalFormatting sqref="D11:H13">
    <cfRule type="cellIs" dxfId="4" priority="1" stopIfTrue="1" operator="equal">
      <formula>""" ()"""</formula>
    </cfRule>
  </conditionalFormatting>
  <dataValidations count="4">
    <dataValidation type="list" allowBlank="1" showInputMessage="1" showErrorMessage="1" sqref="B101:B130" xr:uid="{00000000-0002-0000-0500-000000000000}">
      <formula1>"M,S"</formula1>
    </dataValidation>
    <dataValidation type="list" allowBlank="1" showInputMessage="1" showErrorMessage="1" sqref="B21:D21 B49:D49 B47:D47 B45:D45 B43:D43 B41:D41 B39:D39 B37:D37 B35:D35 B33:D33 B31:D31 B29:D29 B27:D27 B25:D25 B23:D23" xr:uid="{00000000-0002-0000-0500-000001000000}">
      <formula1>Nombres</formula1>
    </dataValidation>
    <dataValidation type="list" allowBlank="1" showInputMessage="1" showErrorMessage="1" sqref="B61:C80" xr:uid="{00000000-0002-0000-0500-000002000000}">
      <formula1>Descripción</formula1>
    </dataValidation>
    <dataValidation type="list" allowBlank="1" showInputMessage="1" showErrorMessage="1" sqref="K12:L12" xr:uid="{00000000-0002-0000-0500-000003000000}">
      <formula1>Dia_ID</formula1>
    </dataValidation>
  </dataValidations>
  <printOptions horizontalCentered="1"/>
  <pageMargins left="0" right="0" top="0.25" bottom="0" header="0" footer="0"/>
  <pageSetup paperSize="5" scale="86" orientation="portrait" blackAndWhite="1" r:id="rId1"/>
  <headerFooter alignWithMargins="0"/>
  <rowBreaks count="1" manualBreakCount="1">
    <brk id="87" min="1" max="11" man="1"/>
  </rowBreaks>
  <drawing r:id="rId2"/>
  <legacyDrawing r:id="rId3"/>
  <controls>
    <mc:AlternateContent xmlns:mc="http://schemas.openxmlformats.org/markup-compatibility/2006">
      <mc:Choice Requires="x14">
        <control shapeId="4248" r:id="rId4" name="cmdNew">
          <controlPr defaultSize="0" print="0" autoLine="0" r:id="rId5">
            <anchor>
              <from>
                <xdr:col>9</xdr:col>
                <xdr:colOff>368300</xdr:colOff>
                <xdr:row>0</xdr:row>
                <xdr:rowOff>50800</xdr:rowOff>
              </from>
              <to>
                <xdr:col>10</xdr:col>
                <xdr:colOff>444500</xdr:colOff>
                <xdr:row>0</xdr:row>
                <xdr:rowOff>330200</xdr:rowOff>
              </to>
            </anchor>
          </controlPr>
        </control>
      </mc:Choice>
      <mc:Fallback>
        <control shapeId="4248" r:id="rId4" name="cmdNew"/>
      </mc:Fallback>
    </mc:AlternateContent>
    <mc:AlternateContent xmlns:mc="http://schemas.openxmlformats.org/markup-compatibility/2006">
      <mc:Choice Requires="x14">
        <control shapeId="4265" r:id="rId6" name="cmdNext">
          <controlPr defaultSize="0" print="0" autoLine="0" r:id="rId7">
            <anchor>
              <from>
                <xdr:col>2</xdr:col>
                <xdr:colOff>152400</xdr:colOff>
                <xdr:row>0</xdr:row>
                <xdr:rowOff>50800</xdr:rowOff>
              </from>
              <to>
                <xdr:col>3</xdr:col>
                <xdr:colOff>273050</xdr:colOff>
                <xdr:row>0</xdr:row>
                <xdr:rowOff>330200</xdr:rowOff>
              </to>
            </anchor>
          </controlPr>
        </control>
      </mc:Choice>
      <mc:Fallback>
        <control shapeId="4265" r:id="rId6" name="cmdNext"/>
      </mc:Fallback>
    </mc:AlternateContent>
    <mc:AlternateContent xmlns:mc="http://schemas.openxmlformats.org/markup-compatibility/2006">
      <mc:Choice Requires="x14">
        <control shapeId="4266" r:id="rId8" name="cmdPrev">
          <controlPr defaultSize="0" print="0" autoLine="0" r:id="rId9">
            <anchor>
              <from>
                <xdr:col>1</xdr:col>
                <xdr:colOff>19050</xdr:colOff>
                <xdr:row>0</xdr:row>
                <xdr:rowOff>50800</xdr:rowOff>
              </from>
              <to>
                <xdr:col>2</xdr:col>
                <xdr:colOff>95250</xdr:colOff>
                <xdr:row>0</xdr:row>
                <xdr:rowOff>330200</xdr:rowOff>
              </to>
            </anchor>
          </controlPr>
        </control>
      </mc:Choice>
      <mc:Fallback>
        <control shapeId="4266" r:id="rId8" name="cmdPrev"/>
      </mc:Fallback>
    </mc:AlternateContent>
    <mc:AlternateContent xmlns:mc="http://schemas.openxmlformats.org/markup-compatibility/2006">
      <mc:Choice Requires="x14">
        <control shapeId="4275" r:id="rId10" name="cmdDel">
          <controlPr defaultSize="0" print="0" autoLine="0" r:id="rId11">
            <anchor>
              <from>
                <xdr:col>10</xdr:col>
                <xdr:colOff>488950</xdr:colOff>
                <xdr:row>0</xdr:row>
                <xdr:rowOff>50800</xdr:rowOff>
              </from>
              <to>
                <xdr:col>11</xdr:col>
                <xdr:colOff>590550</xdr:colOff>
                <xdr:row>0</xdr:row>
                <xdr:rowOff>330200</xdr:rowOff>
              </to>
            </anchor>
          </controlPr>
        </control>
      </mc:Choice>
      <mc:Fallback>
        <control shapeId="4275" r:id="rId10" name="cmdDel"/>
      </mc:Fallback>
    </mc:AlternateContent>
    <mc:AlternateContent xmlns:mc="http://schemas.openxmlformats.org/markup-compatibility/2006">
      <mc:Choice Requires="x14">
        <control shapeId="4276" r:id="rId12" name="CmdSave">
          <controlPr defaultSize="0" print="0" autoLine="0" r:id="rId13">
            <anchor>
              <from>
                <xdr:col>3</xdr:col>
                <xdr:colOff>311150</xdr:colOff>
                <xdr:row>0</xdr:row>
                <xdr:rowOff>50800</xdr:rowOff>
              </from>
              <to>
                <xdr:col>4</xdr:col>
                <xdr:colOff>304800</xdr:colOff>
                <xdr:row>0</xdr:row>
                <xdr:rowOff>330200</xdr:rowOff>
              </to>
            </anchor>
          </controlPr>
        </control>
      </mc:Choice>
      <mc:Fallback>
        <control shapeId="4276" r:id="rId12" name="CmdSav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IU161"/>
  <sheetViews>
    <sheetView showGridLines="0" showRowColHeaders="0" view="pageBreakPreview" topLeftCell="B1" zoomScaleNormal="100" zoomScaleSheetLayoutView="100" workbookViewId="0">
      <selection activeCell="B1" sqref="B1:AK1"/>
    </sheetView>
  </sheetViews>
  <sheetFormatPr defaultColWidth="0" defaultRowHeight="12.75" customHeight="1" zeroHeight="1"/>
  <cols>
    <col min="1" max="1" width="9.1796875" style="2" hidden="1" customWidth="1"/>
    <col min="2" max="2" width="3.1796875" style="3" customWidth="1"/>
    <col min="3" max="3" width="13" style="3" customWidth="1"/>
    <col min="4" max="4" width="10" style="3" customWidth="1"/>
    <col min="5" max="5" width="10.1796875" style="3" customWidth="1"/>
    <col min="6" max="36" width="5.81640625" style="3" customWidth="1"/>
    <col min="37" max="37" width="11.81640625" style="3" customWidth="1"/>
    <col min="38" max="38" width="2.6328125" style="3" customWidth="1"/>
    <col min="39" max="39" width="8.6328125" style="3" hidden="1" customWidth="1"/>
    <col min="40" max="40" width="9.1796875" style="3" hidden="1" customWidth="1"/>
    <col min="41" max="77" width="7.81640625" style="3" hidden="1" customWidth="1"/>
    <col min="78" max="255" width="9.1796875" style="3" hidden="1" customWidth="1"/>
    <col min="256" max="16384" width="1.1796875" style="3" hidden="1"/>
  </cols>
  <sheetData>
    <row r="1" spans="1:40" ht="12.5">
      <c r="B1" s="348" t="s">
        <v>135</v>
      </c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  <c r="O1" s="348"/>
      <c r="P1" s="348"/>
      <c r="Q1" s="348"/>
      <c r="R1" s="348"/>
      <c r="S1" s="348"/>
      <c r="T1" s="348"/>
      <c r="U1" s="348"/>
      <c r="V1" s="348"/>
      <c r="W1" s="348"/>
      <c r="X1" s="348"/>
      <c r="Y1" s="348"/>
      <c r="Z1" s="348"/>
      <c r="AA1" s="348"/>
      <c r="AB1" s="348"/>
      <c r="AC1" s="348"/>
      <c r="AD1" s="348"/>
      <c r="AE1" s="348"/>
      <c r="AF1" s="348"/>
      <c r="AG1" s="348"/>
      <c r="AH1" s="348"/>
      <c r="AI1" s="348"/>
      <c r="AJ1" s="348"/>
      <c r="AK1" s="348"/>
      <c r="AM1" s="2" t="s">
        <v>229</v>
      </c>
      <c r="AN1" s="2" t="str">
        <f>'Resumen FA (Mensual)'!Z1</f>
        <v>Año00</v>
      </c>
    </row>
    <row r="2" spans="1:40" ht="12.5">
      <c r="B2" s="348" t="s">
        <v>2</v>
      </c>
      <c r="C2" s="348"/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  <c r="S2" s="348"/>
      <c r="T2" s="348"/>
      <c r="U2" s="348"/>
      <c r="V2" s="348"/>
      <c r="W2" s="348"/>
      <c r="X2" s="348"/>
      <c r="Y2" s="348"/>
      <c r="Z2" s="348"/>
      <c r="AA2" s="348"/>
      <c r="AB2" s="348"/>
      <c r="AC2" s="348"/>
      <c r="AD2" s="348"/>
      <c r="AE2" s="348"/>
      <c r="AF2" s="348"/>
      <c r="AG2" s="348"/>
      <c r="AH2" s="348"/>
      <c r="AI2" s="348"/>
      <c r="AJ2" s="348"/>
      <c r="AK2" s="348"/>
      <c r="AM2" s="2"/>
      <c r="AN2" s="2"/>
    </row>
    <row r="3" spans="1:40" ht="12.5">
      <c r="B3" s="348" t="s">
        <v>136</v>
      </c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  <c r="S3" s="348"/>
      <c r="T3" s="348"/>
      <c r="U3" s="348"/>
      <c r="V3" s="348"/>
      <c r="W3" s="348"/>
      <c r="X3" s="348"/>
      <c r="Y3" s="348"/>
      <c r="Z3" s="348"/>
      <c r="AA3" s="348"/>
      <c r="AB3" s="348"/>
      <c r="AC3" s="348"/>
      <c r="AD3" s="348"/>
      <c r="AE3" s="348"/>
      <c r="AF3" s="348"/>
      <c r="AG3" s="348"/>
      <c r="AH3" s="4"/>
      <c r="AI3" s="4" t="s">
        <v>137</v>
      </c>
      <c r="AJ3" s="5"/>
      <c r="AK3" s="2"/>
      <c r="AM3" s="2"/>
      <c r="AN3" s="2"/>
    </row>
    <row r="4" spans="1:40" ht="12.5">
      <c r="B4" s="6"/>
      <c r="C4" s="6"/>
      <c r="D4" s="6"/>
      <c r="E4" s="6"/>
      <c r="V4" s="4"/>
      <c r="W4" s="4"/>
      <c r="X4" s="4"/>
      <c r="Y4" s="4"/>
      <c r="Z4" s="4"/>
      <c r="AC4" s="4"/>
      <c r="AD4" s="4"/>
      <c r="AE4" s="4"/>
      <c r="AF4" s="4"/>
      <c r="AG4" s="4"/>
      <c r="AH4" s="4"/>
      <c r="AI4" s="4" t="s">
        <v>138</v>
      </c>
      <c r="AJ4" s="5"/>
    </row>
    <row r="5" spans="1:40" ht="15.5">
      <c r="B5" s="328" t="s">
        <v>139</v>
      </c>
      <c r="C5" s="328"/>
      <c r="D5" s="328"/>
      <c r="E5" s="328"/>
      <c r="F5" s="328"/>
      <c r="G5" s="328"/>
      <c r="H5" s="328"/>
      <c r="I5" s="328"/>
      <c r="J5" s="328"/>
      <c r="K5" s="328"/>
      <c r="L5" s="328"/>
      <c r="M5" s="328"/>
      <c r="N5" s="328"/>
      <c r="O5" s="328"/>
      <c r="P5" s="328"/>
      <c r="Q5" s="328"/>
      <c r="R5" s="328"/>
      <c r="S5" s="328"/>
      <c r="T5" s="328"/>
      <c r="U5" s="328"/>
      <c r="V5" s="328"/>
      <c r="W5" s="328"/>
      <c r="X5" s="328"/>
      <c r="Y5" s="328"/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  <c r="AK5" s="328"/>
    </row>
    <row r="6" spans="1:40" ht="13">
      <c r="B6" s="2"/>
      <c r="C6" s="2"/>
      <c r="D6" s="2"/>
      <c r="E6" s="2"/>
      <c r="K6" s="629" t="s">
        <v>244</v>
      </c>
      <c r="L6" s="629"/>
      <c r="M6" s="629"/>
      <c r="N6" s="629"/>
      <c r="O6" s="350">
        <f>'Información Force Account'!$B$7</f>
        <v>0</v>
      </c>
      <c r="P6" s="350"/>
      <c r="Q6" s="629" t="s">
        <v>245</v>
      </c>
      <c r="R6" s="629"/>
      <c r="S6" s="629"/>
      <c r="T6" s="350">
        <f>'Información Force Account'!$B$8</f>
        <v>0</v>
      </c>
      <c r="U6" s="350"/>
      <c r="V6" s="629" t="s">
        <v>246</v>
      </c>
      <c r="W6" s="629"/>
      <c r="X6" s="629"/>
      <c r="Y6" s="350">
        <f>'Información Force Account'!$B$9</f>
        <v>0</v>
      </c>
      <c r="Z6" s="350"/>
      <c r="AF6" s="2"/>
      <c r="AG6" s="2"/>
      <c r="AH6" s="2"/>
      <c r="AI6" s="2"/>
      <c r="AJ6" s="2"/>
      <c r="AK6" s="2"/>
    </row>
    <row r="7" spans="1:40" ht="13">
      <c r="B7" s="3" t="s">
        <v>140</v>
      </c>
      <c r="E7" s="676" t="str">
        <f>'Información Force Account'!$B$2 &amp; "  (" &amp;'Información Force Account'!$B$1 &amp;")"</f>
        <v xml:space="preserve">  ()</v>
      </c>
      <c r="F7" s="676"/>
      <c r="G7" s="676"/>
      <c r="H7" s="676"/>
      <c r="I7" s="676"/>
      <c r="J7" s="676"/>
      <c r="K7" s="677"/>
      <c r="L7" s="677"/>
      <c r="M7" s="677"/>
      <c r="N7" s="677"/>
      <c r="O7" s="677"/>
      <c r="P7" s="677"/>
      <c r="Q7" s="678"/>
      <c r="R7" s="678"/>
      <c r="S7" s="678"/>
      <c r="T7" s="678"/>
      <c r="U7" s="678"/>
      <c r="V7" s="678"/>
      <c r="W7" s="678"/>
      <c r="X7" s="678"/>
      <c r="AA7" s="6"/>
      <c r="AB7" s="6"/>
      <c r="AC7" s="6"/>
      <c r="AD7" s="4" t="s">
        <v>90</v>
      </c>
      <c r="AE7" s="350">
        <f>'Información Force Account'!$B$4</f>
        <v>0</v>
      </c>
      <c r="AF7" s="350"/>
      <c r="AG7" s="350"/>
      <c r="AH7" s="350"/>
      <c r="AI7" s="350"/>
      <c r="AJ7" s="350"/>
      <c r="AK7" s="6"/>
    </row>
    <row r="8" spans="1:40" ht="13">
      <c r="B8" s="3" t="s">
        <v>141</v>
      </c>
      <c r="D8" s="7"/>
      <c r="E8" s="674" t="e">
        <f>DATE('Resumen FA (Mensual)'!Q10,'Resumen FA (Mensual)'!U1,1)</f>
        <v>#VALUE!</v>
      </c>
      <c r="F8" s="674"/>
      <c r="G8" s="674"/>
      <c r="H8" s="674"/>
      <c r="I8" s="674"/>
      <c r="J8" s="674"/>
      <c r="T8" s="6"/>
      <c r="U8" s="6"/>
      <c r="V8" s="6"/>
      <c r="W8" s="6"/>
      <c r="X8" s="6"/>
      <c r="Y8" s="6"/>
      <c r="Z8" s="6"/>
      <c r="AA8" s="6"/>
      <c r="AB8" s="6"/>
      <c r="AC8" s="6"/>
      <c r="AD8" s="4" t="s">
        <v>142</v>
      </c>
      <c r="AE8" s="675">
        <f>'Información Force Account'!$B$3</f>
        <v>0</v>
      </c>
      <c r="AF8" s="675"/>
      <c r="AG8" s="675"/>
      <c r="AH8" s="675"/>
      <c r="AI8" s="675"/>
      <c r="AJ8" s="675"/>
      <c r="AK8" s="6"/>
    </row>
    <row r="9" spans="1:40" ht="14">
      <c r="B9" s="672" t="s">
        <v>143</v>
      </c>
      <c r="C9" s="672"/>
      <c r="D9" s="672"/>
      <c r="E9" s="672"/>
      <c r="F9" s="672"/>
      <c r="G9" s="672"/>
      <c r="H9" s="672"/>
      <c r="I9" s="672"/>
      <c r="J9" s="672"/>
      <c r="K9" s="672"/>
      <c r="L9" s="672"/>
      <c r="M9" s="672"/>
      <c r="N9" s="672"/>
      <c r="O9" s="672"/>
      <c r="P9" s="672"/>
      <c r="Q9" s="672"/>
      <c r="R9" s="672"/>
      <c r="S9" s="672"/>
      <c r="T9" s="672"/>
      <c r="U9" s="672"/>
      <c r="V9" s="672"/>
      <c r="W9" s="672"/>
      <c r="X9" s="672"/>
      <c r="Y9" s="672"/>
      <c r="Z9" s="672"/>
      <c r="AA9" s="672"/>
      <c r="AB9" s="672"/>
      <c r="AC9" s="672"/>
      <c r="AD9" s="672"/>
      <c r="AE9" s="672"/>
      <c r="AF9" s="672"/>
      <c r="AG9" s="672"/>
      <c r="AH9" s="672"/>
      <c r="AI9" s="672"/>
      <c r="AJ9" s="672"/>
      <c r="AK9" s="672"/>
    </row>
    <row r="10" spans="1:40" ht="12.5">
      <c r="B10" s="8" t="s">
        <v>144</v>
      </c>
      <c r="C10" s="644" t="s">
        <v>145</v>
      </c>
      <c r="D10" s="659"/>
      <c r="E10" s="367"/>
      <c r="F10" s="8" t="str">
        <f>'Resumen FA (Mensual)'!$A$17</f>
        <v/>
      </c>
      <c r="G10" s="8" t="str">
        <f>'Resumen FA (Mensual)'!$A$18</f>
        <v/>
      </c>
      <c r="H10" s="8" t="str">
        <f>'Resumen FA (Mensual)'!$A$19</f>
        <v/>
      </c>
      <c r="I10" s="8" t="str">
        <f>'Resumen FA (Mensual)'!$A$20</f>
        <v/>
      </c>
      <c r="J10" s="8" t="str">
        <f>'Resumen FA (Mensual)'!$A$21</f>
        <v/>
      </c>
      <c r="K10" s="8" t="str">
        <f>'Resumen FA (Mensual)'!$A$22</f>
        <v/>
      </c>
      <c r="L10" s="8" t="str">
        <f>'Resumen FA (Mensual)'!$A$23</f>
        <v/>
      </c>
      <c r="M10" s="8" t="str">
        <f>'Resumen FA (Mensual)'!$A$24</f>
        <v/>
      </c>
      <c r="N10" s="8" t="str">
        <f>'Resumen FA (Mensual)'!$A$25</f>
        <v/>
      </c>
      <c r="O10" s="8" t="str">
        <f>'Resumen FA (Mensual)'!$A$26</f>
        <v/>
      </c>
      <c r="P10" s="8" t="str">
        <f>'Resumen FA (Mensual)'!$G$17</f>
        <v/>
      </c>
      <c r="Q10" s="8" t="str">
        <f>'Resumen FA (Mensual)'!$G$18</f>
        <v/>
      </c>
      <c r="R10" s="8" t="str">
        <f>'Resumen FA (Mensual)'!$G$19</f>
        <v/>
      </c>
      <c r="S10" s="8" t="str">
        <f>'Resumen FA (Mensual)'!$G$20</f>
        <v/>
      </c>
      <c r="T10" s="8" t="str">
        <f>'Resumen FA (Mensual)'!$G$21</f>
        <v/>
      </c>
      <c r="U10" s="8" t="str">
        <f>'Resumen FA (Mensual)'!$G$22</f>
        <v/>
      </c>
      <c r="V10" s="8" t="str">
        <f>'Resumen FA (Mensual)'!$G$23</f>
        <v/>
      </c>
      <c r="W10" s="8" t="str">
        <f>'Resumen FA (Mensual)'!$G$24</f>
        <v/>
      </c>
      <c r="X10" s="8" t="str">
        <f>'Resumen FA (Mensual)'!$G$25</f>
        <v/>
      </c>
      <c r="Y10" s="8" t="str">
        <f>'Resumen FA (Mensual)'!$G$26</f>
        <v/>
      </c>
      <c r="Z10" s="8" t="str">
        <f>'Resumen FA (Mensual)'!$M$17</f>
        <v/>
      </c>
      <c r="AA10" s="8" t="str">
        <f>'Resumen FA (Mensual)'!$M$18</f>
        <v/>
      </c>
      <c r="AB10" s="8" t="str">
        <f>'Resumen FA (Mensual)'!$M$19</f>
        <v/>
      </c>
      <c r="AC10" s="8" t="str">
        <f>'Resumen FA (Mensual)'!$M$20</f>
        <v/>
      </c>
      <c r="AD10" s="8" t="str">
        <f>'Resumen FA (Mensual)'!$M$21</f>
        <v/>
      </c>
      <c r="AE10" s="8" t="str">
        <f>'Resumen FA (Mensual)'!$M$22</f>
        <v/>
      </c>
      <c r="AF10" s="8" t="str">
        <f>'Resumen FA (Mensual)'!$M$23</f>
        <v/>
      </c>
      <c r="AG10" s="8" t="str">
        <f>'Resumen FA (Mensual)'!$M$24</f>
        <v/>
      </c>
      <c r="AH10" s="8" t="str">
        <f>'Resumen FA (Mensual)'!$M$25</f>
        <v/>
      </c>
      <c r="AI10" s="8" t="str">
        <f>'Resumen FA (Mensual)'!$M$26</f>
        <v/>
      </c>
      <c r="AJ10" s="8" t="str">
        <f>'Resumen FA (Mensual)'!$M$26</f>
        <v/>
      </c>
      <c r="AK10" s="8" t="s">
        <v>146</v>
      </c>
    </row>
    <row r="11" spans="1:40" ht="12.5">
      <c r="B11" s="10"/>
      <c r="C11" s="644" t="s">
        <v>147</v>
      </c>
      <c r="D11" s="659"/>
      <c r="E11" s="367"/>
      <c r="F11" s="10">
        <v>1</v>
      </c>
      <c r="G11" s="10">
        <v>2</v>
      </c>
      <c r="H11" s="10">
        <v>3</v>
      </c>
      <c r="I11" s="10">
        <v>4</v>
      </c>
      <c r="J11" s="10">
        <v>5</v>
      </c>
      <c r="K11" s="10">
        <v>6</v>
      </c>
      <c r="L11" s="11">
        <v>7</v>
      </c>
      <c r="M11" s="10">
        <v>8</v>
      </c>
      <c r="N11" s="10">
        <v>9</v>
      </c>
      <c r="O11" s="10">
        <v>10</v>
      </c>
      <c r="P11" s="10">
        <v>11</v>
      </c>
      <c r="Q11" s="10">
        <v>12</v>
      </c>
      <c r="R11" s="10">
        <v>13</v>
      </c>
      <c r="S11" s="10">
        <v>14</v>
      </c>
      <c r="T11" s="10">
        <v>15</v>
      </c>
      <c r="U11" s="10">
        <v>16</v>
      </c>
      <c r="V11" s="10">
        <v>17</v>
      </c>
      <c r="W11" s="10">
        <v>18</v>
      </c>
      <c r="X11" s="10">
        <v>19</v>
      </c>
      <c r="Y11" s="10">
        <v>20</v>
      </c>
      <c r="Z11" s="10">
        <v>21</v>
      </c>
      <c r="AA11" s="10">
        <v>22</v>
      </c>
      <c r="AB11" s="10">
        <v>23</v>
      </c>
      <c r="AC11" s="10">
        <v>24</v>
      </c>
      <c r="AD11" s="10">
        <v>25</v>
      </c>
      <c r="AE11" s="10">
        <v>26</v>
      </c>
      <c r="AF11" s="10">
        <v>27</v>
      </c>
      <c r="AG11" s="10">
        <v>28</v>
      </c>
      <c r="AH11" s="10" t="str">
        <f>IF(AH10&lt;&gt;"",29,"")</f>
        <v/>
      </c>
      <c r="AI11" s="10" t="str">
        <f>IF(AI10&lt;&gt;"",30,"")</f>
        <v/>
      </c>
      <c r="AJ11" s="10" t="str">
        <f>IF(AJ10&lt;&gt;"",31,"")</f>
        <v/>
      </c>
      <c r="AK11" s="10" t="s">
        <v>148</v>
      </c>
    </row>
    <row r="12" spans="1:40" ht="12.5">
      <c r="A12" s="663"/>
      <c r="B12" s="673">
        <v>1</v>
      </c>
      <c r="C12" s="664" t="str">
        <f>IF(ISBLANK(DBPCFA!AP1),"",DBPCFA!AP1)</f>
        <v/>
      </c>
      <c r="D12" s="665"/>
      <c r="E12" s="666"/>
      <c r="F12" s="12">
        <f t="shared" ref="F12:AJ12" si="0">SUMIFS(EQ_HAct,Desc_EQ,$C12,Fecha_Inf_EQ,VALUE($AN$1&amp;TEXT(F$11,"00")))</f>
        <v>0</v>
      </c>
      <c r="G12" s="12">
        <f t="shared" si="0"/>
        <v>0</v>
      </c>
      <c r="H12" s="12">
        <f t="shared" si="0"/>
        <v>0</v>
      </c>
      <c r="I12" s="12">
        <f t="shared" si="0"/>
        <v>0</v>
      </c>
      <c r="J12" s="12">
        <f t="shared" si="0"/>
        <v>0</v>
      </c>
      <c r="K12" s="12">
        <f t="shared" si="0"/>
        <v>0</v>
      </c>
      <c r="L12" s="12">
        <f t="shared" si="0"/>
        <v>0</v>
      </c>
      <c r="M12" s="12">
        <f t="shared" si="0"/>
        <v>0</v>
      </c>
      <c r="N12" s="12">
        <f t="shared" si="0"/>
        <v>0</v>
      </c>
      <c r="O12" s="12">
        <f t="shared" si="0"/>
        <v>0</v>
      </c>
      <c r="P12" s="12">
        <f t="shared" si="0"/>
        <v>0</v>
      </c>
      <c r="Q12" s="12">
        <f t="shared" si="0"/>
        <v>0</v>
      </c>
      <c r="R12" s="12">
        <f t="shared" si="0"/>
        <v>0</v>
      </c>
      <c r="S12" s="12">
        <f t="shared" si="0"/>
        <v>0</v>
      </c>
      <c r="T12" s="12">
        <f t="shared" si="0"/>
        <v>0</v>
      </c>
      <c r="U12" s="12">
        <f t="shared" si="0"/>
        <v>0</v>
      </c>
      <c r="V12" s="12">
        <f t="shared" si="0"/>
        <v>0</v>
      </c>
      <c r="W12" s="12">
        <f t="shared" si="0"/>
        <v>0</v>
      </c>
      <c r="X12" s="12">
        <f t="shared" si="0"/>
        <v>0</v>
      </c>
      <c r="Y12" s="12">
        <f t="shared" si="0"/>
        <v>0</v>
      </c>
      <c r="Z12" s="12">
        <f t="shared" si="0"/>
        <v>0</v>
      </c>
      <c r="AA12" s="12">
        <f t="shared" si="0"/>
        <v>0</v>
      </c>
      <c r="AB12" s="12">
        <f t="shared" si="0"/>
        <v>0</v>
      </c>
      <c r="AC12" s="12">
        <f t="shared" si="0"/>
        <v>0</v>
      </c>
      <c r="AD12" s="12">
        <f t="shared" si="0"/>
        <v>0</v>
      </c>
      <c r="AE12" s="12">
        <f t="shared" si="0"/>
        <v>0</v>
      </c>
      <c r="AF12" s="12">
        <f t="shared" si="0"/>
        <v>0</v>
      </c>
      <c r="AG12" s="12">
        <f t="shared" si="0"/>
        <v>0</v>
      </c>
      <c r="AH12" s="12">
        <f t="shared" si="0"/>
        <v>0</v>
      </c>
      <c r="AI12" s="12">
        <f t="shared" si="0"/>
        <v>0</v>
      </c>
      <c r="AJ12" s="12">
        <f t="shared" si="0"/>
        <v>0</v>
      </c>
      <c r="AK12" s="13">
        <f>SUM(F12:AJ12)</f>
        <v>0</v>
      </c>
    </row>
    <row r="13" spans="1:40" ht="12.5">
      <c r="A13" s="663"/>
      <c r="B13" s="671"/>
      <c r="C13" s="667"/>
      <c r="D13" s="668"/>
      <c r="E13" s="669"/>
      <c r="F13" s="15">
        <f t="shared" ref="F13:AJ13" si="1">SUMIFS(EQ_HInac,Desc_EQ,$C12,Fecha_Inf_EQ,VALUE($AN$1&amp;TEXT(F$11,"00")))</f>
        <v>0</v>
      </c>
      <c r="G13" s="15">
        <f t="shared" si="1"/>
        <v>0</v>
      </c>
      <c r="H13" s="15">
        <f t="shared" si="1"/>
        <v>0</v>
      </c>
      <c r="I13" s="15">
        <f t="shared" si="1"/>
        <v>0</v>
      </c>
      <c r="J13" s="15">
        <f t="shared" si="1"/>
        <v>0</v>
      </c>
      <c r="K13" s="15">
        <f t="shared" si="1"/>
        <v>0</v>
      </c>
      <c r="L13" s="15">
        <f t="shared" si="1"/>
        <v>0</v>
      </c>
      <c r="M13" s="15">
        <f t="shared" si="1"/>
        <v>0</v>
      </c>
      <c r="N13" s="15">
        <f t="shared" si="1"/>
        <v>0</v>
      </c>
      <c r="O13" s="15">
        <f t="shared" si="1"/>
        <v>0</v>
      </c>
      <c r="P13" s="15">
        <f t="shared" si="1"/>
        <v>0</v>
      </c>
      <c r="Q13" s="15">
        <f t="shared" si="1"/>
        <v>0</v>
      </c>
      <c r="R13" s="15">
        <f t="shared" si="1"/>
        <v>0</v>
      </c>
      <c r="S13" s="15">
        <f t="shared" si="1"/>
        <v>0</v>
      </c>
      <c r="T13" s="15">
        <f t="shared" si="1"/>
        <v>0</v>
      </c>
      <c r="U13" s="15">
        <f t="shared" si="1"/>
        <v>0</v>
      </c>
      <c r="V13" s="15">
        <f t="shared" si="1"/>
        <v>0</v>
      </c>
      <c r="W13" s="15">
        <f t="shared" si="1"/>
        <v>0</v>
      </c>
      <c r="X13" s="15">
        <f t="shared" si="1"/>
        <v>0</v>
      </c>
      <c r="Y13" s="15">
        <f t="shared" si="1"/>
        <v>0</v>
      </c>
      <c r="Z13" s="15">
        <f t="shared" si="1"/>
        <v>0</v>
      </c>
      <c r="AA13" s="15">
        <f t="shared" si="1"/>
        <v>0</v>
      </c>
      <c r="AB13" s="15">
        <f t="shared" si="1"/>
        <v>0</v>
      </c>
      <c r="AC13" s="15">
        <f t="shared" si="1"/>
        <v>0</v>
      </c>
      <c r="AD13" s="15">
        <f t="shared" si="1"/>
        <v>0</v>
      </c>
      <c r="AE13" s="15">
        <f t="shared" si="1"/>
        <v>0</v>
      </c>
      <c r="AF13" s="15">
        <f t="shared" si="1"/>
        <v>0</v>
      </c>
      <c r="AG13" s="15">
        <f t="shared" si="1"/>
        <v>0</v>
      </c>
      <c r="AH13" s="15">
        <f t="shared" si="1"/>
        <v>0</v>
      </c>
      <c r="AI13" s="15">
        <f t="shared" si="1"/>
        <v>0</v>
      </c>
      <c r="AJ13" s="15">
        <f t="shared" si="1"/>
        <v>0</v>
      </c>
      <c r="AK13" s="16">
        <f>SUM(F13:AJ13)</f>
        <v>0</v>
      </c>
      <c r="AM13" s="14" t="str">
        <f>IFERROR(VLOOKUP(C13,EQ_Cont,9,FALSE),"")</f>
        <v/>
      </c>
    </row>
    <row r="14" spans="1:40" ht="12.5">
      <c r="A14" s="663"/>
      <c r="B14" s="670">
        <v>2</v>
      </c>
      <c r="C14" s="679" t="str">
        <f>IF(ISBLANK(DBPCFA!AP2),"",DBPCFA!AP2)</f>
        <v/>
      </c>
      <c r="D14" s="665"/>
      <c r="E14" s="666"/>
      <c r="F14" s="12">
        <f t="shared" ref="F14:AJ14" si="2">SUMIFS(EQ_HAct,Desc_EQ,$C14,Fecha_Inf_EQ,VALUE($AN$1&amp;TEXT(F$11,"00")))</f>
        <v>0</v>
      </c>
      <c r="G14" s="12">
        <f t="shared" si="2"/>
        <v>0</v>
      </c>
      <c r="H14" s="12">
        <f t="shared" si="2"/>
        <v>0</v>
      </c>
      <c r="I14" s="12">
        <f t="shared" si="2"/>
        <v>0</v>
      </c>
      <c r="J14" s="12">
        <f t="shared" si="2"/>
        <v>0</v>
      </c>
      <c r="K14" s="12">
        <f t="shared" si="2"/>
        <v>0</v>
      </c>
      <c r="L14" s="12">
        <f t="shared" si="2"/>
        <v>0</v>
      </c>
      <c r="M14" s="12">
        <f t="shared" si="2"/>
        <v>0</v>
      </c>
      <c r="N14" s="12">
        <f t="shared" si="2"/>
        <v>0</v>
      </c>
      <c r="O14" s="12">
        <f t="shared" si="2"/>
        <v>0</v>
      </c>
      <c r="P14" s="12">
        <f t="shared" si="2"/>
        <v>0</v>
      </c>
      <c r="Q14" s="12">
        <f t="shared" si="2"/>
        <v>0</v>
      </c>
      <c r="R14" s="12">
        <f t="shared" si="2"/>
        <v>0</v>
      </c>
      <c r="S14" s="12">
        <f t="shared" si="2"/>
        <v>0</v>
      </c>
      <c r="T14" s="12">
        <f t="shared" si="2"/>
        <v>0</v>
      </c>
      <c r="U14" s="12">
        <f t="shared" si="2"/>
        <v>0</v>
      </c>
      <c r="V14" s="12">
        <f t="shared" si="2"/>
        <v>0</v>
      </c>
      <c r="W14" s="12">
        <f t="shared" si="2"/>
        <v>0</v>
      </c>
      <c r="X14" s="12">
        <f t="shared" si="2"/>
        <v>0</v>
      </c>
      <c r="Y14" s="12">
        <f t="shared" si="2"/>
        <v>0</v>
      </c>
      <c r="Z14" s="12">
        <f t="shared" si="2"/>
        <v>0</v>
      </c>
      <c r="AA14" s="12">
        <f t="shared" si="2"/>
        <v>0</v>
      </c>
      <c r="AB14" s="12">
        <f t="shared" si="2"/>
        <v>0</v>
      </c>
      <c r="AC14" s="12">
        <f t="shared" si="2"/>
        <v>0</v>
      </c>
      <c r="AD14" s="12">
        <f t="shared" si="2"/>
        <v>0</v>
      </c>
      <c r="AE14" s="12">
        <f t="shared" si="2"/>
        <v>0</v>
      </c>
      <c r="AF14" s="12">
        <f t="shared" si="2"/>
        <v>0</v>
      </c>
      <c r="AG14" s="12">
        <f t="shared" si="2"/>
        <v>0</v>
      </c>
      <c r="AH14" s="12">
        <f t="shared" si="2"/>
        <v>0</v>
      </c>
      <c r="AI14" s="12">
        <f t="shared" si="2"/>
        <v>0</v>
      </c>
      <c r="AJ14" s="12">
        <f t="shared" si="2"/>
        <v>0</v>
      </c>
      <c r="AK14" s="13">
        <f t="shared" ref="AK14:AK31" si="3">SUM(F14:AJ14)</f>
        <v>0</v>
      </c>
    </row>
    <row r="15" spans="1:40" ht="12.5">
      <c r="A15" s="663"/>
      <c r="B15" s="671"/>
      <c r="C15" s="667"/>
      <c r="D15" s="668"/>
      <c r="E15" s="669"/>
      <c r="F15" s="15">
        <f t="shared" ref="F15:AJ15" si="4">SUMIFS(EQ_HInac,Desc_EQ,$C14,Fecha_Inf_EQ,VALUE($AN$1&amp;TEXT(F$11,"00")))</f>
        <v>0</v>
      </c>
      <c r="G15" s="15">
        <f t="shared" si="4"/>
        <v>0</v>
      </c>
      <c r="H15" s="15">
        <f t="shared" si="4"/>
        <v>0</v>
      </c>
      <c r="I15" s="15">
        <f t="shared" si="4"/>
        <v>0</v>
      </c>
      <c r="J15" s="15">
        <f t="shared" si="4"/>
        <v>0</v>
      </c>
      <c r="K15" s="15">
        <f t="shared" si="4"/>
        <v>0</v>
      </c>
      <c r="L15" s="15">
        <f t="shared" si="4"/>
        <v>0</v>
      </c>
      <c r="M15" s="15">
        <f t="shared" si="4"/>
        <v>0</v>
      </c>
      <c r="N15" s="15">
        <f t="shared" si="4"/>
        <v>0</v>
      </c>
      <c r="O15" s="15">
        <f t="shared" si="4"/>
        <v>0</v>
      </c>
      <c r="P15" s="15">
        <f t="shared" si="4"/>
        <v>0</v>
      </c>
      <c r="Q15" s="15">
        <f t="shared" si="4"/>
        <v>0</v>
      </c>
      <c r="R15" s="15">
        <f t="shared" si="4"/>
        <v>0</v>
      </c>
      <c r="S15" s="15">
        <f t="shared" si="4"/>
        <v>0</v>
      </c>
      <c r="T15" s="15">
        <f t="shared" si="4"/>
        <v>0</v>
      </c>
      <c r="U15" s="15">
        <f t="shared" si="4"/>
        <v>0</v>
      </c>
      <c r="V15" s="15">
        <f t="shared" si="4"/>
        <v>0</v>
      </c>
      <c r="W15" s="15">
        <f t="shared" si="4"/>
        <v>0</v>
      </c>
      <c r="X15" s="15">
        <f t="shared" si="4"/>
        <v>0</v>
      </c>
      <c r="Y15" s="15">
        <f t="shared" si="4"/>
        <v>0</v>
      </c>
      <c r="Z15" s="15">
        <f t="shared" si="4"/>
        <v>0</v>
      </c>
      <c r="AA15" s="15">
        <f t="shared" si="4"/>
        <v>0</v>
      </c>
      <c r="AB15" s="15">
        <f t="shared" si="4"/>
        <v>0</v>
      </c>
      <c r="AC15" s="15">
        <f t="shared" si="4"/>
        <v>0</v>
      </c>
      <c r="AD15" s="15">
        <f t="shared" si="4"/>
        <v>0</v>
      </c>
      <c r="AE15" s="15">
        <f t="shared" si="4"/>
        <v>0</v>
      </c>
      <c r="AF15" s="15">
        <f t="shared" si="4"/>
        <v>0</v>
      </c>
      <c r="AG15" s="15">
        <f t="shared" si="4"/>
        <v>0</v>
      </c>
      <c r="AH15" s="15">
        <f t="shared" si="4"/>
        <v>0</v>
      </c>
      <c r="AI15" s="15">
        <f t="shared" si="4"/>
        <v>0</v>
      </c>
      <c r="AJ15" s="15">
        <f t="shared" si="4"/>
        <v>0</v>
      </c>
      <c r="AK15" s="16">
        <f t="shared" si="3"/>
        <v>0</v>
      </c>
      <c r="AM15" s="14" t="str">
        <f>IFERROR(VLOOKUP(C15,EQ_Cont,9,FALSE),"")</f>
        <v/>
      </c>
    </row>
    <row r="16" spans="1:40" ht="12.5">
      <c r="A16" s="663"/>
      <c r="B16" s="670">
        <v>3</v>
      </c>
      <c r="C16" s="664" t="str">
        <f>IF(ISBLANK(DBPCFA!AP3),"",DBPCFA!AP3)</f>
        <v/>
      </c>
      <c r="D16" s="665"/>
      <c r="E16" s="666"/>
      <c r="F16" s="12">
        <f t="shared" ref="F16:AJ16" si="5">SUMIFS(EQ_HAct,Desc_EQ,$C16,Fecha_Inf_EQ,VALUE($AN$1&amp;TEXT(F$11,"00")))</f>
        <v>0</v>
      </c>
      <c r="G16" s="12">
        <f t="shared" si="5"/>
        <v>0</v>
      </c>
      <c r="H16" s="12">
        <f t="shared" si="5"/>
        <v>0</v>
      </c>
      <c r="I16" s="12">
        <f t="shared" si="5"/>
        <v>0</v>
      </c>
      <c r="J16" s="12">
        <f t="shared" si="5"/>
        <v>0</v>
      </c>
      <c r="K16" s="12">
        <f t="shared" si="5"/>
        <v>0</v>
      </c>
      <c r="L16" s="12">
        <f t="shared" si="5"/>
        <v>0</v>
      </c>
      <c r="M16" s="12">
        <f t="shared" si="5"/>
        <v>0</v>
      </c>
      <c r="N16" s="12">
        <f t="shared" si="5"/>
        <v>0</v>
      </c>
      <c r="O16" s="12">
        <f t="shared" si="5"/>
        <v>0</v>
      </c>
      <c r="P16" s="12">
        <f t="shared" si="5"/>
        <v>0</v>
      </c>
      <c r="Q16" s="12">
        <f t="shared" si="5"/>
        <v>0</v>
      </c>
      <c r="R16" s="12">
        <f t="shared" si="5"/>
        <v>0</v>
      </c>
      <c r="S16" s="12">
        <f t="shared" si="5"/>
        <v>0</v>
      </c>
      <c r="T16" s="12">
        <f t="shared" si="5"/>
        <v>0</v>
      </c>
      <c r="U16" s="12">
        <f t="shared" si="5"/>
        <v>0</v>
      </c>
      <c r="V16" s="12">
        <f t="shared" si="5"/>
        <v>0</v>
      </c>
      <c r="W16" s="12">
        <f t="shared" si="5"/>
        <v>0</v>
      </c>
      <c r="X16" s="12">
        <f t="shared" si="5"/>
        <v>0</v>
      </c>
      <c r="Y16" s="12">
        <f t="shared" si="5"/>
        <v>0</v>
      </c>
      <c r="Z16" s="12">
        <f t="shared" si="5"/>
        <v>0</v>
      </c>
      <c r="AA16" s="12">
        <f t="shared" si="5"/>
        <v>0</v>
      </c>
      <c r="AB16" s="12">
        <f t="shared" si="5"/>
        <v>0</v>
      </c>
      <c r="AC16" s="12">
        <f t="shared" si="5"/>
        <v>0</v>
      </c>
      <c r="AD16" s="12">
        <f t="shared" si="5"/>
        <v>0</v>
      </c>
      <c r="AE16" s="12">
        <f t="shared" si="5"/>
        <v>0</v>
      </c>
      <c r="AF16" s="12">
        <f t="shared" si="5"/>
        <v>0</v>
      </c>
      <c r="AG16" s="12">
        <f t="shared" si="5"/>
        <v>0</v>
      </c>
      <c r="AH16" s="12">
        <f t="shared" si="5"/>
        <v>0</v>
      </c>
      <c r="AI16" s="12">
        <f t="shared" si="5"/>
        <v>0</v>
      </c>
      <c r="AJ16" s="12">
        <f t="shared" si="5"/>
        <v>0</v>
      </c>
      <c r="AK16" s="13">
        <f t="shared" si="3"/>
        <v>0</v>
      </c>
    </row>
    <row r="17" spans="1:39" ht="12.5">
      <c r="A17" s="663"/>
      <c r="B17" s="671"/>
      <c r="C17" s="667"/>
      <c r="D17" s="668"/>
      <c r="E17" s="669"/>
      <c r="F17" s="15">
        <f t="shared" ref="F17:AJ17" si="6">SUMIFS(EQ_HInac,Desc_EQ,$C16,Fecha_Inf_EQ,VALUE($AN$1&amp;TEXT(F$11,"00")))</f>
        <v>0</v>
      </c>
      <c r="G17" s="15">
        <f t="shared" si="6"/>
        <v>0</v>
      </c>
      <c r="H17" s="15">
        <f t="shared" si="6"/>
        <v>0</v>
      </c>
      <c r="I17" s="15">
        <f t="shared" si="6"/>
        <v>0</v>
      </c>
      <c r="J17" s="15">
        <f t="shared" si="6"/>
        <v>0</v>
      </c>
      <c r="K17" s="15">
        <f t="shared" si="6"/>
        <v>0</v>
      </c>
      <c r="L17" s="15">
        <f t="shared" si="6"/>
        <v>0</v>
      </c>
      <c r="M17" s="15">
        <f t="shared" si="6"/>
        <v>0</v>
      </c>
      <c r="N17" s="15">
        <f t="shared" si="6"/>
        <v>0</v>
      </c>
      <c r="O17" s="15">
        <f t="shared" si="6"/>
        <v>0</v>
      </c>
      <c r="P17" s="15">
        <f t="shared" si="6"/>
        <v>0</v>
      </c>
      <c r="Q17" s="15">
        <f t="shared" si="6"/>
        <v>0</v>
      </c>
      <c r="R17" s="15">
        <f t="shared" si="6"/>
        <v>0</v>
      </c>
      <c r="S17" s="15">
        <f t="shared" si="6"/>
        <v>0</v>
      </c>
      <c r="T17" s="15">
        <f t="shared" si="6"/>
        <v>0</v>
      </c>
      <c r="U17" s="15">
        <f t="shared" si="6"/>
        <v>0</v>
      </c>
      <c r="V17" s="15">
        <f t="shared" si="6"/>
        <v>0</v>
      </c>
      <c r="W17" s="15">
        <f t="shared" si="6"/>
        <v>0</v>
      </c>
      <c r="X17" s="15">
        <f t="shared" si="6"/>
        <v>0</v>
      </c>
      <c r="Y17" s="15">
        <f t="shared" si="6"/>
        <v>0</v>
      </c>
      <c r="Z17" s="15">
        <f t="shared" si="6"/>
        <v>0</v>
      </c>
      <c r="AA17" s="15">
        <f t="shared" si="6"/>
        <v>0</v>
      </c>
      <c r="AB17" s="15">
        <f t="shared" si="6"/>
        <v>0</v>
      </c>
      <c r="AC17" s="15">
        <f t="shared" si="6"/>
        <v>0</v>
      </c>
      <c r="AD17" s="15">
        <f t="shared" si="6"/>
        <v>0</v>
      </c>
      <c r="AE17" s="15">
        <f t="shared" si="6"/>
        <v>0</v>
      </c>
      <c r="AF17" s="15">
        <f t="shared" si="6"/>
        <v>0</v>
      </c>
      <c r="AG17" s="15">
        <f t="shared" si="6"/>
        <v>0</v>
      </c>
      <c r="AH17" s="15">
        <f t="shared" si="6"/>
        <v>0</v>
      </c>
      <c r="AI17" s="15">
        <f t="shared" si="6"/>
        <v>0</v>
      </c>
      <c r="AJ17" s="15">
        <f t="shared" si="6"/>
        <v>0</v>
      </c>
      <c r="AK17" s="16">
        <f t="shared" si="3"/>
        <v>0</v>
      </c>
      <c r="AM17" s="14" t="str">
        <f>IFERROR(VLOOKUP(C17,EQ_Cont,9,FALSE),"")</f>
        <v/>
      </c>
    </row>
    <row r="18" spans="1:39" ht="12.5">
      <c r="A18" s="663"/>
      <c r="B18" s="670">
        <v>4</v>
      </c>
      <c r="C18" s="664" t="str">
        <f>IF(ISBLANK(DBPCFA!AP4),"",DBPCFA!AP4)</f>
        <v/>
      </c>
      <c r="D18" s="665"/>
      <c r="E18" s="666"/>
      <c r="F18" s="12">
        <f t="shared" ref="F18:AJ18" si="7">SUMIFS(EQ_HAct,Desc_EQ,$C18,Fecha_Inf_EQ,VALUE($AN$1&amp;TEXT(F$11,"00")))</f>
        <v>0</v>
      </c>
      <c r="G18" s="12">
        <f t="shared" si="7"/>
        <v>0</v>
      </c>
      <c r="H18" s="12">
        <f t="shared" si="7"/>
        <v>0</v>
      </c>
      <c r="I18" s="12">
        <f t="shared" si="7"/>
        <v>0</v>
      </c>
      <c r="J18" s="12">
        <f t="shared" si="7"/>
        <v>0</v>
      </c>
      <c r="K18" s="12">
        <f t="shared" si="7"/>
        <v>0</v>
      </c>
      <c r="L18" s="12">
        <f t="shared" si="7"/>
        <v>0</v>
      </c>
      <c r="M18" s="12">
        <f t="shared" si="7"/>
        <v>0</v>
      </c>
      <c r="N18" s="12">
        <f t="shared" si="7"/>
        <v>0</v>
      </c>
      <c r="O18" s="12">
        <f t="shared" si="7"/>
        <v>0</v>
      </c>
      <c r="P18" s="12">
        <f t="shared" si="7"/>
        <v>0</v>
      </c>
      <c r="Q18" s="12">
        <f t="shared" si="7"/>
        <v>0</v>
      </c>
      <c r="R18" s="12">
        <f t="shared" si="7"/>
        <v>0</v>
      </c>
      <c r="S18" s="12">
        <f t="shared" si="7"/>
        <v>0</v>
      </c>
      <c r="T18" s="12">
        <f t="shared" si="7"/>
        <v>0</v>
      </c>
      <c r="U18" s="12">
        <f t="shared" si="7"/>
        <v>0</v>
      </c>
      <c r="V18" s="12">
        <f t="shared" si="7"/>
        <v>0</v>
      </c>
      <c r="W18" s="12">
        <f t="shared" si="7"/>
        <v>0</v>
      </c>
      <c r="X18" s="12">
        <f t="shared" si="7"/>
        <v>0</v>
      </c>
      <c r="Y18" s="12">
        <f t="shared" si="7"/>
        <v>0</v>
      </c>
      <c r="Z18" s="12">
        <f t="shared" si="7"/>
        <v>0</v>
      </c>
      <c r="AA18" s="12">
        <f t="shared" si="7"/>
        <v>0</v>
      </c>
      <c r="AB18" s="12">
        <f t="shared" si="7"/>
        <v>0</v>
      </c>
      <c r="AC18" s="12">
        <f t="shared" si="7"/>
        <v>0</v>
      </c>
      <c r="AD18" s="12">
        <f t="shared" si="7"/>
        <v>0</v>
      </c>
      <c r="AE18" s="12">
        <f t="shared" si="7"/>
        <v>0</v>
      </c>
      <c r="AF18" s="12">
        <f t="shared" si="7"/>
        <v>0</v>
      </c>
      <c r="AG18" s="12">
        <f t="shared" si="7"/>
        <v>0</v>
      </c>
      <c r="AH18" s="12">
        <f t="shared" si="7"/>
        <v>0</v>
      </c>
      <c r="AI18" s="12">
        <f t="shared" si="7"/>
        <v>0</v>
      </c>
      <c r="AJ18" s="12">
        <f t="shared" si="7"/>
        <v>0</v>
      </c>
      <c r="AK18" s="13">
        <f t="shared" si="3"/>
        <v>0</v>
      </c>
    </row>
    <row r="19" spans="1:39" ht="12.5">
      <c r="A19" s="663"/>
      <c r="B19" s="671"/>
      <c r="C19" s="667"/>
      <c r="D19" s="668"/>
      <c r="E19" s="669"/>
      <c r="F19" s="15">
        <f t="shared" ref="F19:AJ19" si="8">SUMIFS(EQ_HInac,Desc_EQ,$C18,Fecha_Inf_EQ,VALUE($AN$1&amp;TEXT(F$11,"00")))</f>
        <v>0</v>
      </c>
      <c r="G19" s="15">
        <f t="shared" si="8"/>
        <v>0</v>
      </c>
      <c r="H19" s="15">
        <f t="shared" si="8"/>
        <v>0</v>
      </c>
      <c r="I19" s="15">
        <f t="shared" si="8"/>
        <v>0</v>
      </c>
      <c r="J19" s="15">
        <f t="shared" si="8"/>
        <v>0</v>
      </c>
      <c r="K19" s="15">
        <f t="shared" si="8"/>
        <v>0</v>
      </c>
      <c r="L19" s="15">
        <f t="shared" si="8"/>
        <v>0</v>
      </c>
      <c r="M19" s="15">
        <f t="shared" si="8"/>
        <v>0</v>
      </c>
      <c r="N19" s="15">
        <f t="shared" si="8"/>
        <v>0</v>
      </c>
      <c r="O19" s="15">
        <f t="shared" si="8"/>
        <v>0</v>
      </c>
      <c r="P19" s="15">
        <f t="shared" si="8"/>
        <v>0</v>
      </c>
      <c r="Q19" s="15">
        <f t="shared" si="8"/>
        <v>0</v>
      </c>
      <c r="R19" s="15">
        <f t="shared" si="8"/>
        <v>0</v>
      </c>
      <c r="S19" s="15">
        <f t="shared" si="8"/>
        <v>0</v>
      </c>
      <c r="T19" s="15">
        <f t="shared" si="8"/>
        <v>0</v>
      </c>
      <c r="U19" s="15">
        <f t="shared" si="8"/>
        <v>0</v>
      </c>
      <c r="V19" s="15">
        <f t="shared" si="8"/>
        <v>0</v>
      </c>
      <c r="W19" s="15">
        <f t="shared" si="8"/>
        <v>0</v>
      </c>
      <c r="X19" s="15">
        <f t="shared" si="8"/>
        <v>0</v>
      </c>
      <c r="Y19" s="15">
        <f t="shared" si="8"/>
        <v>0</v>
      </c>
      <c r="Z19" s="15">
        <f t="shared" si="8"/>
        <v>0</v>
      </c>
      <c r="AA19" s="15">
        <f t="shared" si="8"/>
        <v>0</v>
      </c>
      <c r="AB19" s="15">
        <f t="shared" si="8"/>
        <v>0</v>
      </c>
      <c r="AC19" s="15">
        <f t="shared" si="8"/>
        <v>0</v>
      </c>
      <c r="AD19" s="15">
        <f t="shared" si="8"/>
        <v>0</v>
      </c>
      <c r="AE19" s="15">
        <f t="shared" si="8"/>
        <v>0</v>
      </c>
      <c r="AF19" s="15">
        <f t="shared" si="8"/>
        <v>0</v>
      </c>
      <c r="AG19" s="15">
        <f t="shared" si="8"/>
        <v>0</v>
      </c>
      <c r="AH19" s="15">
        <f t="shared" si="8"/>
        <v>0</v>
      </c>
      <c r="AI19" s="15">
        <f t="shared" si="8"/>
        <v>0</v>
      </c>
      <c r="AJ19" s="15">
        <f t="shared" si="8"/>
        <v>0</v>
      </c>
      <c r="AK19" s="16">
        <f t="shared" si="3"/>
        <v>0</v>
      </c>
      <c r="AM19" s="14" t="str">
        <f>IFERROR(VLOOKUP(C19,EQ_Cont,9,FALSE),"")</f>
        <v/>
      </c>
    </row>
    <row r="20" spans="1:39" ht="12.5">
      <c r="A20" s="663"/>
      <c r="B20" s="670">
        <v>5</v>
      </c>
      <c r="C20" s="664" t="str">
        <f>IF(ISBLANK(DBPCFA!AP5),"",DBPCFA!AP5)</f>
        <v/>
      </c>
      <c r="D20" s="665"/>
      <c r="E20" s="666"/>
      <c r="F20" s="12">
        <f t="shared" ref="F20:AJ20" si="9">SUMIFS(EQ_HAct,Desc_EQ,$C20,Fecha_Inf_EQ,VALUE($AN$1&amp;TEXT(F$11,"00")))</f>
        <v>0</v>
      </c>
      <c r="G20" s="12">
        <f t="shared" si="9"/>
        <v>0</v>
      </c>
      <c r="H20" s="12">
        <f t="shared" si="9"/>
        <v>0</v>
      </c>
      <c r="I20" s="12">
        <f t="shared" si="9"/>
        <v>0</v>
      </c>
      <c r="J20" s="12">
        <f t="shared" si="9"/>
        <v>0</v>
      </c>
      <c r="K20" s="12">
        <f t="shared" si="9"/>
        <v>0</v>
      </c>
      <c r="L20" s="12">
        <f t="shared" si="9"/>
        <v>0</v>
      </c>
      <c r="M20" s="12">
        <f t="shared" si="9"/>
        <v>0</v>
      </c>
      <c r="N20" s="12">
        <f t="shared" si="9"/>
        <v>0</v>
      </c>
      <c r="O20" s="12">
        <f t="shared" si="9"/>
        <v>0</v>
      </c>
      <c r="P20" s="12">
        <f t="shared" si="9"/>
        <v>0</v>
      </c>
      <c r="Q20" s="12">
        <f t="shared" si="9"/>
        <v>0</v>
      </c>
      <c r="R20" s="12">
        <f t="shared" si="9"/>
        <v>0</v>
      </c>
      <c r="S20" s="12">
        <f t="shared" si="9"/>
        <v>0</v>
      </c>
      <c r="T20" s="12">
        <f t="shared" si="9"/>
        <v>0</v>
      </c>
      <c r="U20" s="12">
        <f t="shared" si="9"/>
        <v>0</v>
      </c>
      <c r="V20" s="12">
        <f t="shared" si="9"/>
        <v>0</v>
      </c>
      <c r="W20" s="12">
        <f t="shared" si="9"/>
        <v>0</v>
      </c>
      <c r="X20" s="12">
        <f t="shared" si="9"/>
        <v>0</v>
      </c>
      <c r="Y20" s="12">
        <f t="shared" si="9"/>
        <v>0</v>
      </c>
      <c r="Z20" s="12">
        <f t="shared" si="9"/>
        <v>0</v>
      </c>
      <c r="AA20" s="12">
        <f t="shared" si="9"/>
        <v>0</v>
      </c>
      <c r="AB20" s="12">
        <f t="shared" si="9"/>
        <v>0</v>
      </c>
      <c r="AC20" s="12">
        <f t="shared" si="9"/>
        <v>0</v>
      </c>
      <c r="AD20" s="12">
        <f t="shared" si="9"/>
        <v>0</v>
      </c>
      <c r="AE20" s="12">
        <f t="shared" si="9"/>
        <v>0</v>
      </c>
      <c r="AF20" s="12">
        <f t="shared" si="9"/>
        <v>0</v>
      </c>
      <c r="AG20" s="12">
        <f t="shared" si="9"/>
        <v>0</v>
      </c>
      <c r="AH20" s="12">
        <f t="shared" si="9"/>
        <v>0</v>
      </c>
      <c r="AI20" s="12">
        <f t="shared" si="9"/>
        <v>0</v>
      </c>
      <c r="AJ20" s="12">
        <f t="shared" si="9"/>
        <v>0</v>
      </c>
      <c r="AK20" s="13">
        <f t="shared" si="3"/>
        <v>0</v>
      </c>
    </row>
    <row r="21" spans="1:39" ht="12.5">
      <c r="A21" s="663"/>
      <c r="B21" s="671"/>
      <c r="C21" s="667"/>
      <c r="D21" s="668"/>
      <c r="E21" s="669"/>
      <c r="F21" s="15">
        <f t="shared" ref="F21:AJ21" si="10">SUMIFS(EQ_HInac,Desc_EQ,$C20,Fecha_Inf_EQ,VALUE($AN$1&amp;TEXT(F$11,"00")))</f>
        <v>0</v>
      </c>
      <c r="G21" s="15">
        <f t="shared" si="10"/>
        <v>0</v>
      </c>
      <c r="H21" s="15">
        <f t="shared" si="10"/>
        <v>0</v>
      </c>
      <c r="I21" s="15">
        <f t="shared" si="10"/>
        <v>0</v>
      </c>
      <c r="J21" s="15">
        <f t="shared" si="10"/>
        <v>0</v>
      </c>
      <c r="K21" s="15">
        <f t="shared" si="10"/>
        <v>0</v>
      </c>
      <c r="L21" s="15">
        <f t="shared" si="10"/>
        <v>0</v>
      </c>
      <c r="M21" s="15">
        <f t="shared" si="10"/>
        <v>0</v>
      </c>
      <c r="N21" s="15">
        <f t="shared" si="10"/>
        <v>0</v>
      </c>
      <c r="O21" s="15">
        <f t="shared" si="10"/>
        <v>0</v>
      </c>
      <c r="P21" s="15">
        <f t="shared" si="10"/>
        <v>0</v>
      </c>
      <c r="Q21" s="15">
        <f t="shared" si="10"/>
        <v>0</v>
      </c>
      <c r="R21" s="15">
        <f t="shared" si="10"/>
        <v>0</v>
      </c>
      <c r="S21" s="15">
        <f t="shared" si="10"/>
        <v>0</v>
      </c>
      <c r="T21" s="15">
        <f t="shared" si="10"/>
        <v>0</v>
      </c>
      <c r="U21" s="15">
        <f t="shared" si="10"/>
        <v>0</v>
      </c>
      <c r="V21" s="15">
        <f t="shared" si="10"/>
        <v>0</v>
      </c>
      <c r="W21" s="15">
        <f t="shared" si="10"/>
        <v>0</v>
      </c>
      <c r="X21" s="15">
        <f t="shared" si="10"/>
        <v>0</v>
      </c>
      <c r="Y21" s="15">
        <f t="shared" si="10"/>
        <v>0</v>
      </c>
      <c r="Z21" s="15">
        <f t="shared" si="10"/>
        <v>0</v>
      </c>
      <c r="AA21" s="15">
        <f t="shared" si="10"/>
        <v>0</v>
      </c>
      <c r="AB21" s="15">
        <f t="shared" si="10"/>
        <v>0</v>
      </c>
      <c r="AC21" s="15">
        <f t="shared" si="10"/>
        <v>0</v>
      </c>
      <c r="AD21" s="15">
        <f t="shared" si="10"/>
        <v>0</v>
      </c>
      <c r="AE21" s="15">
        <f t="shared" si="10"/>
        <v>0</v>
      </c>
      <c r="AF21" s="15">
        <f t="shared" si="10"/>
        <v>0</v>
      </c>
      <c r="AG21" s="15">
        <f t="shared" si="10"/>
        <v>0</v>
      </c>
      <c r="AH21" s="15">
        <f t="shared" si="10"/>
        <v>0</v>
      </c>
      <c r="AI21" s="15">
        <f t="shared" si="10"/>
        <v>0</v>
      </c>
      <c r="AJ21" s="15">
        <f t="shared" si="10"/>
        <v>0</v>
      </c>
      <c r="AK21" s="16">
        <f t="shared" si="3"/>
        <v>0</v>
      </c>
      <c r="AM21" s="14" t="str">
        <f>IFERROR(VLOOKUP(C21,EQ_Cont,9,FALSE),"")</f>
        <v/>
      </c>
    </row>
    <row r="22" spans="1:39" ht="12.5">
      <c r="A22" s="663"/>
      <c r="B22" s="670">
        <v>6</v>
      </c>
      <c r="C22" s="664" t="str">
        <f>IF(ISBLANK(DBPCFA!AP6),"",DBPCFA!AP6)</f>
        <v/>
      </c>
      <c r="D22" s="665"/>
      <c r="E22" s="666"/>
      <c r="F22" s="12">
        <f t="shared" ref="F22:AJ22" si="11">SUMIFS(EQ_HAct,Desc_EQ,$C22,Fecha_Inf_EQ,VALUE($AN$1&amp;TEXT(F$11,"00")))</f>
        <v>0</v>
      </c>
      <c r="G22" s="12">
        <f t="shared" si="11"/>
        <v>0</v>
      </c>
      <c r="H22" s="12">
        <f t="shared" si="11"/>
        <v>0</v>
      </c>
      <c r="I22" s="12">
        <f t="shared" si="11"/>
        <v>0</v>
      </c>
      <c r="J22" s="12">
        <f t="shared" si="11"/>
        <v>0</v>
      </c>
      <c r="K22" s="12">
        <f t="shared" si="11"/>
        <v>0</v>
      </c>
      <c r="L22" s="12">
        <f t="shared" si="11"/>
        <v>0</v>
      </c>
      <c r="M22" s="12">
        <f t="shared" si="11"/>
        <v>0</v>
      </c>
      <c r="N22" s="12">
        <f t="shared" si="11"/>
        <v>0</v>
      </c>
      <c r="O22" s="12">
        <f t="shared" si="11"/>
        <v>0</v>
      </c>
      <c r="P22" s="12">
        <f t="shared" si="11"/>
        <v>0</v>
      </c>
      <c r="Q22" s="12">
        <f t="shared" si="11"/>
        <v>0</v>
      </c>
      <c r="R22" s="12">
        <f t="shared" si="11"/>
        <v>0</v>
      </c>
      <c r="S22" s="12">
        <f t="shared" si="11"/>
        <v>0</v>
      </c>
      <c r="T22" s="12">
        <f t="shared" si="11"/>
        <v>0</v>
      </c>
      <c r="U22" s="12">
        <f t="shared" si="11"/>
        <v>0</v>
      </c>
      <c r="V22" s="12">
        <f t="shared" si="11"/>
        <v>0</v>
      </c>
      <c r="W22" s="12">
        <f t="shared" si="11"/>
        <v>0</v>
      </c>
      <c r="X22" s="12">
        <f t="shared" si="11"/>
        <v>0</v>
      </c>
      <c r="Y22" s="12">
        <f t="shared" si="11"/>
        <v>0</v>
      </c>
      <c r="Z22" s="12">
        <f t="shared" si="11"/>
        <v>0</v>
      </c>
      <c r="AA22" s="12">
        <f t="shared" si="11"/>
        <v>0</v>
      </c>
      <c r="AB22" s="12">
        <f t="shared" si="11"/>
        <v>0</v>
      </c>
      <c r="AC22" s="12">
        <f t="shared" si="11"/>
        <v>0</v>
      </c>
      <c r="AD22" s="12">
        <f t="shared" si="11"/>
        <v>0</v>
      </c>
      <c r="AE22" s="12">
        <f t="shared" si="11"/>
        <v>0</v>
      </c>
      <c r="AF22" s="12">
        <f t="shared" si="11"/>
        <v>0</v>
      </c>
      <c r="AG22" s="12">
        <f t="shared" si="11"/>
        <v>0</v>
      </c>
      <c r="AH22" s="12">
        <f t="shared" si="11"/>
        <v>0</v>
      </c>
      <c r="AI22" s="12">
        <f t="shared" si="11"/>
        <v>0</v>
      </c>
      <c r="AJ22" s="12">
        <f t="shared" si="11"/>
        <v>0</v>
      </c>
      <c r="AK22" s="13">
        <f t="shared" si="3"/>
        <v>0</v>
      </c>
    </row>
    <row r="23" spans="1:39" ht="12.5">
      <c r="A23" s="663"/>
      <c r="B23" s="671"/>
      <c r="C23" s="667"/>
      <c r="D23" s="668"/>
      <c r="E23" s="669"/>
      <c r="F23" s="15">
        <f t="shared" ref="F23:AJ23" si="12">SUMIFS(EQ_HInac,Desc_EQ,$C22,Fecha_Inf_EQ,VALUE($AN$1&amp;TEXT(F$11,"00")))</f>
        <v>0</v>
      </c>
      <c r="G23" s="15">
        <f t="shared" si="12"/>
        <v>0</v>
      </c>
      <c r="H23" s="15">
        <f t="shared" si="12"/>
        <v>0</v>
      </c>
      <c r="I23" s="15">
        <f t="shared" si="12"/>
        <v>0</v>
      </c>
      <c r="J23" s="15">
        <f t="shared" si="12"/>
        <v>0</v>
      </c>
      <c r="K23" s="15">
        <f t="shared" si="12"/>
        <v>0</v>
      </c>
      <c r="L23" s="15">
        <f t="shared" si="12"/>
        <v>0</v>
      </c>
      <c r="M23" s="15">
        <f t="shared" si="12"/>
        <v>0</v>
      </c>
      <c r="N23" s="15">
        <f t="shared" si="12"/>
        <v>0</v>
      </c>
      <c r="O23" s="15">
        <f t="shared" si="12"/>
        <v>0</v>
      </c>
      <c r="P23" s="15">
        <f t="shared" si="12"/>
        <v>0</v>
      </c>
      <c r="Q23" s="15">
        <f t="shared" si="12"/>
        <v>0</v>
      </c>
      <c r="R23" s="15">
        <f t="shared" si="12"/>
        <v>0</v>
      </c>
      <c r="S23" s="15">
        <f t="shared" si="12"/>
        <v>0</v>
      </c>
      <c r="T23" s="15">
        <f t="shared" si="12"/>
        <v>0</v>
      </c>
      <c r="U23" s="15">
        <f t="shared" si="12"/>
        <v>0</v>
      </c>
      <c r="V23" s="15">
        <f t="shared" si="12"/>
        <v>0</v>
      </c>
      <c r="W23" s="15">
        <f t="shared" si="12"/>
        <v>0</v>
      </c>
      <c r="X23" s="15">
        <f t="shared" si="12"/>
        <v>0</v>
      </c>
      <c r="Y23" s="15">
        <f t="shared" si="12"/>
        <v>0</v>
      </c>
      <c r="Z23" s="15">
        <f t="shared" si="12"/>
        <v>0</v>
      </c>
      <c r="AA23" s="15">
        <f t="shared" si="12"/>
        <v>0</v>
      </c>
      <c r="AB23" s="15">
        <f t="shared" si="12"/>
        <v>0</v>
      </c>
      <c r="AC23" s="15">
        <f t="shared" si="12"/>
        <v>0</v>
      </c>
      <c r="AD23" s="15">
        <f t="shared" si="12"/>
        <v>0</v>
      </c>
      <c r="AE23" s="15">
        <f t="shared" si="12"/>
        <v>0</v>
      </c>
      <c r="AF23" s="15">
        <f t="shared" si="12"/>
        <v>0</v>
      </c>
      <c r="AG23" s="15">
        <f t="shared" si="12"/>
        <v>0</v>
      </c>
      <c r="AH23" s="15">
        <f t="shared" si="12"/>
        <v>0</v>
      </c>
      <c r="AI23" s="15">
        <f t="shared" si="12"/>
        <v>0</v>
      </c>
      <c r="AJ23" s="15">
        <f t="shared" si="12"/>
        <v>0</v>
      </c>
      <c r="AK23" s="16">
        <f t="shared" si="3"/>
        <v>0</v>
      </c>
      <c r="AM23" s="14" t="str">
        <f>IFERROR(VLOOKUP(C23,EQ_Cont,9,FALSE),"")</f>
        <v/>
      </c>
    </row>
    <row r="24" spans="1:39" ht="12.5">
      <c r="A24" s="663"/>
      <c r="B24" s="670">
        <v>7</v>
      </c>
      <c r="C24" s="664" t="str">
        <f>IF(ISBLANK(DBPCFA!AP7),"",DBPCFA!AP7)</f>
        <v/>
      </c>
      <c r="D24" s="665"/>
      <c r="E24" s="666"/>
      <c r="F24" s="12">
        <f t="shared" ref="F24:AJ24" si="13">SUMIFS(EQ_HAct,Desc_EQ,$C24,Fecha_Inf_EQ,VALUE($AN$1&amp;TEXT(F$11,"00")))</f>
        <v>0</v>
      </c>
      <c r="G24" s="12">
        <f t="shared" si="13"/>
        <v>0</v>
      </c>
      <c r="H24" s="12">
        <f t="shared" si="13"/>
        <v>0</v>
      </c>
      <c r="I24" s="12">
        <f t="shared" si="13"/>
        <v>0</v>
      </c>
      <c r="J24" s="12">
        <f t="shared" si="13"/>
        <v>0</v>
      </c>
      <c r="K24" s="12">
        <f t="shared" si="13"/>
        <v>0</v>
      </c>
      <c r="L24" s="12">
        <f t="shared" si="13"/>
        <v>0</v>
      </c>
      <c r="M24" s="12">
        <f t="shared" si="13"/>
        <v>0</v>
      </c>
      <c r="N24" s="12">
        <f t="shared" si="13"/>
        <v>0</v>
      </c>
      <c r="O24" s="12">
        <f t="shared" si="13"/>
        <v>0</v>
      </c>
      <c r="P24" s="12">
        <f t="shared" si="13"/>
        <v>0</v>
      </c>
      <c r="Q24" s="12">
        <f t="shared" si="13"/>
        <v>0</v>
      </c>
      <c r="R24" s="12">
        <f t="shared" si="13"/>
        <v>0</v>
      </c>
      <c r="S24" s="12">
        <f t="shared" si="13"/>
        <v>0</v>
      </c>
      <c r="T24" s="12">
        <f t="shared" si="13"/>
        <v>0</v>
      </c>
      <c r="U24" s="12">
        <f t="shared" si="13"/>
        <v>0</v>
      </c>
      <c r="V24" s="12">
        <f t="shared" si="13"/>
        <v>0</v>
      </c>
      <c r="W24" s="12">
        <f t="shared" si="13"/>
        <v>0</v>
      </c>
      <c r="X24" s="12">
        <f t="shared" si="13"/>
        <v>0</v>
      </c>
      <c r="Y24" s="12">
        <f t="shared" si="13"/>
        <v>0</v>
      </c>
      <c r="Z24" s="12">
        <f t="shared" si="13"/>
        <v>0</v>
      </c>
      <c r="AA24" s="12">
        <f t="shared" si="13"/>
        <v>0</v>
      </c>
      <c r="AB24" s="12">
        <f t="shared" si="13"/>
        <v>0</v>
      </c>
      <c r="AC24" s="12">
        <f t="shared" si="13"/>
        <v>0</v>
      </c>
      <c r="AD24" s="12">
        <f t="shared" si="13"/>
        <v>0</v>
      </c>
      <c r="AE24" s="12">
        <f t="shared" si="13"/>
        <v>0</v>
      </c>
      <c r="AF24" s="12">
        <f t="shared" si="13"/>
        <v>0</v>
      </c>
      <c r="AG24" s="12">
        <f t="shared" si="13"/>
        <v>0</v>
      </c>
      <c r="AH24" s="12">
        <f t="shared" si="13"/>
        <v>0</v>
      </c>
      <c r="AI24" s="12">
        <f t="shared" si="13"/>
        <v>0</v>
      </c>
      <c r="AJ24" s="12">
        <f t="shared" si="13"/>
        <v>0</v>
      </c>
      <c r="AK24" s="13">
        <f t="shared" si="3"/>
        <v>0</v>
      </c>
    </row>
    <row r="25" spans="1:39" ht="12.5">
      <c r="A25" s="663"/>
      <c r="B25" s="671"/>
      <c r="C25" s="667"/>
      <c r="D25" s="668"/>
      <c r="E25" s="669"/>
      <c r="F25" s="15">
        <f t="shared" ref="F25:AJ25" si="14">SUMIFS(EQ_HInac,Desc_EQ,$C24,Fecha_Inf_EQ,VALUE($AN$1&amp;TEXT(F$11,"00")))</f>
        <v>0</v>
      </c>
      <c r="G25" s="15">
        <f t="shared" si="14"/>
        <v>0</v>
      </c>
      <c r="H25" s="15">
        <f t="shared" si="14"/>
        <v>0</v>
      </c>
      <c r="I25" s="15">
        <f t="shared" si="14"/>
        <v>0</v>
      </c>
      <c r="J25" s="15">
        <f t="shared" si="14"/>
        <v>0</v>
      </c>
      <c r="K25" s="15">
        <f t="shared" si="14"/>
        <v>0</v>
      </c>
      <c r="L25" s="15">
        <f t="shared" si="14"/>
        <v>0</v>
      </c>
      <c r="M25" s="15">
        <f t="shared" si="14"/>
        <v>0</v>
      </c>
      <c r="N25" s="15">
        <f t="shared" si="14"/>
        <v>0</v>
      </c>
      <c r="O25" s="15">
        <f t="shared" si="14"/>
        <v>0</v>
      </c>
      <c r="P25" s="15">
        <f t="shared" si="14"/>
        <v>0</v>
      </c>
      <c r="Q25" s="15">
        <f t="shared" si="14"/>
        <v>0</v>
      </c>
      <c r="R25" s="15">
        <f t="shared" si="14"/>
        <v>0</v>
      </c>
      <c r="S25" s="15">
        <f t="shared" si="14"/>
        <v>0</v>
      </c>
      <c r="T25" s="15">
        <f t="shared" si="14"/>
        <v>0</v>
      </c>
      <c r="U25" s="15">
        <f t="shared" si="14"/>
        <v>0</v>
      </c>
      <c r="V25" s="15">
        <f t="shared" si="14"/>
        <v>0</v>
      </c>
      <c r="W25" s="15">
        <f t="shared" si="14"/>
        <v>0</v>
      </c>
      <c r="X25" s="15">
        <f t="shared" si="14"/>
        <v>0</v>
      </c>
      <c r="Y25" s="15">
        <f t="shared" si="14"/>
        <v>0</v>
      </c>
      <c r="Z25" s="15">
        <f t="shared" si="14"/>
        <v>0</v>
      </c>
      <c r="AA25" s="15">
        <f t="shared" si="14"/>
        <v>0</v>
      </c>
      <c r="AB25" s="15">
        <f t="shared" si="14"/>
        <v>0</v>
      </c>
      <c r="AC25" s="15">
        <f t="shared" si="14"/>
        <v>0</v>
      </c>
      <c r="AD25" s="15">
        <f t="shared" si="14"/>
        <v>0</v>
      </c>
      <c r="AE25" s="15">
        <f t="shared" si="14"/>
        <v>0</v>
      </c>
      <c r="AF25" s="15">
        <f t="shared" si="14"/>
        <v>0</v>
      </c>
      <c r="AG25" s="15">
        <f t="shared" si="14"/>
        <v>0</v>
      </c>
      <c r="AH25" s="15">
        <f t="shared" si="14"/>
        <v>0</v>
      </c>
      <c r="AI25" s="15">
        <f t="shared" si="14"/>
        <v>0</v>
      </c>
      <c r="AJ25" s="15">
        <f t="shared" si="14"/>
        <v>0</v>
      </c>
      <c r="AK25" s="16">
        <f t="shared" si="3"/>
        <v>0</v>
      </c>
      <c r="AM25" s="14" t="str">
        <f>IFERROR(VLOOKUP(C25,EQ_Cont,9,FALSE),"")</f>
        <v/>
      </c>
    </row>
    <row r="26" spans="1:39" ht="12.5">
      <c r="A26" s="663"/>
      <c r="B26" s="414">
        <v>8</v>
      </c>
      <c r="C26" s="664" t="str">
        <f>IF(ISBLANK(DBPCFA!AP8),"",DBPCFA!AP8)</f>
        <v/>
      </c>
      <c r="D26" s="665"/>
      <c r="E26" s="666"/>
      <c r="F26" s="12">
        <f t="shared" ref="F26:AJ26" si="15">SUMIFS(EQ_HAct,Desc_EQ,$C26,Fecha_Inf_EQ,VALUE($AN$1&amp;TEXT(F$11,"00")))</f>
        <v>0</v>
      </c>
      <c r="G26" s="12">
        <f t="shared" si="15"/>
        <v>0</v>
      </c>
      <c r="H26" s="12">
        <f t="shared" si="15"/>
        <v>0</v>
      </c>
      <c r="I26" s="12">
        <f t="shared" si="15"/>
        <v>0</v>
      </c>
      <c r="J26" s="12">
        <f t="shared" si="15"/>
        <v>0</v>
      </c>
      <c r="K26" s="12">
        <f t="shared" si="15"/>
        <v>0</v>
      </c>
      <c r="L26" s="12">
        <f t="shared" si="15"/>
        <v>0</v>
      </c>
      <c r="M26" s="12">
        <f t="shared" si="15"/>
        <v>0</v>
      </c>
      <c r="N26" s="12">
        <f t="shared" si="15"/>
        <v>0</v>
      </c>
      <c r="O26" s="12">
        <f t="shared" si="15"/>
        <v>0</v>
      </c>
      <c r="P26" s="12">
        <f t="shared" si="15"/>
        <v>0</v>
      </c>
      <c r="Q26" s="12">
        <f t="shared" si="15"/>
        <v>0</v>
      </c>
      <c r="R26" s="12">
        <f t="shared" si="15"/>
        <v>0</v>
      </c>
      <c r="S26" s="12">
        <f t="shared" si="15"/>
        <v>0</v>
      </c>
      <c r="T26" s="12">
        <f t="shared" si="15"/>
        <v>0</v>
      </c>
      <c r="U26" s="12">
        <f t="shared" si="15"/>
        <v>0</v>
      </c>
      <c r="V26" s="12">
        <f t="shared" si="15"/>
        <v>0</v>
      </c>
      <c r="W26" s="12">
        <f t="shared" si="15"/>
        <v>0</v>
      </c>
      <c r="X26" s="12">
        <f t="shared" si="15"/>
        <v>0</v>
      </c>
      <c r="Y26" s="12">
        <f t="shared" si="15"/>
        <v>0</v>
      </c>
      <c r="Z26" s="12">
        <f t="shared" si="15"/>
        <v>0</v>
      </c>
      <c r="AA26" s="12">
        <f t="shared" si="15"/>
        <v>0</v>
      </c>
      <c r="AB26" s="12">
        <f t="shared" si="15"/>
        <v>0</v>
      </c>
      <c r="AC26" s="12">
        <f t="shared" si="15"/>
        <v>0</v>
      </c>
      <c r="AD26" s="12">
        <f t="shared" si="15"/>
        <v>0</v>
      </c>
      <c r="AE26" s="12">
        <f t="shared" si="15"/>
        <v>0</v>
      </c>
      <c r="AF26" s="12">
        <f t="shared" si="15"/>
        <v>0</v>
      </c>
      <c r="AG26" s="12">
        <f t="shared" si="15"/>
        <v>0</v>
      </c>
      <c r="AH26" s="12">
        <f t="shared" si="15"/>
        <v>0</v>
      </c>
      <c r="AI26" s="12">
        <f t="shared" si="15"/>
        <v>0</v>
      </c>
      <c r="AJ26" s="12">
        <f t="shared" si="15"/>
        <v>0</v>
      </c>
      <c r="AK26" s="13">
        <f t="shared" si="3"/>
        <v>0</v>
      </c>
    </row>
    <row r="27" spans="1:39" ht="12.5">
      <c r="A27" s="663"/>
      <c r="B27" s="414"/>
      <c r="C27" s="667"/>
      <c r="D27" s="668"/>
      <c r="E27" s="669"/>
      <c r="F27" s="15">
        <f t="shared" ref="F27:AJ27" si="16">SUMIFS(EQ_HInac,Desc_EQ,$C26,Fecha_Inf_EQ,VALUE($AN$1&amp;TEXT(F$11,"00")))</f>
        <v>0</v>
      </c>
      <c r="G27" s="15">
        <f t="shared" si="16"/>
        <v>0</v>
      </c>
      <c r="H27" s="15">
        <f t="shared" si="16"/>
        <v>0</v>
      </c>
      <c r="I27" s="15">
        <f t="shared" si="16"/>
        <v>0</v>
      </c>
      <c r="J27" s="15">
        <f t="shared" si="16"/>
        <v>0</v>
      </c>
      <c r="K27" s="15">
        <f t="shared" si="16"/>
        <v>0</v>
      </c>
      <c r="L27" s="15">
        <f t="shared" si="16"/>
        <v>0</v>
      </c>
      <c r="M27" s="15">
        <f t="shared" si="16"/>
        <v>0</v>
      </c>
      <c r="N27" s="15">
        <f t="shared" si="16"/>
        <v>0</v>
      </c>
      <c r="O27" s="15">
        <f t="shared" si="16"/>
        <v>0</v>
      </c>
      <c r="P27" s="15">
        <f t="shared" si="16"/>
        <v>0</v>
      </c>
      <c r="Q27" s="15">
        <f t="shared" si="16"/>
        <v>0</v>
      </c>
      <c r="R27" s="15">
        <f t="shared" si="16"/>
        <v>0</v>
      </c>
      <c r="S27" s="15">
        <f t="shared" si="16"/>
        <v>0</v>
      </c>
      <c r="T27" s="15">
        <f t="shared" si="16"/>
        <v>0</v>
      </c>
      <c r="U27" s="15">
        <f t="shared" si="16"/>
        <v>0</v>
      </c>
      <c r="V27" s="15">
        <f t="shared" si="16"/>
        <v>0</v>
      </c>
      <c r="W27" s="15">
        <f t="shared" si="16"/>
        <v>0</v>
      </c>
      <c r="X27" s="15">
        <f t="shared" si="16"/>
        <v>0</v>
      </c>
      <c r="Y27" s="15">
        <f t="shared" si="16"/>
        <v>0</v>
      </c>
      <c r="Z27" s="15">
        <f t="shared" si="16"/>
        <v>0</v>
      </c>
      <c r="AA27" s="15">
        <f t="shared" si="16"/>
        <v>0</v>
      </c>
      <c r="AB27" s="15">
        <f t="shared" si="16"/>
        <v>0</v>
      </c>
      <c r="AC27" s="15">
        <f t="shared" si="16"/>
        <v>0</v>
      </c>
      <c r="AD27" s="15">
        <f t="shared" si="16"/>
        <v>0</v>
      </c>
      <c r="AE27" s="15">
        <f t="shared" si="16"/>
        <v>0</v>
      </c>
      <c r="AF27" s="15">
        <f t="shared" si="16"/>
        <v>0</v>
      </c>
      <c r="AG27" s="15">
        <f t="shared" si="16"/>
        <v>0</v>
      </c>
      <c r="AH27" s="15">
        <f t="shared" si="16"/>
        <v>0</v>
      </c>
      <c r="AI27" s="15">
        <f t="shared" si="16"/>
        <v>0</v>
      </c>
      <c r="AJ27" s="15">
        <f t="shared" si="16"/>
        <v>0</v>
      </c>
      <c r="AK27" s="16">
        <f t="shared" si="3"/>
        <v>0</v>
      </c>
      <c r="AM27" s="14" t="str">
        <f>IFERROR(VLOOKUP(C27,EQ_Cont,9,FALSE),"")</f>
        <v/>
      </c>
    </row>
    <row r="28" spans="1:39" ht="12.5">
      <c r="A28" s="663"/>
      <c r="B28" s="414">
        <v>9</v>
      </c>
      <c r="C28" s="664" t="str">
        <f>IF(ISBLANK(DBPCFA!AP9),"",DBPCFA!AP9)</f>
        <v/>
      </c>
      <c r="D28" s="665"/>
      <c r="E28" s="666"/>
      <c r="F28" s="12">
        <f t="shared" ref="F28:AJ28" si="17">SUMIFS(EQ_HAct,Desc_EQ,$C28,Fecha_Inf_EQ,VALUE($AN$1&amp;TEXT(F$11,"00")))</f>
        <v>0</v>
      </c>
      <c r="G28" s="12">
        <f t="shared" si="17"/>
        <v>0</v>
      </c>
      <c r="H28" s="12">
        <f t="shared" si="17"/>
        <v>0</v>
      </c>
      <c r="I28" s="12">
        <f t="shared" si="17"/>
        <v>0</v>
      </c>
      <c r="J28" s="12">
        <f t="shared" si="17"/>
        <v>0</v>
      </c>
      <c r="K28" s="12">
        <f t="shared" si="17"/>
        <v>0</v>
      </c>
      <c r="L28" s="12">
        <f t="shared" si="17"/>
        <v>0</v>
      </c>
      <c r="M28" s="12">
        <f t="shared" si="17"/>
        <v>0</v>
      </c>
      <c r="N28" s="12">
        <f t="shared" si="17"/>
        <v>0</v>
      </c>
      <c r="O28" s="12">
        <f t="shared" si="17"/>
        <v>0</v>
      </c>
      <c r="P28" s="12">
        <f t="shared" si="17"/>
        <v>0</v>
      </c>
      <c r="Q28" s="12">
        <f t="shared" si="17"/>
        <v>0</v>
      </c>
      <c r="R28" s="12">
        <f t="shared" si="17"/>
        <v>0</v>
      </c>
      <c r="S28" s="12">
        <f t="shared" si="17"/>
        <v>0</v>
      </c>
      <c r="T28" s="12">
        <f t="shared" si="17"/>
        <v>0</v>
      </c>
      <c r="U28" s="12">
        <f t="shared" si="17"/>
        <v>0</v>
      </c>
      <c r="V28" s="12">
        <f t="shared" si="17"/>
        <v>0</v>
      </c>
      <c r="W28" s="12">
        <f t="shared" si="17"/>
        <v>0</v>
      </c>
      <c r="X28" s="12">
        <f t="shared" si="17"/>
        <v>0</v>
      </c>
      <c r="Y28" s="12">
        <f t="shared" si="17"/>
        <v>0</v>
      </c>
      <c r="Z28" s="12">
        <f t="shared" si="17"/>
        <v>0</v>
      </c>
      <c r="AA28" s="12">
        <f t="shared" si="17"/>
        <v>0</v>
      </c>
      <c r="AB28" s="12">
        <f t="shared" si="17"/>
        <v>0</v>
      </c>
      <c r="AC28" s="12">
        <f t="shared" si="17"/>
        <v>0</v>
      </c>
      <c r="AD28" s="12">
        <f t="shared" si="17"/>
        <v>0</v>
      </c>
      <c r="AE28" s="12">
        <f t="shared" si="17"/>
        <v>0</v>
      </c>
      <c r="AF28" s="12">
        <f t="shared" si="17"/>
        <v>0</v>
      </c>
      <c r="AG28" s="12">
        <f t="shared" si="17"/>
        <v>0</v>
      </c>
      <c r="AH28" s="12">
        <f t="shared" si="17"/>
        <v>0</v>
      </c>
      <c r="AI28" s="12">
        <f t="shared" si="17"/>
        <v>0</v>
      </c>
      <c r="AJ28" s="12">
        <f t="shared" si="17"/>
        <v>0</v>
      </c>
      <c r="AK28" s="13">
        <f t="shared" si="3"/>
        <v>0</v>
      </c>
    </row>
    <row r="29" spans="1:39" ht="12.5">
      <c r="A29" s="663"/>
      <c r="B29" s="414"/>
      <c r="C29" s="667"/>
      <c r="D29" s="668"/>
      <c r="E29" s="669"/>
      <c r="F29" s="15">
        <f t="shared" ref="F29:AJ29" si="18">SUMIFS(EQ_HInac,Desc_EQ,$C28,Fecha_Inf_EQ,VALUE($AN$1&amp;TEXT(F$11,"00")))</f>
        <v>0</v>
      </c>
      <c r="G29" s="15">
        <f t="shared" si="18"/>
        <v>0</v>
      </c>
      <c r="H29" s="15">
        <f t="shared" si="18"/>
        <v>0</v>
      </c>
      <c r="I29" s="15">
        <f t="shared" si="18"/>
        <v>0</v>
      </c>
      <c r="J29" s="15">
        <f t="shared" si="18"/>
        <v>0</v>
      </c>
      <c r="K29" s="15">
        <f t="shared" si="18"/>
        <v>0</v>
      </c>
      <c r="L29" s="15">
        <f t="shared" si="18"/>
        <v>0</v>
      </c>
      <c r="M29" s="15">
        <f t="shared" si="18"/>
        <v>0</v>
      </c>
      <c r="N29" s="15">
        <f t="shared" si="18"/>
        <v>0</v>
      </c>
      <c r="O29" s="15">
        <f t="shared" si="18"/>
        <v>0</v>
      </c>
      <c r="P29" s="15">
        <f t="shared" si="18"/>
        <v>0</v>
      </c>
      <c r="Q29" s="15">
        <f t="shared" si="18"/>
        <v>0</v>
      </c>
      <c r="R29" s="15">
        <f t="shared" si="18"/>
        <v>0</v>
      </c>
      <c r="S29" s="15">
        <f t="shared" si="18"/>
        <v>0</v>
      </c>
      <c r="T29" s="15">
        <f t="shared" si="18"/>
        <v>0</v>
      </c>
      <c r="U29" s="15">
        <f t="shared" si="18"/>
        <v>0</v>
      </c>
      <c r="V29" s="15">
        <f t="shared" si="18"/>
        <v>0</v>
      </c>
      <c r="W29" s="15">
        <f t="shared" si="18"/>
        <v>0</v>
      </c>
      <c r="X29" s="15">
        <f t="shared" si="18"/>
        <v>0</v>
      </c>
      <c r="Y29" s="15">
        <f t="shared" si="18"/>
        <v>0</v>
      </c>
      <c r="Z29" s="15">
        <f t="shared" si="18"/>
        <v>0</v>
      </c>
      <c r="AA29" s="15">
        <f t="shared" si="18"/>
        <v>0</v>
      </c>
      <c r="AB29" s="15">
        <f t="shared" si="18"/>
        <v>0</v>
      </c>
      <c r="AC29" s="15">
        <f t="shared" si="18"/>
        <v>0</v>
      </c>
      <c r="AD29" s="15">
        <f t="shared" si="18"/>
        <v>0</v>
      </c>
      <c r="AE29" s="15">
        <f t="shared" si="18"/>
        <v>0</v>
      </c>
      <c r="AF29" s="15">
        <f t="shared" si="18"/>
        <v>0</v>
      </c>
      <c r="AG29" s="15">
        <f t="shared" si="18"/>
        <v>0</v>
      </c>
      <c r="AH29" s="15">
        <f t="shared" si="18"/>
        <v>0</v>
      </c>
      <c r="AI29" s="15">
        <f t="shared" si="18"/>
        <v>0</v>
      </c>
      <c r="AJ29" s="15">
        <f t="shared" si="18"/>
        <v>0</v>
      </c>
      <c r="AK29" s="16">
        <f t="shared" si="3"/>
        <v>0</v>
      </c>
      <c r="AM29" s="14" t="str">
        <f>IFERROR(VLOOKUP(C29,EQ_Cont,9,FALSE),"")</f>
        <v/>
      </c>
    </row>
    <row r="30" spans="1:39" ht="12.5">
      <c r="A30" s="663"/>
      <c r="B30" s="414">
        <v>10</v>
      </c>
      <c r="C30" s="664" t="str">
        <f>IF(ISBLANK(DBPCFA!AP10),"",DBPCFA!AP10)</f>
        <v/>
      </c>
      <c r="D30" s="665"/>
      <c r="E30" s="666"/>
      <c r="F30" s="12">
        <f t="shared" ref="F30:AJ30" si="19">SUMIFS(EQ_HAct,Desc_EQ,$C30,Fecha_Inf_EQ,VALUE($AN$1&amp;TEXT(F$11,"00")))</f>
        <v>0</v>
      </c>
      <c r="G30" s="12">
        <f t="shared" si="19"/>
        <v>0</v>
      </c>
      <c r="H30" s="12">
        <f t="shared" si="19"/>
        <v>0</v>
      </c>
      <c r="I30" s="12">
        <f t="shared" si="19"/>
        <v>0</v>
      </c>
      <c r="J30" s="12">
        <f t="shared" si="19"/>
        <v>0</v>
      </c>
      <c r="K30" s="12">
        <f t="shared" si="19"/>
        <v>0</v>
      </c>
      <c r="L30" s="12">
        <f t="shared" si="19"/>
        <v>0</v>
      </c>
      <c r="M30" s="12">
        <f t="shared" si="19"/>
        <v>0</v>
      </c>
      <c r="N30" s="12">
        <f t="shared" si="19"/>
        <v>0</v>
      </c>
      <c r="O30" s="12">
        <f t="shared" si="19"/>
        <v>0</v>
      </c>
      <c r="P30" s="12">
        <f t="shared" si="19"/>
        <v>0</v>
      </c>
      <c r="Q30" s="12">
        <f t="shared" si="19"/>
        <v>0</v>
      </c>
      <c r="R30" s="12">
        <f t="shared" si="19"/>
        <v>0</v>
      </c>
      <c r="S30" s="12">
        <f t="shared" si="19"/>
        <v>0</v>
      </c>
      <c r="T30" s="12">
        <f t="shared" si="19"/>
        <v>0</v>
      </c>
      <c r="U30" s="12">
        <f t="shared" si="19"/>
        <v>0</v>
      </c>
      <c r="V30" s="12">
        <f t="shared" si="19"/>
        <v>0</v>
      </c>
      <c r="W30" s="12">
        <f t="shared" si="19"/>
        <v>0</v>
      </c>
      <c r="X30" s="12">
        <f t="shared" si="19"/>
        <v>0</v>
      </c>
      <c r="Y30" s="12">
        <f t="shared" si="19"/>
        <v>0</v>
      </c>
      <c r="Z30" s="12">
        <f t="shared" si="19"/>
        <v>0</v>
      </c>
      <c r="AA30" s="12">
        <f t="shared" si="19"/>
        <v>0</v>
      </c>
      <c r="AB30" s="12">
        <f t="shared" si="19"/>
        <v>0</v>
      </c>
      <c r="AC30" s="12">
        <f t="shared" si="19"/>
        <v>0</v>
      </c>
      <c r="AD30" s="12">
        <f t="shared" si="19"/>
        <v>0</v>
      </c>
      <c r="AE30" s="12">
        <f t="shared" si="19"/>
        <v>0</v>
      </c>
      <c r="AF30" s="12">
        <f t="shared" si="19"/>
        <v>0</v>
      </c>
      <c r="AG30" s="12">
        <f t="shared" si="19"/>
        <v>0</v>
      </c>
      <c r="AH30" s="12">
        <f t="shared" si="19"/>
        <v>0</v>
      </c>
      <c r="AI30" s="12">
        <f t="shared" si="19"/>
        <v>0</v>
      </c>
      <c r="AJ30" s="12">
        <f t="shared" si="19"/>
        <v>0</v>
      </c>
      <c r="AK30" s="13">
        <f t="shared" si="3"/>
        <v>0</v>
      </c>
    </row>
    <row r="31" spans="1:39" ht="12.5">
      <c r="A31" s="663"/>
      <c r="B31" s="414"/>
      <c r="C31" s="667"/>
      <c r="D31" s="668"/>
      <c r="E31" s="669"/>
      <c r="F31" s="15">
        <f t="shared" ref="F31:AJ31" si="20">SUMIFS(EQ_HInac,Desc_EQ,$C30,Fecha_Inf_EQ,VALUE($AN$1&amp;TEXT(F$11,"00")))</f>
        <v>0</v>
      </c>
      <c r="G31" s="15">
        <f t="shared" si="20"/>
        <v>0</v>
      </c>
      <c r="H31" s="15">
        <f t="shared" si="20"/>
        <v>0</v>
      </c>
      <c r="I31" s="15">
        <f t="shared" si="20"/>
        <v>0</v>
      </c>
      <c r="J31" s="15">
        <f t="shared" si="20"/>
        <v>0</v>
      </c>
      <c r="K31" s="15">
        <f t="shared" si="20"/>
        <v>0</v>
      </c>
      <c r="L31" s="15">
        <f t="shared" si="20"/>
        <v>0</v>
      </c>
      <c r="M31" s="15">
        <f t="shared" si="20"/>
        <v>0</v>
      </c>
      <c r="N31" s="15">
        <f t="shared" si="20"/>
        <v>0</v>
      </c>
      <c r="O31" s="15">
        <f t="shared" si="20"/>
        <v>0</v>
      </c>
      <c r="P31" s="15">
        <f t="shared" si="20"/>
        <v>0</v>
      </c>
      <c r="Q31" s="15">
        <f t="shared" si="20"/>
        <v>0</v>
      </c>
      <c r="R31" s="15">
        <f t="shared" si="20"/>
        <v>0</v>
      </c>
      <c r="S31" s="15">
        <f t="shared" si="20"/>
        <v>0</v>
      </c>
      <c r="T31" s="15">
        <f t="shared" si="20"/>
        <v>0</v>
      </c>
      <c r="U31" s="15">
        <f t="shared" si="20"/>
        <v>0</v>
      </c>
      <c r="V31" s="15">
        <f t="shared" si="20"/>
        <v>0</v>
      </c>
      <c r="W31" s="15">
        <f t="shared" si="20"/>
        <v>0</v>
      </c>
      <c r="X31" s="15">
        <f t="shared" si="20"/>
        <v>0</v>
      </c>
      <c r="Y31" s="15">
        <f t="shared" si="20"/>
        <v>0</v>
      </c>
      <c r="Z31" s="15">
        <f t="shared" si="20"/>
        <v>0</v>
      </c>
      <c r="AA31" s="15">
        <f t="shared" si="20"/>
        <v>0</v>
      </c>
      <c r="AB31" s="15">
        <f t="shared" si="20"/>
        <v>0</v>
      </c>
      <c r="AC31" s="15">
        <f t="shared" si="20"/>
        <v>0</v>
      </c>
      <c r="AD31" s="15">
        <f t="shared" si="20"/>
        <v>0</v>
      </c>
      <c r="AE31" s="15">
        <f t="shared" si="20"/>
        <v>0</v>
      </c>
      <c r="AF31" s="15">
        <f t="shared" si="20"/>
        <v>0</v>
      </c>
      <c r="AG31" s="15">
        <f t="shared" si="20"/>
        <v>0</v>
      </c>
      <c r="AH31" s="15">
        <f t="shared" si="20"/>
        <v>0</v>
      </c>
      <c r="AI31" s="15">
        <f t="shared" si="20"/>
        <v>0</v>
      </c>
      <c r="AJ31" s="15">
        <f t="shared" si="20"/>
        <v>0</v>
      </c>
      <c r="AK31" s="16">
        <f t="shared" si="3"/>
        <v>0</v>
      </c>
      <c r="AM31" s="14" t="str">
        <f>IFERROR(VLOOKUP(C31,EQ_Cont,9,FALSE),"")</f>
        <v/>
      </c>
    </row>
    <row r="32" spans="1:39" ht="12.75" customHeight="1">
      <c r="AM32" s="14"/>
    </row>
    <row r="33" spans="2:39" ht="12.5">
      <c r="B33" s="8" t="s">
        <v>149</v>
      </c>
      <c r="C33" s="9" t="s">
        <v>150</v>
      </c>
      <c r="D33" s="8" t="s">
        <v>151</v>
      </c>
      <c r="E33" s="8" t="s">
        <v>152</v>
      </c>
      <c r="F33" s="644" t="s">
        <v>153</v>
      </c>
      <c r="G33" s="367"/>
      <c r="H33" s="646" t="s">
        <v>154</v>
      </c>
      <c r="I33" s="646"/>
      <c r="J33" s="646"/>
      <c r="K33" s="646" t="s">
        <v>155</v>
      </c>
      <c r="L33" s="646"/>
      <c r="M33" s="646"/>
      <c r="N33" s="646" t="s">
        <v>156</v>
      </c>
      <c r="O33" s="646"/>
      <c r="P33" s="646"/>
      <c r="Q33" s="644" t="s">
        <v>157</v>
      </c>
      <c r="R33" s="659"/>
      <c r="S33" s="367"/>
      <c r="T33" s="646" t="s">
        <v>158</v>
      </c>
      <c r="U33" s="646"/>
      <c r="V33" s="646"/>
      <c r="W33" s="644" t="s">
        <v>159</v>
      </c>
      <c r="X33" s="659"/>
      <c r="Y33" s="367"/>
      <c r="Z33" s="644" t="s">
        <v>160</v>
      </c>
      <c r="AA33" s="659"/>
      <c r="AB33" s="367"/>
      <c r="AC33" s="644" t="s">
        <v>161</v>
      </c>
      <c r="AD33" s="659"/>
      <c r="AE33" s="367"/>
      <c r="AF33" s="644" t="s">
        <v>162</v>
      </c>
      <c r="AG33" s="659"/>
      <c r="AH33" s="367"/>
      <c r="AI33" s="644" t="s">
        <v>163</v>
      </c>
      <c r="AJ33" s="659"/>
      <c r="AK33" s="367"/>
      <c r="AM33" s="14"/>
    </row>
    <row r="34" spans="2:39" ht="12.5">
      <c r="B34" s="17"/>
      <c r="C34" s="18" t="s">
        <v>164</v>
      </c>
      <c r="D34" s="18" t="s">
        <v>165</v>
      </c>
      <c r="E34" s="18" t="s">
        <v>166</v>
      </c>
      <c r="F34" s="660" t="s">
        <v>166</v>
      </c>
      <c r="G34" s="661"/>
      <c r="H34" s="656" t="s">
        <v>167</v>
      </c>
      <c r="I34" s="657"/>
      <c r="J34" s="658"/>
      <c r="K34" s="656" t="s">
        <v>168</v>
      </c>
      <c r="L34" s="657"/>
      <c r="M34" s="658"/>
      <c r="N34" s="656" t="s">
        <v>169</v>
      </c>
      <c r="O34" s="657"/>
      <c r="P34" s="658"/>
      <c r="Q34" s="660" t="s">
        <v>168</v>
      </c>
      <c r="R34" s="662"/>
      <c r="S34" s="661"/>
      <c r="T34" s="660" t="s">
        <v>169</v>
      </c>
      <c r="U34" s="662"/>
      <c r="V34" s="661"/>
      <c r="W34" s="660" t="s">
        <v>168</v>
      </c>
      <c r="X34" s="662"/>
      <c r="Y34" s="661"/>
      <c r="Z34" s="660" t="s">
        <v>170</v>
      </c>
      <c r="AA34" s="662"/>
      <c r="AB34" s="661"/>
      <c r="AC34" s="660" t="s">
        <v>171</v>
      </c>
      <c r="AD34" s="662"/>
      <c r="AE34" s="661"/>
      <c r="AF34" s="660" t="s">
        <v>169</v>
      </c>
      <c r="AG34" s="662"/>
      <c r="AH34" s="661"/>
      <c r="AI34" s="660" t="s">
        <v>172</v>
      </c>
      <c r="AJ34" s="662"/>
      <c r="AK34" s="661"/>
      <c r="AM34" s="14"/>
    </row>
    <row r="35" spans="2:39" ht="12.5">
      <c r="B35" s="10"/>
      <c r="C35" s="19" t="s">
        <v>173</v>
      </c>
      <c r="D35" s="19" t="s">
        <v>174</v>
      </c>
      <c r="E35" s="19" t="s">
        <v>175</v>
      </c>
      <c r="F35" s="641" t="s">
        <v>176</v>
      </c>
      <c r="G35" s="643"/>
      <c r="H35" s="656" t="s">
        <v>177</v>
      </c>
      <c r="I35" s="657"/>
      <c r="J35" s="658"/>
      <c r="K35" s="656" t="s">
        <v>178</v>
      </c>
      <c r="L35" s="657"/>
      <c r="M35" s="658"/>
      <c r="N35" s="656" t="s">
        <v>179</v>
      </c>
      <c r="O35" s="657"/>
      <c r="P35" s="658"/>
      <c r="Q35" s="641" t="s">
        <v>180</v>
      </c>
      <c r="R35" s="642"/>
      <c r="S35" s="643"/>
      <c r="T35" s="641" t="s">
        <v>180</v>
      </c>
      <c r="U35" s="642"/>
      <c r="V35" s="643"/>
      <c r="W35" s="641" t="s">
        <v>181</v>
      </c>
      <c r="X35" s="642"/>
      <c r="Y35" s="643"/>
      <c r="Z35" s="641" t="s">
        <v>182</v>
      </c>
      <c r="AA35" s="642"/>
      <c r="AB35" s="643"/>
      <c r="AC35" s="641" t="s">
        <v>183</v>
      </c>
      <c r="AD35" s="642"/>
      <c r="AE35" s="643"/>
      <c r="AF35" s="641" t="s">
        <v>184</v>
      </c>
      <c r="AG35" s="642"/>
      <c r="AH35" s="643"/>
      <c r="AI35" s="641" t="s">
        <v>185</v>
      </c>
      <c r="AJ35" s="642"/>
      <c r="AK35" s="643"/>
      <c r="AM35" s="14"/>
    </row>
    <row r="36" spans="2:39" ht="13">
      <c r="B36" s="8"/>
      <c r="C36" s="8" t="s">
        <v>186</v>
      </c>
      <c r="D36" s="20" t="s">
        <v>187</v>
      </c>
      <c r="E36" s="8" t="s">
        <v>186</v>
      </c>
      <c r="F36" s="644" t="s">
        <v>186</v>
      </c>
      <c r="G36" s="367"/>
      <c r="H36" s="645" t="s">
        <v>188</v>
      </c>
      <c r="I36" s="645"/>
      <c r="J36" s="645"/>
      <c r="K36" s="646" t="s">
        <v>186</v>
      </c>
      <c r="L36" s="646"/>
      <c r="M36" s="646"/>
      <c r="N36" s="645" t="s">
        <v>189</v>
      </c>
      <c r="O36" s="645"/>
      <c r="P36" s="645"/>
      <c r="Q36" s="647" t="s">
        <v>190</v>
      </c>
      <c r="R36" s="647"/>
      <c r="S36" s="648"/>
      <c r="T36" s="649" t="s">
        <v>191</v>
      </c>
      <c r="U36" s="647"/>
      <c r="V36" s="648"/>
      <c r="W36" s="650" t="s">
        <v>186</v>
      </c>
      <c r="X36" s="651"/>
      <c r="Y36" s="652"/>
      <c r="Z36" s="650" t="s">
        <v>186</v>
      </c>
      <c r="AA36" s="651"/>
      <c r="AB36" s="652"/>
      <c r="AC36" s="653" t="s">
        <v>192</v>
      </c>
      <c r="AD36" s="654"/>
      <c r="AE36" s="655"/>
      <c r="AF36" s="653" t="s">
        <v>193</v>
      </c>
      <c r="AG36" s="654"/>
      <c r="AH36" s="655"/>
      <c r="AI36" s="653" t="s">
        <v>194</v>
      </c>
      <c r="AJ36" s="654"/>
      <c r="AK36" s="655"/>
      <c r="AM36" s="14"/>
    </row>
    <row r="37" spans="2:39" ht="12.5">
      <c r="B37" s="8">
        <v>1</v>
      </c>
      <c r="C37" s="215">
        <f>IFERROR(VLOOKUP($C12,EQ_Cont,9,FALSE),"")</f>
        <v>0</v>
      </c>
      <c r="D37" s="21">
        <f>C37/176</f>
        <v>0</v>
      </c>
      <c r="E37" s="21">
        <f>IF(C37&lt;&gt;0,1,0)</f>
        <v>0</v>
      </c>
      <c r="F37" s="636">
        <f>IFERROR(VLOOKUP($C12,EQ_Cont,10,FALSE),"")</f>
        <v>0</v>
      </c>
      <c r="G37" s="637"/>
      <c r="H37" s="628">
        <f>D37*E37*F37</f>
        <v>0</v>
      </c>
      <c r="I37" s="628"/>
      <c r="J37" s="628"/>
      <c r="K37" s="638">
        <f>AK13</f>
        <v>0</v>
      </c>
      <c r="L37" s="639"/>
      <c r="M37" s="639"/>
      <c r="N37" s="628">
        <f>IF('Información Force Account'!$I$1,K37*H37,K37*H37/2)</f>
        <v>0</v>
      </c>
      <c r="O37" s="628"/>
      <c r="P37" s="628"/>
      <c r="Q37" s="640">
        <f>K37+W37</f>
        <v>0</v>
      </c>
      <c r="R37" s="638"/>
      <c r="S37" s="638"/>
      <c r="T37" s="628">
        <f>H37*Q37</f>
        <v>0</v>
      </c>
      <c r="U37" s="628"/>
      <c r="V37" s="628"/>
      <c r="W37" s="630">
        <f>AK12</f>
        <v>0</v>
      </c>
      <c r="X37" s="631"/>
      <c r="Y37" s="632"/>
      <c r="Z37" s="633">
        <f>IFERROR(VLOOKUP($C12,EQ_Cont,11,FALSE),"")</f>
        <v>0</v>
      </c>
      <c r="AA37" s="634"/>
      <c r="AB37" s="635"/>
      <c r="AC37" s="626">
        <f>H37+Z37</f>
        <v>0</v>
      </c>
      <c r="AD37" s="627"/>
      <c r="AE37" s="376"/>
      <c r="AF37" s="626">
        <f>W37*AC37</f>
        <v>0</v>
      </c>
      <c r="AG37" s="627"/>
      <c r="AH37" s="376"/>
      <c r="AI37" s="626">
        <f>N37+AF37</f>
        <v>0</v>
      </c>
      <c r="AJ37" s="627"/>
      <c r="AK37" s="376"/>
      <c r="AM37" s="14"/>
    </row>
    <row r="38" spans="2:39" ht="12.5">
      <c r="B38" s="8">
        <v>2</v>
      </c>
      <c r="C38" s="215">
        <f>IFERROR(VLOOKUP($C14,EQ_Cont,9,FALSE),"")</f>
        <v>0</v>
      </c>
      <c r="D38" s="21">
        <f t="shared" ref="D38:D46" si="21">C38/176</f>
        <v>0</v>
      </c>
      <c r="E38" s="21">
        <f t="shared" ref="E38:E46" si="22">IF(C38&lt;&gt;0,1,0)</f>
        <v>0</v>
      </c>
      <c r="F38" s="636">
        <f>IFERROR(VLOOKUP($C14,EQ_Cont,10,FALSE),"")</f>
        <v>0</v>
      </c>
      <c r="G38" s="637"/>
      <c r="H38" s="628">
        <f t="shared" ref="H38:H46" si="23">D38*E38*F38</f>
        <v>0</v>
      </c>
      <c r="I38" s="628"/>
      <c r="J38" s="628"/>
      <c r="K38" s="638">
        <f>AK15</f>
        <v>0</v>
      </c>
      <c r="L38" s="639"/>
      <c r="M38" s="639"/>
      <c r="N38" s="628">
        <f>IF('Información Force Account'!$I$1,K38*H38,K38*H38/2)</f>
        <v>0</v>
      </c>
      <c r="O38" s="628"/>
      <c r="P38" s="628"/>
      <c r="Q38" s="640">
        <f t="shared" ref="Q38:Q46" si="24">K38+W38</f>
        <v>0</v>
      </c>
      <c r="R38" s="638"/>
      <c r="S38" s="638"/>
      <c r="T38" s="628">
        <f t="shared" ref="T38:T46" si="25">H38*Q38</f>
        <v>0</v>
      </c>
      <c r="U38" s="628"/>
      <c r="V38" s="628"/>
      <c r="W38" s="630">
        <f>AK14</f>
        <v>0</v>
      </c>
      <c r="X38" s="631"/>
      <c r="Y38" s="632"/>
      <c r="Z38" s="633">
        <f>IFERROR(VLOOKUP($C14,EQ_Cont,11,FALSE),"")</f>
        <v>0</v>
      </c>
      <c r="AA38" s="634">
        <v>0</v>
      </c>
      <c r="AB38" s="635">
        <v>0</v>
      </c>
      <c r="AC38" s="626">
        <f t="shared" ref="AC38:AC46" si="26">H38+Z38</f>
        <v>0</v>
      </c>
      <c r="AD38" s="627"/>
      <c r="AE38" s="376"/>
      <c r="AF38" s="626">
        <f t="shared" ref="AF38:AF46" si="27">W38*AC38</f>
        <v>0</v>
      </c>
      <c r="AG38" s="627"/>
      <c r="AH38" s="376"/>
      <c r="AI38" s="626">
        <f t="shared" ref="AI38:AI46" si="28">N38+AF38</f>
        <v>0</v>
      </c>
      <c r="AJ38" s="627"/>
      <c r="AK38" s="376"/>
      <c r="AM38" s="14"/>
    </row>
    <row r="39" spans="2:39" ht="12.5">
      <c r="B39" s="8">
        <v>3</v>
      </c>
      <c r="C39" s="215">
        <f>IFERROR(VLOOKUP($C16,EQ_Cont,9,FALSE),"")</f>
        <v>0</v>
      </c>
      <c r="D39" s="21">
        <f t="shared" si="21"/>
        <v>0</v>
      </c>
      <c r="E39" s="21">
        <f t="shared" si="22"/>
        <v>0</v>
      </c>
      <c r="F39" s="636">
        <f>IFERROR(VLOOKUP($C16,EQ_Cont,10,FALSE),"")</f>
        <v>0</v>
      </c>
      <c r="G39" s="637"/>
      <c r="H39" s="628">
        <f t="shared" si="23"/>
        <v>0</v>
      </c>
      <c r="I39" s="628"/>
      <c r="J39" s="628"/>
      <c r="K39" s="638">
        <f>AK17</f>
        <v>0</v>
      </c>
      <c r="L39" s="639"/>
      <c r="M39" s="639"/>
      <c r="N39" s="628">
        <f>IF('Información Force Account'!$I$1,K39*H39,K39*H39/2)</f>
        <v>0</v>
      </c>
      <c r="O39" s="628"/>
      <c r="P39" s="628"/>
      <c r="Q39" s="640">
        <f t="shared" si="24"/>
        <v>0</v>
      </c>
      <c r="R39" s="638"/>
      <c r="S39" s="638"/>
      <c r="T39" s="628">
        <f t="shared" si="25"/>
        <v>0</v>
      </c>
      <c r="U39" s="628"/>
      <c r="V39" s="628"/>
      <c r="W39" s="630">
        <f>AK16</f>
        <v>0</v>
      </c>
      <c r="X39" s="631"/>
      <c r="Y39" s="632"/>
      <c r="Z39" s="633">
        <f>IFERROR(VLOOKUP($C16,EQ_Cont,11,FALSE),"")</f>
        <v>0</v>
      </c>
      <c r="AA39" s="634">
        <v>0</v>
      </c>
      <c r="AB39" s="635">
        <v>0</v>
      </c>
      <c r="AC39" s="626">
        <f t="shared" si="26"/>
        <v>0</v>
      </c>
      <c r="AD39" s="627"/>
      <c r="AE39" s="376"/>
      <c r="AF39" s="626">
        <f t="shared" si="27"/>
        <v>0</v>
      </c>
      <c r="AG39" s="627"/>
      <c r="AH39" s="376"/>
      <c r="AI39" s="626">
        <f t="shared" si="28"/>
        <v>0</v>
      </c>
      <c r="AJ39" s="627"/>
      <c r="AK39" s="376"/>
      <c r="AM39" s="14"/>
    </row>
    <row r="40" spans="2:39" ht="12.5">
      <c r="B40" s="8">
        <v>4</v>
      </c>
      <c r="C40" s="215">
        <f>IFERROR(VLOOKUP($C18,EQ_Cont,9,FALSE),"")</f>
        <v>0</v>
      </c>
      <c r="D40" s="21">
        <f t="shared" si="21"/>
        <v>0</v>
      </c>
      <c r="E40" s="21">
        <f t="shared" si="22"/>
        <v>0</v>
      </c>
      <c r="F40" s="636">
        <f>IFERROR(VLOOKUP($C18,EQ_Cont,10,FALSE),"")</f>
        <v>0</v>
      </c>
      <c r="G40" s="637"/>
      <c r="H40" s="628">
        <f t="shared" si="23"/>
        <v>0</v>
      </c>
      <c r="I40" s="628"/>
      <c r="J40" s="628"/>
      <c r="K40" s="638">
        <f>AK19</f>
        <v>0</v>
      </c>
      <c r="L40" s="639"/>
      <c r="M40" s="639"/>
      <c r="N40" s="628">
        <f>IF('Información Force Account'!$I$1,K40*H40,K40*H40/2)</f>
        <v>0</v>
      </c>
      <c r="O40" s="628"/>
      <c r="P40" s="628"/>
      <c r="Q40" s="640">
        <f t="shared" si="24"/>
        <v>0</v>
      </c>
      <c r="R40" s="638"/>
      <c r="S40" s="638"/>
      <c r="T40" s="628">
        <f t="shared" si="25"/>
        <v>0</v>
      </c>
      <c r="U40" s="628"/>
      <c r="V40" s="628"/>
      <c r="W40" s="630">
        <f>AK18</f>
        <v>0</v>
      </c>
      <c r="X40" s="631"/>
      <c r="Y40" s="632"/>
      <c r="Z40" s="633">
        <f>IFERROR(VLOOKUP($C18,EQ_Cont,11,FALSE),"")</f>
        <v>0</v>
      </c>
      <c r="AA40" s="634">
        <v>0</v>
      </c>
      <c r="AB40" s="635">
        <v>0</v>
      </c>
      <c r="AC40" s="626">
        <f t="shared" si="26"/>
        <v>0</v>
      </c>
      <c r="AD40" s="627"/>
      <c r="AE40" s="376"/>
      <c r="AF40" s="626">
        <f t="shared" si="27"/>
        <v>0</v>
      </c>
      <c r="AG40" s="627"/>
      <c r="AH40" s="376"/>
      <c r="AI40" s="626">
        <f t="shared" si="28"/>
        <v>0</v>
      </c>
      <c r="AJ40" s="627"/>
      <c r="AK40" s="376"/>
      <c r="AM40" s="14"/>
    </row>
    <row r="41" spans="2:39" ht="12.5">
      <c r="B41" s="8">
        <v>5</v>
      </c>
      <c r="C41" s="215">
        <f>IFERROR(VLOOKUP($C20,EQ_Cont,9,FALSE),"")</f>
        <v>0</v>
      </c>
      <c r="D41" s="21">
        <f t="shared" si="21"/>
        <v>0</v>
      </c>
      <c r="E41" s="21">
        <f t="shared" si="22"/>
        <v>0</v>
      </c>
      <c r="F41" s="636">
        <f>IFERROR(VLOOKUP($C20,EQ_Cont,10,FALSE),"")</f>
        <v>0</v>
      </c>
      <c r="G41" s="637"/>
      <c r="H41" s="628">
        <f t="shared" si="23"/>
        <v>0</v>
      </c>
      <c r="I41" s="628"/>
      <c r="J41" s="628"/>
      <c r="K41" s="638">
        <f>AK21</f>
        <v>0</v>
      </c>
      <c r="L41" s="639"/>
      <c r="M41" s="639"/>
      <c r="N41" s="628">
        <f>IF('Información Force Account'!$I$1,K41*H41,K41*H41/2)</f>
        <v>0</v>
      </c>
      <c r="O41" s="628"/>
      <c r="P41" s="628"/>
      <c r="Q41" s="640">
        <f t="shared" si="24"/>
        <v>0</v>
      </c>
      <c r="R41" s="638"/>
      <c r="S41" s="638"/>
      <c r="T41" s="628">
        <f t="shared" si="25"/>
        <v>0</v>
      </c>
      <c r="U41" s="628"/>
      <c r="V41" s="628"/>
      <c r="W41" s="630">
        <f>AK20</f>
        <v>0</v>
      </c>
      <c r="X41" s="631"/>
      <c r="Y41" s="632"/>
      <c r="Z41" s="633">
        <f>IFERROR(VLOOKUP($C20,EQ_Cont,11,FALSE),"")</f>
        <v>0</v>
      </c>
      <c r="AA41" s="634">
        <v>0</v>
      </c>
      <c r="AB41" s="635">
        <v>0</v>
      </c>
      <c r="AC41" s="626">
        <f t="shared" si="26"/>
        <v>0</v>
      </c>
      <c r="AD41" s="627"/>
      <c r="AE41" s="376"/>
      <c r="AF41" s="626">
        <f t="shared" si="27"/>
        <v>0</v>
      </c>
      <c r="AG41" s="627"/>
      <c r="AH41" s="376"/>
      <c r="AI41" s="626">
        <f t="shared" si="28"/>
        <v>0</v>
      </c>
      <c r="AJ41" s="627"/>
      <c r="AK41" s="376"/>
      <c r="AM41" s="14"/>
    </row>
    <row r="42" spans="2:39" ht="12.5">
      <c r="B42" s="8">
        <v>6</v>
      </c>
      <c r="C42" s="215">
        <f>IFERROR(VLOOKUP($C22,EQ_Cont,9,FALSE),"")</f>
        <v>0</v>
      </c>
      <c r="D42" s="21">
        <f t="shared" si="21"/>
        <v>0</v>
      </c>
      <c r="E42" s="21">
        <f t="shared" si="22"/>
        <v>0</v>
      </c>
      <c r="F42" s="636">
        <f>IFERROR(VLOOKUP($C22,EQ_Cont,10,FALSE),"")</f>
        <v>0</v>
      </c>
      <c r="G42" s="637"/>
      <c r="H42" s="628">
        <f t="shared" si="23"/>
        <v>0</v>
      </c>
      <c r="I42" s="628"/>
      <c r="J42" s="628"/>
      <c r="K42" s="638">
        <f>AK23</f>
        <v>0</v>
      </c>
      <c r="L42" s="639"/>
      <c r="M42" s="639"/>
      <c r="N42" s="628">
        <f>IF('Información Force Account'!$I$1,K42*H42,K42*H42/2)</f>
        <v>0</v>
      </c>
      <c r="O42" s="628"/>
      <c r="P42" s="628"/>
      <c r="Q42" s="640">
        <f t="shared" si="24"/>
        <v>0</v>
      </c>
      <c r="R42" s="638"/>
      <c r="S42" s="638"/>
      <c r="T42" s="628">
        <f t="shared" si="25"/>
        <v>0</v>
      </c>
      <c r="U42" s="628"/>
      <c r="V42" s="628"/>
      <c r="W42" s="630">
        <f>AK22</f>
        <v>0</v>
      </c>
      <c r="X42" s="631"/>
      <c r="Y42" s="632"/>
      <c r="Z42" s="633">
        <f>IFERROR(VLOOKUP($C22,EQ_Cont,11,FALSE),"")</f>
        <v>0</v>
      </c>
      <c r="AA42" s="634">
        <v>0</v>
      </c>
      <c r="AB42" s="635">
        <v>0</v>
      </c>
      <c r="AC42" s="626">
        <f t="shared" si="26"/>
        <v>0</v>
      </c>
      <c r="AD42" s="627"/>
      <c r="AE42" s="376"/>
      <c r="AF42" s="626">
        <f t="shared" si="27"/>
        <v>0</v>
      </c>
      <c r="AG42" s="627"/>
      <c r="AH42" s="376"/>
      <c r="AI42" s="626">
        <f t="shared" si="28"/>
        <v>0</v>
      </c>
      <c r="AJ42" s="627"/>
      <c r="AK42" s="376"/>
      <c r="AM42" s="14"/>
    </row>
    <row r="43" spans="2:39" ht="12.5">
      <c r="B43" s="8">
        <v>7</v>
      </c>
      <c r="C43" s="215">
        <f>IFERROR(VLOOKUP($C24,EQ_Cont,9,FALSE),"")</f>
        <v>0</v>
      </c>
      <c r="D43" s="21">
        <f t="shared" si="21"/>
        <v>0</v>
      </c>
      <c r="E43" s="21">
        <f t="shared" si="22"/>
        <v>0</v>
      </c>
      <c r="F43" s="636">
        <f>IFERROR(VLOOKUP($C24,EQ_Cont,10,FALSE),"")</f>
        <v>0</v>
      </c>
      <c r="G43" s="637"/>
      <c r="H43" s="628">
        <f t="shared" si="23"/>
        <v>0</v>
      </c>
      <c r="I43" s="628"/>
      <c r="J43" s="628"/>
      <c r="K43" s="638">
        <f>AK25</f>
        <v>0</v>
      </c>
      <c r="L43" s="639"/>
      <c r="M43" s="639"/>
      <c r="N43" s="628">
        <f>IF('Información Force Account'!$I$1,K43*H43,K43*H43/2)</f>
        <v>0</v>
      </c>
      <c r="O43" s="628"/>
      <c r="P43" s="628"/>
      <c r="Q43" s="640">
        <f t="shared" si="24"/>
        <v>0</v>
      </c>
      <c r="R43" s="638"/>
      <c r="S43" s="638"/>
      <c r="T43" s="628">
        <f t="shared" si="25"/>
        <v>0</v>
      </c>
      <c r="U43" s="628"/>
      <c r="V43" s="628"/>
      <c r="W43" s="630">
        <f>AK24</f>
        <v>0</v>
      </c>
      <c r="X43" s="631"/>
      <c r="Y43" s="632"/>
      <c r="Z43" s="633">
        <f>IFERROR(VLOOKUP($C24,EQ_Cont,11,FALSE),"")</f>
        <v>0</v>
      </c>
      <c r="AA43" s="634">
        <v>0</v>
      </c>
      <c r="AB43" s="635">
        <v>0</v>
      </c>
      <c r="AC43" s="626">
        <f t="shared" si="26"/>
        <v>0</v>
      </c>
      <c r="AD43" s="627"/>
      <c r="AE43" s="376"/>
      <c r="AF43" s="626">
        <f t="shared" si="27"/>
        <v>0</v>
      </c>
      <c r="AG43" s="627"/>
      <c r="AH43" s="376"/>
      <c r="AI43" s="626">
        <f t="shared" si="28"/>
        <v>0</v>
      </c>
      <c r="AJ43" s="627"/>
      <c r="AK43" s="376"/>
      <c r="AM43" s="14"/>
    </row>
    <row r="44" spans="2:39" ht="12.5">
      <c r="B44" s="8">
        <v>8</v>
      </c>
      <c r="C44" s="215">
        <f>IFERROR(VLOOKUP($C26,EQ_Cont,9,FALSE),"")</f>
        <v>0</v>
      </c>
      <c r="D44" s="21">
        <f t="shared" si="21"/>
        <v>0</v>
      </c>
      <c r="E44" s="21">
        <f t="shared" si="22"/>
        <v>0</v>
      </c>
      <c r="F44" s="636">
        <f>IFERROR(VLOOKUP($C26,EQ_Cont,10,FALSE),"")</f>
        <v>0</v>
      </c>
      <c r="G44" s="637"/>
      <c r="H44" s="628">
        <f t="shared" si="23"/>
        <v>0</v>
      </c>
      <c r="I44" s="628"/>
      <c r="J44" s="628"/>
      <c r="K44" s="638">
        <f>AK27</f>
        <v>0</v>
      </c>
      <c r="L44" s="639"/>
      <c r="M44" s="639"/>
      <c r="N44" s="628">
        <f>IF('Información Force Account'!$I$1,K44*H44,K44*H44/2)</f>
        <v>0</v>
      </c>
      <c r="O44" s="628"/>
      <c r="P44" s="628"/>
      <c r="Q44" s="640">
        <f t="shared" si="24"/>
        <v>0</v>
      </c>
      <c r="R44" s="638"/>
      <c r="S44" s="638"/>
      <c r="T44" s="628">
        <f t="shared" si="25"/>
        <v>0</v>
      </c>
      <c r="U44" s="628"/>
      <c r="V44" s="628"/>
      <c r="W44" s="630">
        <f>AK26</f>
        <v>0</v>
      </c>
      <c r="X44" s="631"/>
      <c r="Y44" s="632"/>
      <c r="Z44" s="633">
        <f>IFERROR(VLOOKUP($C26,EQ_Cont,11,FALSE),"")</f>
        <v>0</v>
      </c>
      <c r="AA44" s="634">
        <v>0</v>
      </c>
      <c r="AB44" s="635">
        <v>0</v>
      </c>
      <c r="AC44" s="626">
        <f t="shared" si="26"/>
        <v>0</v>
      </c>
      <c r="AD44" s="627"/>
      <c r="AE44" s="376"/>
      <c r="AF44" s="626">
        <f t="shared" si="27"/>
        <v>0</v>
      </c>
      <c r="AG44" s="627"/>
      <c r="AH44" s="376"/>
      <c r="AI44" s="626">
        <f t="shared" si="28"/>
        <v>0</v>
      </c>
      <c r="AJ44" s="627"/>
      <c r="AK44" s="376"/>
      <c r="AM44" s="14"/>
    </row>
    <row r="45" spans="2:39" ht="12.5">
      <c r="B45" s="8">
        <v>9</v>
      </c>
      <c r="C45" s="215">
        <f>IFERROR(VLOOKUP($C28,EQ_Cont,9,FALSE),"")</f>
        <v>0</v>
      </c>
      <c r="D45" s="21">
        <f t="shared" si="21"/>
        <v>0</v>
      </c>
      <c r="E45" s="21">
        <f t="shared" si="22"/>
        <v>0</v>
      </c>
      <c r="F45" s="636">
        <f>IFERROR(VLOOKUP($C28,EQ_Cont,10,FALSE),"")</f>
        <v>0</v>
      </c>
      <c r="G45" s="637"/>
      <c r="H45" s="628">
        <f t="shared" si="23"/>
        <v>0</v>
      </c>
      <c r="I45" s="628"/>
      <c r="J45" s="628"/>
      <c r="K45" s="638">
        <f>AK29</f>
        <v>0</v>
      </c>
      <c r="L45" s="639"/>
      <c r="M45" s="639"/>
      <c r="N45" s="628">
        <f>IF('Información Force Account'!$I$1,K45*H45,K45*H45/2)</f>
        <v>0</v>
      </c>
      <c r="O45" s="628"/>
      <c r="P45" s="628"/>
      <c r="Q45" s="640">
        <f t="shared" si="24"/>
        <v>0</v>
      </c>
      <c r="R45" s="638"/>
      <c r="S45" s="638"/>
      <c r="T45" s="628">
        <f t="shared" si="25"/>
        <v>0</v>
      </c>
      <c r="U45" s="628"/>
      <c r="V45" s="628"/>
      <c r="W45" s="630">
        <f>AK28</f>
        <v>0</v>
      </c>
      <c r="X45" s="631"/>
      <c r="Y45" s="632"/>
      <c r="Z45" s="633">
        <f>IFERROR(VLOOKUP($C28,EQ_Cont,11,FALSE),"")</f>
        <v>0</v>
      </c>
      <c r="AA45" s="634">
        <v>0</v>
      </c>
      <c r="AB45" s="635">
        <v>0</v>
      </c>
      <c r="AC45" s="626">
        <f t="shared" si="26"/>
        <v>0</v>
      </c>
      <c r="AD45" s="627"/>
      <c r="AE45" s="376"/>
      <c r="AF45" s="626">
        <f t="shared" si="27"/>
        <v>0</v>
      </c>
      <c r="AG45" s="627"/>
      <c r="AH45" s="376"/>
      <c r="AI45" s="626">
        <f t="shared" si="28"/>
        <v>0</v>
      </c>
      <c r="AJ45" s="627"/>
      <c r="AK45" s="376"/>
      <c r="AM45" s="14"/>
    </row>
    <row r="46" spans="2:39" ht="12.5">
      <c r="B46" s="8">
        <v>10</v>
      </c>
      <c r="C46" s="215">
        <f>IFERROR(VLOOKUP($C30,EQ_Cont,9,FALSE),"")</f>
        <v>0</v>
      </c>
      <c r="D46" s="21">
        <f t="shared" si="21"/>
        <v>0</v>
      </c>
      <c r="E46" s="21">
        <f t="shared" si="22"/>
        <v>0</v>
      </c>
      <c r="F46" s="636">
        <f>IFERROR(VLOOKUP($C30,EQ_Cont,10,FALSE),"")</f>
        <v>0</v>
      </c>
      <c r="G46" s="637"/>
      <c r="H46" s="628">
        <f t="shared" si="23"/>
        <v>0</v>
      </c>
      <c r="I46" s="628"/>
      <c r="J46" s="628"/>
      <c r="K46" s="638">
        <f>AK31</f>
        <v>0</v>
      </c>
      <c r="L46" s="639"/>
      <c r="M46" s="639"/>
      <c r="N46" s="628">
        <f>IF('Información Force Account'!$I$1,K46*H46,K46*H46/2)</f>
        <v>0</v>
      </c>
      <c r="O46" s="628"/>
      <c r="P46" s="628"/>
      <c r="Q46" s="640">
        <f t="shared" si="24"/>
        <v>0</v>
      </c>
      <c r="R46" s="638"/>
      <c r="S46" s="638"/>
      <c r="T46" s="628">
        <f t="shared" si="25"/>
        <v>0</v>
      </c>
      <c r="U46" s="628"/>
      <c r="V46" s="628"/>
      <c r="W46" s="630">
        <f>AK30</f>
        <v>0</v>
      </c>
      <c r="X46" s="631"/>
      <c r="Y46" s="632"/>
      <c r="Z46" s="633">
        <f>IFERROR(VLOOKUP($C30,EQ_Cont,9,FALSE),"")</f>
        <v>0</v>
      </c>
      <c r="AA46" s="634">
        <v>0</v>
      </c>
      <c r="AB46" s="635">
        <v>0</v>
      </c>
      <c r="AC46" s="626">
        <f t="shared" si="26"/>
        <v>0</v>
      </c>
      <c r="AD46" s="627"/>
      <c r="AE46" s="376"/>
      <c r="AF46" s="626">
        <f t="shared" si="27"/>
        <v>0</v>
      </c>
      <c r="AG46" s="627"/>
      <c r="AH46" s="376"/>
      <c r="AI46" s="626">
        <f t="shared" si="28"/>
        <v>0</v>
      </c>
      <c r="AJ46" s="627"/>
      <c r="AK46" s="376"/>
      <c r="AM46" s="14"/>
    </row>
    <row r="47" spans="2:39" ht="12.5">
      <c r="F47" s="22"/>
      <c r="I47" s="23"/>
      <c r="J47" s="14"/>
      <c r="M47" s="24"/>
      <c r="N47" s="628">
        <f>SUM(N37:P46)</f>
        <v>0</v>
      </c>
      <c r="O47" s="628"/>
      <c r="P47" s="628"/>
      <c r="R47" s="23"/>
      <c r="T47" s="626">
        <f>SUM(T37:V46)</f>
        <v>0</v>
      </c>
      <c r="U47" s="627"/>
      <c r="V47" s="376"/>
      <c r="W47" s="2"/>
      <c r="X47" s="2"/>
      <c r="Y47" s="2"/>
      <c r="Z47" s="2"/>
      <c r="AA47" s="2"/>
      <c r="AB47" s="2"/>
      <c r="AC47" s="2"/>
      <c r="AD47" s="2"/>
      <c r="AE47" s="2"/>
      <c r="AF47" s="628">
        <f>SUM(AF37:AH46)</f>
        <v>0</v>
      </c>
      <c r="AG47" s="628"/>
      <c r="AH47" s="628"/>
      <c r="AI47" s="2"/>
      <c r="AJ47" s="2"/>
      <c r="AK47" s="2"/>
      <c r="AM47" s="14"/>
    </row>
    <row r="48" spans="2:39" ht="12.5">
      <c r="F48" s="22"/>
      <c r="I48" s="25"/>
      <c r="M48" s="26"/>
      <c r="N48" s="348" t="s">
        <v>195</v>
      </c>
      <c r="O48" s="348"/>
      <c r="P48" s="348"/>
      <c r="R48" s="25"/>
      <c r="T48" s="348" t="s">
        <v>196</v>
      </c>
      <c r="U48" s="348"/>
      <c r="V48" s="348"/>
      <c r="AF48" s="348" t="s">
        <v>197</v>
      </c>
      <c r="AG48" s="348"/>
      <c r="AH48" s="348"/>
      <c r="AM48" s="14"/>
    </row>
    <row r="49" spans="1:40" ht="12.5">
      <c r="AM49" s="14"/>
    </row>
    <row r="50" spans="1:40" ht="12.75" customHeight="1"/>
    <row r="51" spans="1:40" ht="12.5">
      <c r="B51" s="348" t="s">
        <v>135</v>
      </c>
      <c r="C51" s="348"/>
      <c r="D51" s="348"/>
      <c r="E51" s="348"/>
      <c r="F51" s="348"/>
      <c r="G51" s="348"/>
      <c r="H51" s="348"/>
      <c r="I51" s="348"/>
      <c r="J51" s="348"/>
      <c r="K51" s="348"/>
      <c r="L51" s="348"/>
      <c r="M51" s="348"/>
      <c r="N51" s="348"/>
      <c r="O51" s="348"/>
      <c r="P51" s="348"/>
      <c r="Q51" s="348"/>
      <c r="R51" s="348"/>
      <c r="S51" s="348"/>
      <c r="T51" s="348"/>
      <c r="U51" s="348"/>
      <c r="V51" s="348"/>
      <c r="W51" s="348"/>
      <c r="X51" s="348"/>
      <c r="Y51" s="348"/>
      <c r="Z51" s="348"/>
      <c r="AA51" s="348"/>
      <c r="AB51" s="348"/>
      <c r="AC51" s="348"/>
      <c r="AD51" s="348"/>
      <c r="AE51" s="348"/>
      <c r="AF51" s="348"/>
      <c r="AG51" s="348"/>
      <c r="AH51" s="348"/>
      <c r="AI51" s="348"/>
      <c r="AJ51" s="348"/>
      <c r="AK51" s="348"/>
      <c r="AM51" s="2"/>
      <c r="AN51" s="2"/>
    </row>
    <row r="52" spans="1:40" ht="12.5">
      <c r="B52" s="348" t="s">
        <v>2</v>
      </c>
      <c r="C52" s="348"/>
      <c r="D52" s="348"/>
      <c r="E52" s="348"/>
      <c r="F52" s="348"/>
      <c r="G52" s="348"/>
      <c r="H52" s="348"/>
      <c r="I52" s="348"/>
      <c r="J52" s="348"/>
      <c r="K52" s="348"/>
      <c r="L52" s="348"/>
      <c r="M52" s="348"/>
      <c r="N52" s="348"/>
      <c r="O52" s="348"/>
      <c r="P52" s="348"/>
      <c r="Q52" s="348"/>
      <c r="R52" s="348"/>
      <c r="S52" s="348"/>
      <c r="T52" s="348"/>
      <c r="U52" s="348"/>
      <c r="V52" s="348"/>
      <c r="W52" s="348"/>
      <c r="X52" s="348"/>
      <c r="Y52" s="348"/>
      <c r="Z52" s="348"/>
      <c r="AA52" s="348"/>
      <c r="AB52" s="348"/>
      <c r="AC52" s="348"/>
      <c r="AD52" s="348"/>
      <c r="AE52" s="348"/>
      <c r="AF52" s="348"/>
      <c r="AG52" s="348"/>
      <c r="AH52" s="348"/>
      <c r="AI52" s="348"/>
      <c r="AJ52" s="348"/>
      <c r="AK52" s="348"/>
      <c r="AM52" s="2"/>
      <c r="AN52" s="2"/>
    </row>
    <row r="53" spans="1:40" ht="12.5">
      <c r="B53" s="348" t="s">
        <v>136</v>
      </c>
      <c r="C53" s="348"/>
      <c r="D53" s="348"/>
      <c r="E53" s="348"/>
      <c r="F53" s="348"/>
      <c r="G53" s="348"/>
      <c r="H53" s="348"/>
      <c r="I53" s="348"/>
      <c r="J53" s="348"/>
      <c r="K53" s="348"/>
      <c r="L53" s="348"/>
      <c r="M53" s="348"/>
      <c r="N53" s="348"/>
      <c r="O53" s="348"/>
      <c r="P53" s="348"/>
      <c r="Q53" s="348"/>
      <c r="R53" s="348"/>
      <c r="S53" s="348"/>
      <c r="T53" s="348"/>
      <c r="U53" s="348"/>
      <c r="V53" s="348"/>
      <c r="W53" s="348"/>
      <c r="X53" s="348"/>
      <c r="Y53" s="348"/>
      <c r="Z53" s="348"/>
      <c r="AA53" s="348"/>
      <c r="AB53" s="348"/>
      <c r="AC53" s="348"/>
      <c r="AD53" s="348"/>
      <c r="AE53" s="348"/>
      <c r="AF53" s="348"/>
      <c r="AG53" s="348"/>
      <c r="AH53" s="4"/>
      <c r="AI53" s="4" t="s">
        <v>137</v>
      </c>
      <c r="AJ53" s="5"/>
      <c r="AK53" s="2"/>
      <c r="AM53" s="2"/>
      <c r="AN53" s="2"/>
    </row>
    <row r="54" spans="1:40" ht="12.5">
      <c r="B54" s="6"/>
      <c r="C54" s="6"/>
      <c r="D54" s="6"/>
      <c r="E54" s="6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 t="s">
        <v>138</v>
      </c>
      <c r="AJ54" s="5"/>
    </row>
    <row r="55" spans="1:40" ht="15.5">
      <c r="B55" s="328" t="s">
        <v>139</v>
      </c>
      <c r="C55" s="328"/>
      <c r="D55" s="328"/>
      <c r="E55" s="328"/>
      <c r="F55" s="328"/>
      <c r="G55" s="328"/>
      <c r="H55" s="328"/>
      <c r="I55" s="328"/>
      <c r="J55" s="328"/>
      <c r="K55" s="328"/>
      <c r="L55" s="328"/>
      <c r="M55" s="328"/>
      <c r="N55" s="328"/>
      <c r="O55" s="328"/>
      <c r="P55" s="328"/>
      <c r="Q55" s="328"/>
      <c r="R55" s="328"/>
      <c r="S55" s="328"/>
      <c r="T55" s="328"/>
      <c r="U55" s="328"/>
      <c r="V55" s="328"/>
      <c r="W55" s="328"/>
      <c r="X55" s="328"/>
      <c r="Y55" s="328"/>
      <c r="Z55" s="328"/>
      <c r="AA55" s="328"/>
      <c r="AB55" s="328"/>
      <c r="AC55" s="328"/>
      <c r="AD55" s="328"/>
      <c r="AE55" s="328"/>
      <c r="AF55" s="328"/>
      <c r="AG55" s="328"/>
      <c r="AH55" s="328"/>
      <c r="AI55" s="328"/>
      <c r="AJ55" s="328"/>
      <c r="AK55" s="328"/>
    </row>
    <row r="56" spans="1:40" ht="13">
      <c r="B56" s="2"/>
      <c r="C56" s="2"/>
      <c r="D56" s="2"/>
      <c r="E56" s="2"/>
      <c r="K56" s="629" t="s">
        <v>244</v>
      </c>
      <c r="L56" s="629"/>
      <c r="M56" s="629"/>
      <c r="N56" s="629"/>
      <c r="O56" s="350">
        <f>'Información Force Account'!$B$7</f>
        <v>0</v>
      </c>
      <c r="P56" s="350"/>
      <c r="Q56" s="629" t="s">
        <v>245</v>
      </c>
      <c r="R56" s="629"/>
      <c r="S56" s="629"/>
      <c r="T56" s="350">
        <f>'Información Force Account'!$B$8</f>
        <v>0</v>
      </c>
      <c r="U56" s="350"/>
      <c r="V56" s="629" t="s">
        <v>246</v>
      </c>
      <c r="W56" s="629"/>
      <c r="X56" s="629"/>
      <c r="Y56" s="350">
        <f>'Información Force Account'!$B$9</f>
        <v>0</v>
      </c>
      <c r="Z56" s="350"/>
      <c r="AF56" s="2"/>
      <c r="AG56" s="2"/>
      <c r="AH56" s="2"/>
      <c r="AI56" s="2"/>
      <c r="AJ56" s="2"/>
      <c r="AK56" s="2"/>
    </row>
    <row r="57" spans="1:40" ht="13">
      <c r="B57" s="3" t="s">
        <v>140</v>
      </c>
      <c r="E57" s="676" t="s">
        <v>243</v>
      </c>
      <c r="F57" s="676"/>
      <c r="G57" s="676"/>
      <c r="H57" s="676"/>
      <c r="I57" s="676"/>
      <c r="J57" s="676"/>
      <c r="K57" s="677"/>
      <c r="L57" s="677"/>
      <c r="M57" s="677"/>
      <c r="N57" s="677"/>
      <c r="O57" s="677"/>
      <c r="P57" s="677"/>
      <c r="Q57" s="678"/>
      <c r="R57" s="678"/>
      <c r="S57" s="678"/>
      <c r="T57" s="678"/>
      <c r="U57" s="678"/>
      <c r="V57" s="678"/>
      <c r="W57" s="678"/>
      <c r="X57" s="678"/>
      <c r="Y57" s="6"/>
      <c r="Z57" s="6"/>
      <c r="AA57" s="6"/>
      <c r="AB57" s="6"/>
      <c r="AC57" s="6"/>
      <c r="AD57" s="4" t="s">
        <v>90</v>
      </c>
      <c r="AE57" s="350">
        <f>'Información Force Account'!$B$4</f>
        <v>0</v>
      </c>
      <c r="AF57" s="350"/>
      <c r="AG57" s="350"/>
      <c r="AH57" s="350"/>
      <c r="AI57" s="350"/>
      <c r="AJ57" s="350"/>
      <c r="AK57" s="6"/>
    </row>
    <row r="58" spans="1:40" ht="13">
      <c r="B58" s="3" t="s">
        <v>141</v>
      </c>
      <c r="D58" s="7"/>
      <c r="E58" s="674" t="e">
        <f>E8</f>
        <v>#VALUE!</v>
      </c>
      <c r="F58" s="674"/>
      <c r="G58" s="674"/>
      <c r="H58" s="674"/>
      <c r="I58" s="674"/>
      <c r="J58" s="674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4" t="s">
        <v>142</v>
      </c>
      <c r="AE58" s="675">
        <f>'Información Force Account'!$B$3</f>
        <v>0</v>
      </c>
      <c r="AF58" s="675"/>
      <c r="AG58" s="675"/>
      <c r="AH58" s="675"/>
      <c r="AI58" s="675"/>
      <c r="AJ58" s="675"/>
      <c r="AK58" s="6"/>
    </row>
    <row r="59" spans="1:40" ht="14">
      <c r="B59" s="672" t="s">
        <v>143</v>
      </c>
      <c r="C59" s="672"/>
      <c r="D59" s="672"/>
      <c r="E59" s="672"/>
      <c r="F59" s="672"/>
      <c r="G59" s="672"/>
      <c r="H59" s="672"/>
      <c r="I59" s="672"/>
      <c r="J59" s="672"/>
      <c r="K59" s="672"/>
      <c r="L59" s="672"/>
      <c r="M59" s="672"/>
      <c r="N59" s="672"/>
      <c r="O59" s="672"/>
      <c r="P59" s="672"/>
      <c r="Q59" s="672"/>
      <c r="R59" s="672"/>
      <c r="S59" s="672"/>
      <c r="T59" s="672"/>
      <c r="U59" s="672"/>
      <c r="V59" s="672"/>
      <c r="W59" s="672"/>
      <c r="X59" s="672"/>
      <c r="Y59" s="672"/>
      <c r="Z59" s="672"/>
      <c r="AA59" s="672"/>
      <c r="AB59" s="672"/>
      <c r="AC59" s="672"/>
      <c r="AD59" s="672"/>
      <c r="AE59" s="672"/>
      <c r="AF59" s="672"/>
      <c r="AG59" s="672"/>
      <c r="AH59" s="672"/>
      <c r="AI59" s="672"/>
      <c r="AJ59" s="672"/>
      <c r="AK59" s="672"/>
    </row>
    <row r="60" spans="1:40" ht="12.5">
      <c r="B60" s="8" t="s">
        <v>144</v>
      </c>
      <c r="C60" s="644" t="s">
        <v>145</v>
      </c>
      <c r="D60" s="659"/>
      <c r="E60" s="367"/>
      <c r="F60" s="8" t="str">
        <f>'Resumen FA (Mensual)'!$A$17</f>
        <v/>
      </c>
      <c r="G60" s="8" t="str">
        <f>'Resumen FA (Mensual)'!$A$18</f>
        <v/>
      </c>
      <c r="H60" s="8" t="str">
        <f>'Resumen FA (Mensual)'!$A$19</f>
        <v/>
      </c>
      <c r="I60" s="8" t="str">
        <f>'Resumen FA (Mensual)'!$A$20</f>
        <v/>
      </c>
      <c r="J60" s="8" t="str">
        <f>'Resumen FA (Mensual)'!$A$21</f>
        <v/>
      </c>
      <c r="K60" s="8" t="str">
        <f>'Resumen FA (Mensual)'!$A$22</f>
        <v/>
      </c>
      <c r="L60" s="8" t="str">
        <f>'Resumen FA (Mensual)'!$A$23</f>
        <v/>
      </c>
      <c r="M60" s="8" t="str">
        <f>'Resumen FA (Mensual)'!$A$24</f>
        <v/>
      </c>
      <c r="N60" s="8" t="str">
        <f>'Resumen FA (Mensual)'!$A$25</f>
        <v/>
      </c>
      <c r="O60" s="8" t="str">
        <f>'Resumen FA (Mensual)'!$A$26</f>
        <v/>
      </c>
      <c r="P60" s="8" t="str">
        <f>'Resumen FA (Mensual)'!$G$17</f>
        <v/>
      </c>
      <c r="Q60" s="8" t="str">
        <f>'Resumen FA (Mensual)'!$G$18</f>
        <v/>
      </c>
      <c r="R60" s="8" t="str">
        <f>'Resumen FA (Mensual)'!$G$19</f>
        <v/>
      </c>
      <c r="S60" s="8" t="str">
        <f>'Resumen FA (Mensual)'!$G$20</f>
        <v/>
      </c>
      <c r="T60" s="8" t="str">
        <f>'Resumen FA (Mensual)'!$G$21</f>
        <v/>
      </c>
      <c r="U60" s="8" t="str">
        <f>'Resumen FA (Mensual)'!$G$22</f>
        <v/>
      </c>
      <c r="V60" s="8" t="str">
        <f>'Resumen FA (Mensual)'!$G$23</f>
        <v/>
      </c>
      <c r="W60" s="8" t="str">
        <f>'Resumen FA (Mensual)'!$G$24</f>
        <v/>
      </c>
      <c r="X60" s="8" t="str">
        <f>'Resumen FA (Mensual)'!$G$25</f>
        <v/>
      </c>
      <c r="Y60" s="8" t="str">
        <f>'Resumen FA (Mensual)'!$G$26</f>
        <v/>
      </c>
      <c r="Z60" s="8" t="str">
        <f>'Resumen FA (Mensual)'!$M$17</f>
        <v/>
      </c>
      <c r="AA60" s="8" t="str">
        <f>'Resumen FA (Mensual)'!$M$18</f>
        <v/>
      </c>
      <c r="AB60" s="8" t="str">
        <f>'Resumen FA (Mensual)'!$M$19</f>
        <v/>
      </c>
      <c r="AC60" s="8" t="str">
        <f>'Resumen FA (Mensual)'!$M$20</f>
        <v/>
      </c>
      <c r="AD60" s="8" t="str">
        <f>'Resumen FA (Mensual)'!$M$21</f>
        <v/>
      </c>
      <c r="AE60" s="8" t="str">
        <f>'Resumen FA (Mensual)'!$M$22</f>
        <v/>
      </c>
      <c r="AF60" s="8" t="str">
        <f>'Resumen FA (Mensual)'!$M$23</f>
        <v/>
      </c>
      <c r="AG60" s="8" t="str">
        <f>'Resumen FA (Mensual)'!$M$24</f>
        <v/>
      </c>
      <c r="AH60" s="8" t="str">
        <f>'Resumen FA (Mensual)'!$M$25</f>
        <v/>
      </c>
      <c r="AI60" s="8" t="str">
        <f>'Resumen FA (Mensual)'!$M$26</f>
        <v/>
      </c>
      <c r="AJ60" s="8" t="str">
        <f>'Resumen FA (Mensual)'!$M$26</f>
        <v/>
      </c>
      <c r="AK60" s="8" t="s">
        <v>146</v>
      </c>
    </row>
    <row r="61" spans="1:40" ht="12.5">
      <c r="B61" s="10"/>
      <c r="C61" s="644" t="s">
        <v>147</v>
      </c>
      <c r="D61" s="659"/>
      <c r="E61" s="367"/>
      <c r="F61" s="10">
        <v>1</v>
      </c>
      <c r="G61" s="10">
        <v>2</v>
      </c>
      <c r="H61" s="10">
        <v>3</v>
      </c>
      <c r="I61" s="10">
        <v>4</v>
      </c>
      <c r="J61" s="10">
        <v>5</v>
      </c>
      <c r="K61" s="10">
        <v>6</v>
      </c>
      <c r="L61" s="11">
        <v>7</v>
      </c>
      <c r="M61" s="10">
        <v>8</v>
      </c>
      <c r="N61" s="10">
        <v>9</v>
      </c>
      <c r="O61" s="10">
        <v>10</v>
      </c>
      <c r="P61" s="10">
        <v>11</v>
      </c>
      <c r="Q61" s="10">
        <v>12</v>
      </c>
      <c r="R61" s="10">
        <v>13</v>
      </c>
      <c r="S61" s="10">
        <v>14</v>
      </c>
      <c r="T61" s="10">
        <v>15</v>
      </c>
      <c r="U61" s="10">
        <v>16</v>
      </c>
      <c r="V61" s="10">
        <v>17</v>
      </c>
      <c r="W61" s="10">
        <v>18</v>
      </c>
      <c r="X61" s="10">
        <v>19</v>
      </c>
      <c r="Y61" s="10">
        <v>20</v>
      </c>
      <c r="Z61" s="10">
        <v>21</v>
      </c>
      <c r="AA61" s="10">
        <v>22</v>
      </c>
      <c r="AB61" s="10">
        <v>23</v>
      </c>
      <c r="AC61" s="10">
        <v>24</v>
      </c>
      <c r="AD61" s="10">
        <v>25</v>
      </c>
      <c r="AE61" s="10">
        <v>26</v>
      </c>
      <c r="AF61" s="10">
        <v>27</v>
      </c>
      <c r="AG61" s="10">
        <v>28</v>
      </c>
      <c r="AH61" s="10" t="str">
        <f>IF(AH60&lt;&gt;"",29,"")</f>
        <v/>
      </c>
      <c r="AI61" s="10" t="str">
        <f>IF(AI60&lt;&gt;"",30,"")</f>
        <v/>
      </c>
      <c r="AJ61" s="10" t="str">
        <f>IF(AJ60&lt;&gt;"",31,"")</f>
        <v/>
      </c>
      <c r="AK61" s="10" t="s">
        <v>148</v>
      </c>
    </row>
    <row r="62" spans="1:40" ht="12.5">
      <c r="A62" s="663"/>
      <c r="B62" s="673">
        <v>1</v>
      </c>
      <c r="C62" s="664" t="str">
        <f>IF(ISBLANK(DBPCFA!AP11),"",DBPCFA!AP11)</f>
        <v/>
      </c>
      <c r="D62" s="665"/>
      <c r="E62" s="666"/>
      <c r="F62" s="12">
        <f t="shared" ref="F62:AJ62" si="29">SUMIFS(EQ_HAct,Desc_EQ,$C62,Fecha_Inf_EQ,VALUE($AN$1&amp;TEXT(F$11,"00")))</f>
        <v>0</v>
      </c>
      <c r="G62" s="12">
        <f t="shared" si="29"/>
        <v>0</v>
      </c>
      <c r="H62" s="12">
        <f t="shared" si="29"/>
        <v>0</v>
      </c>
      <c r="I62" s="12">
        <f t="shared" si="29"/>
        <v>0</v>
      </c>
      <c r="J62" s="12">
        <f t="shared" si="29"/>
        <v>0</v>
      </c>
      <c r="K62" s="12">
        <f t="shared" si="29"/>
        <v>0</v>
      </c>
      <c r="L62" s="12">
        <f t="shared" si="29"/>
        <v>0</v>
      </c>
      <c r="M62" s="12">
        <f t="shared" si="29"/>
        <v>0</v>
      </c>
      <c r="N62" s="12">
        <f t="shared" si="29"/>
        <v>0</v>
      </c>
      <c r="O62" s="12">
        <f t="shared" si="29"/>
        <v>0</v>
      </c>
      <c r="P62" s="12">
        <f t="shared" si="29"/>
        <v>0</v>
      </c>
      <c r="Q62" s="12">
        <f t="shared" si="29"/>
        <v>0</v>
      </c>
      <c r="R62" s="12">
        <f t="shared" si="29"/>
        <v>0</v>
      </c>
      <c r="S62" s="12">
        <f t="shared" si="29"/>
        <v>0</v>
      </c>
      <c r="T62" s="12">
        <f t="shared" si="29"/>
        <v>0</v>
      </c>
      <c r="U62" s="12">
        <f t="shared" si="29"/>
        <v>0</v>
      </c>
      <c r="V62" s="12">
        <f t="shared" si="29"/>
        <v>0</v>
      </c>
      <c r="W62" s="12">
        <f t="shared" si="29"/>
        <v>0</v>
      </c>
      <c r="X62" s="12">
        <f t="shared" si="29"/>
        <v>0</v>
      </c>
      <c r="Y62" s="12">
        <f t="shared" si="29"/>
        <v>0</v>
      </c>
      <c r="Z62" s="12">
        <f t="shared" si="29"/>
        <v>0</v>
      </c>
      <c r="AA62" s="12">
        <f t="shared" si="29"/>
        <v>0</v>
      </c>
      <c r="AB62" s="12">
        <f t="shared" si="29"/>
        <v>0</v>
      </c>
      <c r="AC62" s="12">
        <f t="shared" si="29"/>
        <v>0</v>
      </c>
      <c r="AD62" s="12">
        <f t="shared" si="29"/>
        <v>0</v>
      </c>
      <c r="AE62" s="12">
        <f t="shared" si="29"/>
        <v>0</v>
      </c>
      <c r="AF62" s="12">
        <f t="shared" si="29"/>
        <v>0</v>
      </c>
      <c r="AG62" s="12">
        <f t="shared" si="29"/>
        <v>0</v>
      </c>
      <c r="AH62" s="12">
        <f t="shared" si="29"/>
        <v>0</v>
      </c>
      <c r="AI62" s="12">
        <f t="shared" si="29"/>
        <v>0</v>
      </c>
      <c r="AJ62" s="12">
        <f t="shared" si="29"/>
        <v>0</v>
      </c>
      <c r="AK62" s="13">
        <f>SUM(F62:AJ62)</f>
        <v>0</v>
      </c>
    </row>
    <row r="63" spans="1:40" ht="12.5">
      <c r="A63" s="663"/>
      <c r="B63" s="671"/>
      <c r="C63" s="667"/>
      <c r="D63" s="668"/>
      <c r="E63" s="669"/>
      <c r="F63" s="15">
        <f t="shared" ref="F63:AJ63" si="30">SUMIFS(EQ_HInac,Desc_EQ,$C62,Fecha_Inf_EQ,VALUE($AN$1&amp;TEXT(F$11,"00")))</f>
        <v>0</v>
      </c>
      <c r="G63" s="15">
        <f t="shared" si="30"/>
        <v>0</v>
      </c>
      <c r="H63" s="15">
        <f t="shared" si="30"/>
        <v>0</v>
      </c>
      <c r="I63" s="15">
        <f t="shared" si="30"/>
        <v>0</v>
      </c>
      <c r="J63" s="15">
        <f t="shared" si="30"/>
        <v>0</v>
      </c>
      <c r="K63" s="15">
        <f t="shared" si="30"/>
        <v>0</v>
      </c>
      <c r="L63" s="15">
        <f t="shared" si="30"/>
        <v>0</v>
      </c>
      <c r="M63" s="15">
        <f t="shared" si="30"/>
        <v>0</v>
      </c>
      <c r="N63" s="15">
        <f t="shared" si="30"/>
        <v>0</v>
      </c>
      <c r="O63" s="15">
        <f t="shared" si="30"/>
        <v>0</v>
      </c>
      <c r="P63" s="15">
        <f t="shared" si="30"/>
        <v>0</v>
      </c>
      <c r="Q63" s="15">
        <f t="shared" si="30"/>
        <v>0</v>
      </c>
      <c r="R63" s="15">
        <f t="shared" si="30"/>
        <v>0</v>
      </c>
      <c r="S63" s="15">
        <f t="shared" si="30"/>
        <v>0</v>
      </c>
      <c r="T63" s="15">
        <f t="shared" si="30"/>
        <v>0</v>
      </c>
      <c r="U63" s="15">
        <f t="shared" si="30"/>
        <v>0</v>
      </c>
      <c r="V63" s="15">
        <f t="shared" si="30"/>
        <v>0</v>
      </c>
      <c r="W63" s="15">
        <f t="shared" si="30"/>
        <v>0</v>
      </c>
      <c r="X63" s="15">
        <f t="shared" si="30"/>
        <v>0</v>
      </c>
      <c r="Y63" s="15">
        <f t="shared" si="30"/>
        <v>0</v>
      </c>
      <c r="Z63" s="15">
        <f t="shared" si="30"/>
        <v>0</v>
      </c>
      <c r="AA63" s="15">
        <f t="shared" si="30"/>
        <v>0</v>
      </c>
      <c r="AB63" s="15">
        <f t="shared" si="30"/>
        <v>0</v>
      </c>
      <c r="AC63" s="15">
        <f t="shared" si="30"/>
        <v>0</v>
      </c>
      <c r="AD63" s="15">
        <f t="shared" si="30"/>
        <v>0</v>
      </c>
      <c r="AE63" s="15">
        <f t="shared" si="30"/>
        <v>0</v>
      </c>
      <c r="AF63" s="15">
        <f t="shared" si="30"/>
        <v>0</v>
      </c>
      <c r="AG63" s="15">
        <f t="shared" si="30"/>
        <v>0</v>
      </c>
      <c r="AH63" s="15">
        <f t="shared" si="30"/>
        <v>0</v>
      </c>
      <c r="AI63" s="15">
        <f t="shared" si="30"/>
        <v>0</v>
      </c>
      <c r="AJ63" s="15">
        <f t="shared" si="30"/>
        <v>0</v>
      </c>
      <c r="AK63" s="16">
        <f>SUM(F63:AJ63)</f>
        <v>0</v>
      </c>
      <c r="AM63" s="14" t="str">
        <f>IFERROR(VLOOKUP(C63,EQ_Cont,9,FALSE),"")</f>
        <v/>
      </c>
    </row>
    <row r="64" spans="1:40" ht="12.5">
      <c r="A64" s="663"/>
      <c r="B64" s="670">
        <v>2</v>
      </c>
      <c r="C64" s="664" t="str">
        <f>IF(ISBLANK(DBPCFA!AP12),"",DBPCFA!AP12)</f>
        <v/>
      </c>
      <c r="D64" s="665"/>
      <c r="E64" s="666"/>
      <c r="F64" s="12">
        <f t="shared" ref="F64:AJ64" si="31">SUMIFS(EQ_HAct,Desc_EQ,$C64,Fecha_Inf_EQ,VALUE($AN$1&amp;TEXT(F$11,"00")))</f>
        <v>0</v>
      </c>
      <c r="G64" s="12">
        <f t="shared" si="31"/>
        <v>0</v>
      </c>
      <c r="H64" s="12">
        <f t="shared" si="31"/>
        <v>0</v>
      </c>
      <c r="I64" s="12">
        <f t="shared" si="31"/>
        <v>0</v>
      </c>
      <c r="J64" s="12">
        <f t="shared" si="31"/>
        <v>0</v>
      </c>
      <c r="K64" s="12">
        <f t="shared" si="31"/>
        <v>0</v>
      </c>
      <c r="L64" s="12">
        <f t="shared" si="31"/>
        <v>0</v>
      </c>
      <c r="M64" s="12">
        <f t="shared" si="31"/>
        <v>0</v>
      </c>
      <c r="N64" s="12">
        <f t="shared" si="31"/>
        <v>0</v>
      </c>
      <c r="O64" s="12">
        <f t="shared" si="31"/>
        <v>0</v>
      </c>
      <c r="P64" s="12">
        <f t="shared" si="31"/>
        <v>0</v>
      </c>
      <c r="Q64" s="12">
        <f t="shared" si="31"/>
        <v>0</v>
      </c>
      <c r="R64" s="12">
        <f t="shared" si="31"/>
        <v>0</v>
      </c>
      <c r="S64" s="12">
        <f t="shared" si="31"/>
        <v>0</v>
      </c>
      <c r="T64" s="12">
        <f t="shared" si="31"/>
        <v>0</v>
      </c>
      <c r="U64" s="12">
        <f t="shared" si="31"/>
        <v>0</v>
      </c>
      <c r="V64" s="12">
        <f t="shared" si="31"/>
        <v>0</v>
      </c>
      <c r="W64" s="12">
        <f t="shared" si="31"/>
        <v>0</v>
      </c>
      <c r="X64" s="12">
        <f t="shared" si="31"/>
        <v>0</v>
      </c>
      <c r="Y64" s="12">
        <f t="shared" si="31"/>
        <v>0</v>
      </c>
      <c r="Z64" s="12">
        <f t="shared" si="31"/>
        <v>0</v>
      </c>
      <c r="AA64" s="12">
        <f t="shared" si="31"/>
        <v>0</v>
      </c>
      <c r="AB64" s="12">
        <f t="shared" si="31"/>
        <v>0</v>
      </c>
      <c r="AC64" s="12">
        <f t="shared" si="31"/>
        <v>0</v>
      </c>
      <c r="AD64" s="12">
        <f t="shared" si="31"/>
        <v>0</v>
      </c>
      <c r="AE64" s="12">
        <f t="shared" si="31"/>
        <v>0</v>
      </c>
      <c r="AF64" s="12">
        <f t="shared" si="31"/>
        <v>0</v>
      </c>
      <c r="AG64" s="12">
        <f t="shared" si="31"/>
        <v>0</v>
      </c>
      <c r="AH64" s="12">
        <f t="shared" si="31"/>
        <v>0</v>
      </c>
      <c r="AI64" s="12">
        <f t="shared" si="31"/>
        <v>0</v>
      </c>
      <c r="AJ64" s="12">
        <f t="shared" si="31"/>
        <v>0</v>
      </c>
      <c r="AK64" s="13">
        <f t="shared" ref="AK64:AK81" si="32">SUM(F64:AJ64)</f>
        <v>0</v>
      </c>
    </row>
    <row r="65" spans="1:39" ht="12.5">
      <c r="A65" s="663"/>
      <c r="B65" s="671"/>
      <c r="C65" s="667"/>
      <c r="D65" s="668"/>
      <c r="E65" s="669"/>
      <c r="F65" s="15">
        <f t="shared" ref="F65:AJ65" si="33">SUMIFS(EQ_HInac,Desc_EQ,$C64,Fecha_Inf_EQ,VALUE($AN$1&amp;TEXT(F$11,"00")))</f>
        <v>0</v>
      </c>
      <c r="G65" s="15">
        <f t="shared" si="33"/>
        <v>0</v>
      </c>
      <c r="H65" s="15">
        <f t="shared" si="33"/>
        <v>0</v>
      </c>
      <c r="I65" s="15">
        <f t="shared" si="33"/>
        <v>0</v>
      </c>
      <c r="J65" s="15">
        <f t="shared" si="33"/>
        <v>0</v>
      </c>
      <c r="K65" s="15">
        <f t="shared" si="33"/>
        <v>0</v>
      </c>
      <c r="L65" s="15">
        <f t="shared" si="33"/>
        <v>0</v>
      </c>
      <c r="M65" s="15">
        <f t="shared" si="33"/>
        <v>0</v>
      </c>
      <c r="N65" s="15">
        <f t="shared" si="33"/>
        <v>0</v>
      </c>
      <c r="O65" s="15">
        <f t="shared" si="33"/>
        <v>0</v>
      </c>
      <c r="P65" s="15">
        <f t="shared" si="33"/>
        <v>0</v>
      </c>
      <c r="Q65" s="15">
        <f t="shared" si="33"/>
        <v>0</v>
      </c>
      <c r="R65" s="15">
        <f t="shared" si="33"/>
        <v>0</v>
      </c>
      <c r="S65" s="15">
        <f t="shared" si="33"/>
        <v>0</v>
      </c>
      <c r="T65" s="15">
        <f t="shared" si="33"/>
        <v>0</v>
      </c>
      <c r="U65" s="15">
        <f t="shared" si="33"/>
        <v>0</v>
      </c>
      <c r="V65" s="15">
        <f t="shared" si="33"/>
        <v>0</v>
      </c>
      <c r="W65" s="15">
        <f t="shared" si="33"/>
        <v>0</v>
      </c>
      <c r="X65" s="15">
        <f t="shared" si="33"/>
        <v>0</v>
      </c>
      <c r="Y65" s="15">
        <f t="shared" si="33"/>
        <v>0</v>
      </c>
      <c r="Z65" s="15">
        <f t="shared" si="33"/>
        <v>0</v>
      </c>
      <c r="AA65" s="15">
        <f t="shared" si="33"/>
        <v>0</v>
      </c>
      <c r="AB65" s="15">
        <f t="shared" si="33"/>
        <v>0</v>
      </c>
      <c r="AC65" s="15">
        <f t="shared" si="33"/>
        <v>0</v>
      </c>
      <c r="AD65" s="15">
        <f t="shared" si="33"/>
        <v>0</v>
      </c>
      <c r="AE65" s="15">
        <f t="shared" si="33"/>
        <v>0</v>
      </c>
      <c r="AF65" s="15">
        <f t="shared" si="33"/>
        <v>0</v>
      </c>
      <c r="AG65" s="15">
        <f t="shared" si="33"/>
        <v>0</v>
      </c>
      <c r="AH65" s="15">
        <f t="shared" si="33"/>
        <v>0</v>
      </c>
      <c r="AI65" s="15">
        <f t="shared" si="33"/>
        <v>0</v>
      </c>
      <c r="AJ65" s="15">
        <f t="shared" si="33"/>
        <v>0</v>
      </c>
      <c r="AK65" s="16">
        <f t="shared" si="32"/>
        <v>0</v>
      </c>
      <c r="AM65" s="14" t="str">
        <f>IFERROR(VLOOKUP(C65,EQ_Cont,9,FALSE),"")</f>
        <v/>
      </c>
    </row>
    <row r="66" spans="1:39" ht="12.5">
      <c r="A66" s="663"/>
      <c r="B66" s="670">
        <v>3</v>
      </c>
      <c r="C66" s="664" t="str">
        <f>IF(ISBLANK(DBPCFA!AP13),"",DBPCFA!AP13)</f>
        <v/>
      </c>
      <c r="D66" s="665"/>
      <c r="E66" s="666"/>
      <c r="F66" s="12">
        <f t="shared" ref="F66:AJ66" si="34">SUMIFS(EQ_HAct,Desc_EQ,$C66,Fecha_Inf_EQ,VALUE($AN$1&amp;TEXT(F$11,"00")))</f>
        <v>0</v>
      </c>
      <c r="G66" s="12">
        <f t="shared" si="34"/>
        <v>0</v>
      </c>
      <c r="H66" s="12">
        <f t="shared" si="34"/>
        <v>0</v>
      </c>
      <c r="I66" s="12">
        <f t="shared" si="34"/>
        <v>0</v>
      </c>
      <c r="J66" s="12">
        <f t="shared" si="34"/>
        <v>0</v>
      </c>
      <c r="K66" s="12">
        <f t="shared" si="34"/>
        <v>0</v>
      </c>
      <c r="L66" s="12">
        <f t="shared" si="34"/>
        <v>0</v>
      </c>
      <c r="M66" s="12">
        <f t="shared" si="34"/>
        <v>0</v>
      </c>
      <c r="N66" s="12">
        <f t="shared" si="34"/>
        <v>0</v>
      </c>
      <c r="O66" s="12">
        <f t="shared" si="34"/>
        <v>0</v>
      </c>
      <c r="P66" s="12">
        <f t="shared" si="34"/>
        <v>0</v>
      </c>
      <c r="Q66" s="12">
        <f t="shared" si="34"/>
        <v>0</v>
      </c>
      <c r="R66" s="12">
        <f t="shared" si="34"/>
        <v>0</v>
      </c>
      <c r="S66" s="12">
        <f t="shared" si="34"/>
        <v>0</v>
      </c>
      <c r="T66" s="12">
        <f t="shared" si="34"/>
        <v>0</v>
      </c>
      <c r="U66" s="12">
        <f t="shared" si="34"/>
        <v>0</v>
      </c>
      <c r="V66" s="12">
        <f t="shared" si="34"/>
        <v>0</v>
      </c>
      <c r="W66" s="12">
        <f t="shared" si="34"/>
        <v>0</v>
      </c>
      <c r="X66" s="12">
        <f t="shared" si="34"/>
        <v>0</v>
      </c>
      <c r="Y66" s="12">
        <f t="shared" si="34"/>
        <v>0</v>
      </c>
      <c r="Z66" s="12">
        <f t="shared" si="34"/>
        <v>0</v>
      </c>
      <c r="AA66" s="12">
        <f t="shared" si="34"/>
        <v>0</v>
      </c>
      <c r="AB66" s="12">
        <f t="shared" si="34"/>
        <v>0</v>
      </c>
      <c r="AC66" s="12">
        <f t="shared" si="34"/>
        <v>0</v>
      </c>
      <c r="AD66" s="12">
        <f t="shared" si="34"/>
        <v>0</v>
      </c>
      <c r="AE66" s="12">
        <f t="shared" si="34"/>
        <v>0</v>
      </c>
      <c r="AF66" s="12">
        <f t="shared" si="34"/>
        <v>0</v>
      </c>
      <c r="AG66" s="12">
        <f t="shared" si="34"/>
        <v>0</v>
      </c>
      <c r="AH66" s="12">
        <f t="shared" si="34"/>
        <v>0</v>
      </c>
      <c r="AI66" s="12">
        <f t="shared" si="34"/>
        <v>0</v>
      </c>
      <c r="AJ66" s="12">
        <f t="shared" si="34"/>
        <v>0</v>
      </c>
      <c r="AK66" s="13">
        <f t="shared" si="32"/>
        <v>0</v>
      </c>
    </row>
    <row r="67" spans="1:39" ht="12.5">
      <c r="A67" s="663"/>
      <c r="B67" s="671"/>
      <c r="C67" s="667"/>
      <c r="D67" s="668"/>
      <c r="E67" s="669"/>
      <c r="F67" s="15">
        <f t="shared" ref="F67:AJ67" si="35">SUMIFS(EQ_HInac,Desc_EQ,$C66,Fecha_Inf_EQ,VALUE($AN$1&amp;TEXT(F$11,"00")))</f>
        <v>0</v>
      </c>
      <c r="G67" s="15">
        <f t="shared" si="35"/>
        <v>0</v>
      </c>
      <c r="H67" s="15">
        <f t="shared" si="35"/>
        <v>0</v>
      </c>
      <c r="I67" s="15">
        <f t="shared" si="35"/>
        <v>0</v>
      </c>
      <c r="J67" s="15">
        <f t="shared" si="35"/>
        <v>0</v>
      </c>
      <c r="K67" s="15">
        <f t="shared" si="35"/>
        <v>0</v>
      </c>
      <c r="L67" s="15">
        <f t="shared" si="35"/>
        <v>0</v>
      </c>
      <c r="M67" s="15">
        <f t="shared" si="35"/>
        <v>0</v>
      </c>
      <c r="N67" s="15">
        <f t="shared" si="35"/>
        <v>0</v>
      </c>
      <c r="O67" s="15">
        <f t="shared" si="35"/>
        <v>0</v>
      </c>
      <c r="P67" s="15">
        <f t="shared" si="35"/>
        <v>0</v>
      </c>
      <c r="Q67" s="15">
        <f t="shared" si="35"/>
        <v>0</v>
      </c>
      <c r="R67" s="15">
        <f t="shared" si="35"/>
        <v>0</v>
      </c>
      <c r="S67" s="15">
        <f t="shared" si="35"/>
        <v>0</v>
      </c>
      <c r="T67" s="15">
        <f t="shared" si="35"/>
        <v>0</v>
      </c>
      <c r="U67" s="15">
        <f t="shared" si="35"/>
        <v>0</v>
      </c>
      <c r="V67" s="15">
        <f t="shared" si="35"/>
        <v>0</v>
      </c>
      <c r="W67" s="15">
        <f t="shared" si="35"/>
        <v>0</v>
      </c>
      <c r="X67" s="15">
        <f t="shared" si="35"/>
        <v>0</v>
      </c>
      <c r="Y67" s="15">
        <f t="shared" si="35"/>
        <v>0</v>
      </c>
      <c r="Z67" s="15">
        <f t="shared" si="35"/>
        <v>0</v>
      </c>
      <c r="AA67" s="15">
        <f t="shared" si="35"/>
        <v>0</v>
      </c>
      <c r="AB67" s="15">
        <f t="shared" si="35"/>
        <v>0</v>
      </c>
      <c r="AC67" s="15">
        <f t="shared" si="35"/>
        <v>0</v>
      </c>
      <c r="AD67" s="15">
        <f t="shared" si="35"/>
        <v>0</v>
      </c>
      <c r="AE67" s="15">
        <f t="shared" si="35"/>
        <v>0</v>
      </c>
      <c r="AF67" s="15">
        <f t="shared" si="35"/>
        <v>0</v>
      </c>
      <c r="AG67" s="15">
        <f t="shared" si="35"/>
        <v>0</v>
      </c>
      <c r="AH67" s="15">
        <f t="shared" si="35"/>
        <v>0</v>
      </c>
      <c r="AI67" s="15">
        <f t="shared" si="35"/>
        <v>0</v>
      </c>
      <c r="AJ67" s="15">
        <f t="shared" si="35"/>
        <v>0</v>
      </c>
      <c r="AK67" s="16">
        <f t="shared" si="32"/>
        <v>0</v>
      </c>
      <c r="AM67" s="14" t="str">
        <f>IFERROR(VLOOKUP(C67,EQ_Cont,9,FALSE),"")</f>
        <v/>
      </c>
    </row>
    <row r="68" spans="1:39" ht="12.5">
      <c r="A68" s="663"/>
      <c r="B68" s="670">
        <v>4</v>
      </c>
      <c r="C68" s="664" t="str">
        <f>IF(ISBLANK(DBPCFA!AP14),"",DBPCFA!AP14)</f>
        <v/>
      </c>
      <c r="D68" s="665"/>
      <c r="E68" s="666"/>
      <c r="F68" s="12">
        <f t="shared" ref="F68:AJ68" si="36">SUMIFS(EQ_HAct,Desc_EQ,$C68,Fecha_Inf_EQ,VALUE($AN$1&amp;TEXT(F$11,"00")))</f>
        <v>0</v>
      </c>
      <c r="G68" s="12">
        <f t="shared" si="36"/>
        <v>0</v>
      </c>
      <c r="H68" s="12">
        <f t="shared" si="36"/>
        <v>0</v>
      </c>
      <c r="I68" s="12">
        <f t="shared" si="36"/>
        <v>0</v>
      </c>
      <c r="J68" s="12">
        <f t="shared" si="36"/>
        <v>0</v>
      </c>
      <c r="K68" s="12">
        <f t="shared" si="36"/>
        <v>0</v>
      </c>
      <c r="L68" s="12">
        <f t="shared" si="36"/>
        <v>0</v>
      </c>
      <c r="M68" s="12">
        <f t="shared" si="36"/>
        <v>0</v>
      </c>
      <c r="N68" s="12">
        <f t="shared" si="36"/>
        <v>0</v>
      </c>
      <c r="O68" s="12">
        <f t="shared" si="36"/>
        <v>0</v>
      </c>
      <c r="P68" s="12">
        <f t="shared" si="36"/>
        <v>0</v>
      </c>
      <c r="Q68" s="12">
        <f t="shared" si="36"/>
        <v>0</v>
      </c>
      <c r="R68" s="12">
        <f t="shared" si="36"/>
        <v>0</v>
      </c>
      <c r="S68" s="12">
        <f t="shared" si="36"/>
        <v>0</v>
      </c>
      <c r="T68" s="12">
        <f t="shared" si="36"/>
        <v>0</v>
      </c>
      <c r="U68" s="12">
        <f t="shared" si="36"/>
        <v>0</v>
      </c>
      <c r="V68" s="12">
        <f t="shared" si="36"/>
        <v>0</v>
      </c>
      <c r="W68" s="12">
        <f t="shared" si="36"/>
        <v>0</v>
      </c>
      <c r="X68" s="12">
        <f t="shared" si="36"/>
        <v>0</v>
      </c>
      <c r="Y68" s="12">
        <f t="shared" si="36"/>
        <v>0</v>
      </c>
      <c r="Z68" s="12">
        <f t="shared" si="36"/>
        <v>0</v>
      </c>
      <c r="AA68" s="12">
        <f t="shared" si="36"/>
        <v>0</v>
      </c>
      <c r="AB68" s="12">
        <f t="shared" si="36"/>
        <v>0</v>
      </c>
      <c r="AC68" s="12">
        <f t="shared" si="36"/>
        <v>0</v>
      </c>
      <c r="AD68" s="12">
        <f t="shared" si="36"/>
        <v>0</v>
      </c>
      <c r="AE68" s="12">
        <f t="shared" si="36"/>
        <v>0</v>
      </c>
      <c r="AF68" s="12">
        <f t="shared" si="36"/>
        <v>0</v>
      </c>
      <c r="AG68" s="12">
        <f t="shared" si="36"/>
        <v>0</v>
      </c>
      <c r="AH68" s="12">
        <f t="shared" si="36"/>
        <v>0</v>
      </c>
      <c r="AI68" s="12">
        <f t="shared" si="36"/>
        <v>0</v>
      </c>
      <c r="AJ68" s="12">
        <f t="shared" si="36"/>
        <v>0</v>
      </c>
      <c r="AK68" s="13">
        <f t="shared" si="32"/>
        <v>0</v>
      </c>
    </row>
    <row r="69" spans="1:39" ht="12.5">
      <c r="A69" s="663"/>
      <c r="B69" s="671"/>
      <c r="C69" s="667"/>
      <c r="D69" s="668"/>
      <c r="E69" s="669"/>
      <c r="F69" s="15">
        <f t="shared" ref="F69:AJ69" si="37">SUMIFS(EQ_HInac,Desc_EQ,$C68,Fecha_Inf_EQ,VALUE($AN$1&amp;TEXT(F$11,"00")))</f>
        <v>0</v>
      </c>
      <c r="G69" s="15">
        <f t="shared" si="37"/>
        <v>0</v>
      </c>
      <c r="H69" s="15">
        <f t="shared" si="37"/>
        <v>0</v>
      </c>
      <c r="I69" s="15">
        <f t="shared" si="37"/>
        <v>0</v>
      </c>
      <c r="J69" s="15">
        <f t="shared" si="37"/>
        <v>0</v>
      </c>
      <c r="K69" s="15">
        <f t="shared" si="37"/>
        <v>0</v>
      </c>
      <c r="L69" s="15">
        <f t="shared" si="37"/>
        <v>0</v>
      </c>
      <c r="M69" s="15">
        <f t="shared" si="37"/>
        <v>0</v>
      </c>
      <c r="N69" s="15">
        <f t="shared" si="37"/>
        <v>0</v>
      </c>
      <c r="O69" s="15">
        <f t="shared" si="37"/>
        <v>0</v>
      </c>
      <c r="P69" s="15">
        <f t="shared" si="37"/>
        <v>0</v>
      </c>
      <c r="Q69" s="15">
        <f t="shared" si="37"/>
        <v>0</v>
      </c>
      <c r="R69" s="15">
        <f t="shared" si="37"/>
        <v>0</v>
      </c>
      <c r="S69" s="15">
        <f t="shared" si="37"/>
        <v>0</v>
      </c>
      <c r="T69" s="15">
        <f t="shared" si="37"/>
        <v>0</v>
      </c>
      <c r="U69" s="15">
        <f t="shared" si="37"/>
        <v>0</v>
      </c>
      <c r="V69" s="15">
        <f t="shared" si="37"/>
        <v>0</v>
      </c>
      <c r="W69" s="15">
        <f t="shared" si="37"/>
        <v>0</v>
      </c>
      <c r="X69" s="15">
        <f t="shared" si="37"/>
        <v>0</v>
      </c>
      <c r="Y69" s="15">
        <f t="shared" si="37"/>
        <v>0</v>
      </c>
      <c r="Z69" s="15">
        <f t="shared" si="37"/>
        <v>0</v>
      </c>
      <c r="AA69" s="15">
        <f t="shared" si="37"/>
        <v>0</v>
      </c>
      <c r="AB69" s="15">
        <f t="shared" si="37"/>
        <v>0</v>
      </c>
      <c r="AC69" s="15">
        <f t="shared" si="37"/>
        <v>0</v>
      </c>
      <c r="AD69" s="15">
        <f t="shared" si="37"/>
        <v>0</v>
      </c>
      <c r="AE69" s="15">
        <f t="shared" si="37"/>
        <v>0</v>
      </c>
      <c r="AF69" s="15">
        <f t="shared" si="37"/>
        <v>0</v>
      </c>
      <c r="AG69" s="15">
        <f t="shared" si="37"/>
        <v>0</v>
      </c>
      <c r="AH69" s="15">
        <f t="shared" si="37"/>
        <v>0</v>
      </c>
      <c r="AI69" s="15">
        <f t="shared" si="37"/>
        <v>0</v>
      </c>
      <c r="AJ69" s="15">
        <f t="shared" si="37"/>
        <v>0</v>
      </c>
      <c r="AK69" s="16">
        <f t="shared" si="32"/>
        <v>0</v>
      </c>
      <c r="AM69" s="14" t="str">
        <f>IFERROR(VLOOKUP(C69,EQ_Cont,9,FALSE),"")</f>
        <v/>
      </c>
    </row>
    <row r="70" spans="1:39" ht="12.5">
      <c r="A70" s="663"/>
      <c r="B70" s="670">
        <v>5</v>
      </c>
      <c r="C70" s="664" t="str">
        <f>IF(ISBLANK(DBPCFA!AP15),"",DBPCFA!AP15)</f>
        <v/>
      </c>
      <c r="D70" s="665"/>
      <c r="E70" s="666"/>
      <c r="F70" s="12">
        <f t="shared" ref="F70:AJ70" si="38">SUMIFS(EQ_HAct,Desc_EQ,$C70,Fecha_Inf_EQ,VALUE($AN$1&amp;TEXT(F$11,"00")))</f>
        <v>0</v>
      </c>
      <c r="G70" s="12">
        <f t="shared" si="38"/>
        <v>0</v>
      </c>
      <c r="H70" s="12">
        <f t="shared" si="38"/>
        <v>0</v>
      </c>
      <c r="I70" s="12">
        <f t="shared" si="38"/>
        <v>0</v>
      </c>
      <c r="J70" s="12">
        <f t="shared" si="38"/>
        <v>0</v>
      </c>
      <c r="K70" s="12">
        <f t="shared" si="38"/>
        <v>0</v>
      </c>
      <c r="L70" s="12">
        <f t="shared" si="38"/>
        <v>0</v>
      </c>
      <c r="M70" s="12">
        <f t="shared" si="38"/>
        <v>0</v>
      </c>
      <c r="N70" s="12">
        <f t="shared" si="38"/>
        <v>0</v>
      </c>
      <c r="O70" s="12">
        <f t="shared" si="38"/>
        <v>0</v>
      </c>
      <c r="P70" s="12">
        <f t="shared" si="38"/>
        <v>0</v>
      </c>
      <c r="Q70" s="12">
        <f t="shared" si="38"/>
        <v>0</v>
      </c>
      <c r="R70" s="12">
        <f t="shared" si="38"/>
        <v>0</v>
      </c>
      <c r="S70" s="12">
        <f t="shared" si="38"/>
        <v>0</v>
      </c>
      <c r="T70" s="12">
        <f t="shared" si="38"/>
        <v>0</v>
      </c>
      <c r="U70" s="12">
        <f t="shared" si="38"/>
        <v>0</v>
      </c>
      <c r="V70" s="12">
        <f t="shared" si="38"/>
        <v>0</v>
      </c>
      <c r="W70" s="12">
        <f t="shared" si="38"/>
        <v>0</v>
      </c>
      <c r="X70" s="12">
        <f t="shared" si="38"/>
        <v>0</v>
      </c>
      <c r="Y70" s="12">
        <f t="shared" si="38"/>
        <v>0</v>
      </c>
      <c r="Z70" s="12">
        <f t="shared" si="38"/>
        <v>0</v>
      </c>
      <c r="AA70" s="12">
        <f t="shared" si="38"/>
        <v>0</v>
      </c>
      <c r="AB70" s="12">
        <f t="shared" si="38"/>
        <v>0</v>
      </c>
      <c r="AC70" s="12">
        <f t="shared" si="38"/>
        <v>0</v>
      </c>
      <c r="AD70" s="12">
        <f t="shared" si="38"/>
        <v>0</v>
      </c>
      <c r="AE70" s="12">
        <f t="shared" si="38"/>
        <v>0</v>
      </c>
      <c r="AF70" s="12">
        <f t="shared" si="38"/>
        <v>0</v>
      </c>
      <c r="AG70" s="12">
        <f t="shared" si="38"/>
        <v>0</v>
      </c>
      <c r="AH70" s="12">
        <f t="shared" si="38"/>
        <v>0</v>
      </c>
      <c r="AI70" s="12">
        <f t="shared" si="38"/>
        <v>0</v>
      </c>
      <c r="AJ70" s="12">
        <f t="shared" si="38"/>
        <v>0</v>
      </c>
      <c r="AK70" s="13">
        <f t="shared" si="32"/>
        <v>0</v>
      </c>
    </row>
    <row r="71" spans="1:39" ht="12.5">
      <c r="A71" s="663"/>
      <c r="B71" s="671"/>
      <c r="C71" s="667"/>
      <c r="D71" s="668"/>
      <c r="E71" s="669"/>
      <c r="F71" s="15">
        <f t="shared" ref="F71:AJ71" si="39">SUMIFS(EQ_HInac,Desc_EQ,$C70,Fecha_Inf_EQ,VALUE($AN$1&amp;TEXT(F$11,"00")))</f>
        <v>0</v>
      </c>
      <c r="G71" s="15">
        <f t="shared" si="39"/>
        <v>0</v>
      </c>
      <c r="H71" s="15">
        <f t="shared" si="39"/>
        <v>0</v>
      </c>
      <c r="I71" s="15">
        <f t="shared" si="39"/>
        <v>0</v>
      </c>
      <c r="J71" s="15">
        <f t="shared" si="39"/>
        <v>0</v>
      </c>
      <c r="K71" s="15">
        <f t="shared" si="39"/>
        <v>0</v>
      </c>
      <c r="L71" s="15">
        <f t="shared" si="39"/>
        <v>0</v>
      </c>
      <c r="M71" s="15">
        <f t="shared" si="39"/>
        <v>0</v>
      </c>
      <c r="N71" s="15">
        <f t="shared" si="39"/>
        <v>0</v>
      </c>
      <c r="O71" s="15">
        <f t="shared" si="39"/>
        <v>0</v>
      </c>
      <c r="P71" s="15">
        <f t="shared" si="39"/>
        <v>0</v>
      </c>
      <c r="Q71" s="15">
        <f t="shared" si="39"/>
        <v>0</v>
      </c>
      <c r="R71" s="15">
        <f t="shared" si="39"/>
        <v>0</v>
      </c>
      <c r="S71" s="15">
        <f t="shared" si="39"/>
        <v>0</v>
      </c>
      <c r="T71" s="15">
        <f t="shared" si="39"/>
        <v>0</v>
      </c>
      <c r="U71" s="15">
        <f t="shared" si="39"/>
        <v>0</v>
      </c>
      <c r="V71" s="15">
        <f t="shared" si="39"/>
        <v>0</v>
      </c>
      <c r="W71" s="15">
        <f t="shared" si="39"/>
        <v>0</v>
      </c>
      <c r="X71" s="15">
        <f t="shared" si="39"/>
        <v>0</v>
      </c>
      <c r="Y71" s="15">
        <f t="shared" si="39"/>
        <v>0</v>
      </c>
      <c r="Z71" s="15">
        <f t="shared" si="39"/>
        <v>0</v>
      </c>
      <c r="AA71" s="15">
        <f t="shared" si="39"/>
        <v>0</v>
      </c>
      <c r="AB71" s="15">
        <f t="shared" si="39"/>
        <v>0</v>
      </c>
      <c r="AC71" s="15">
        <f t="shared" si="39"/>
        <v>0</v>
      </c>
      <c r="AD71" s="15">
        <f t="shared" si="39"/>
        <v>0</v>
      </c>
      <c r="AE71" s="15">
        <f t="shared" si="39"/>
        <v>0</v>
      </c>
      <c r="AF71" s="15">
        <f t="shared" si="39"/>
        <v>0</v>
      </c>
      <c r="AG71" s="15">
        <f t="shared" si="39"/>
        <v>0</v>
      </c>
      <c r="AH71" s="15">
        <f t="shared" si="39"/>
        <v>0</v>
      </c>
      <c r="AI71" s="15">
        <f t="shared" si="39"/>
        <v>0</v>
      </c>
      <c r="AJ71" s="15">
        <f t="shared" si="39"/>
        <v>0</v>
      </c>
      <c r="AK71" s="16">
        <f t="shared" si="32"/>
        <v>0</v>
      </c>
      <c r="AM71" s="14" t="str">
        <f>IFERROR(VLOOKUP(C71,EQ_Cont,9,FALSE),"")</f>
        <v/>
      </c>
    </row>
    <row r="72" spans="1:39" ht="12.5">
      <c r="A72" s="663"/>
      <c r="B72" s="670">
        <v>6</v>
      </c>
      <c r="C72" s="664" t="str">
        <f>IF(ISBLANK(DBPCFA!AP16),"",DBPCFA!AP16)</f>
        <v/>
      </c>
      <c r="D72" s="665"/>
      <c r="E72" s="666"/>
      <c r="F72" s="12">
        <f t="shared" ref="F72:AJ72" si="40">SUMIFS(EQ_HAct,Desc_EQ,$C72,Fecha_Inf_EQ,VALUE($AN$1&amp;TEXT(F$11,"00")))</f>
        <v>0</v>
      </c>
      <c r="G72" s="12">
        <f t="shared" si="40"/>
        <v>0</v>
      </c>
      <c r="H72" s="12">
        <f t="shared" si="40"/>
        <v>0</v>
      </c>
      <c r="I72" s="12">
        <f t="shared" si="40"/>
        <v>0</v>
      </c>
      <c r="J72" s="12">
        <f t="shared" si="40"/>
        <v>0</v>
      </c>
      <c r="K72" s="12">
        <f t="shared" si="40"/>
        <v>0</v>
      </c>
      <c r="L72" s="12">
        <f t="shared" si="40"/>
        <v>0</v>
      </c>
      <c r="M72" s="12">
        <f t="shared" si="40"/>
        <v>0</v>
      </c>
      <c r="N72" s="12">
        <f t="shared" si="40"/>
        <v>0</v>
      </c>
      <c r="O72" s="12">
        <f t="shared" si="40"/>
        <v>0</v>
      </c>
      <c r="P72" s="12">
        <f t="shared" si="40"/>
        <v>0</v>
      </c>
      <c r="Q72" s="12">
        <f t="shared" si="40"/>
        <v>0</v>
      </c>
      <c r="R72" s="12">
        <f t="shared" si="40"/>
        <v>0</v>
      </c>
      <c r="S72" s="12">
        <f t="shared" si="40"/>
        <v>0</v>
      </c>
      <c r="T72" s="12">
        <f t="shared" si="40"/>
        <v>0</v>
      </c>
      <c r="U72" s="12">
        <f t="shared" si="40"/>
        <v>0</v>
      </c>
      <c r="V72" s="12">
        <f t="shared" si="40"/>
        <v>0</v>
      </c>
      <c r="W72" s="12">
        <f t="shared" si="40"/>
        <v>0</v>
      </c>
      <c r="X72" s="12">
        <f t="shared" si="40"/>
        <v>0</v>
      </c>
      <c r="Y72" s="12">
        <f t="shared" si="40"/>
        <v>0</v>
      </c>
      <c r="Z72" s="12">
        <f t="shared" si="40"/>
        <v>0</v>
      </c>
      <c r="AA72" s="12">
        <f t="shared" si="40"/>
        <v>0</v>
      </c>
      <c r="AB72" s="12">
        <f t="shared" si="40"/>
        <v>0</v>
      </c>
      <c r="AC72" s="12">
        <f t="shared" si="40"/>
        <v>0</v>
      </c>
      <c r="AD72" s="12">
        <f t="shared" si="40"/>
        <v>0</v>
      </c>
      <c r="AE72" s="12">
        <f t="shared" si="40"/>
        <v>0</v>
      </c>
      <c r="AF72" s="12">
        <f t="shared" si="40"/>
        <v>0</v>
      </c>
      <c r="AG72" s="12">
        <f t="shared" si="40"/>
        <v>0</v>
      </c>
      <c r="AH72" s="12">
        <f t="shared" si="40"/>
        <v>0</v>
      </c>
      <c r="AI72" s="12">
        <f t="shared" si="40"/>
        <v>0</v>
      </c>
      <c r="AJ72" s="12">
        <f t="shared" si="40"/>
        <v>0</v>
      </c>
      <c r="AK72" s="13">
        <f t="shared" si="32"/>
        <v>0</v>
      </c>
    </row>
    <row r="73" spans="1:39" ht="12.5">
      <c r="A73" s="663"/>
      <c r="B73" s="671"/>
      <c r="C73" s="667"/>
      <c r="D73" s="668"/>
      <c r="E73" s="669"/>
      <c r="F73" s="15">
        <f t="shared" ref="F73:AJ73" si="41">SUMIFS(EQ_HInac,Desc_EQ,$C72,Fecha_Inf_EQ,VALUE($AN$1&amp;TEXT(F$11,"00")))</f>
        <v>0</v>
      </c>
      <c r="G73" s="15">
        <f t="shared" si="41"/>
        <v>0</v>
      </c>
      <c r="H73" s="15">
        <f t="shared" si="41"/>
        <v>0</v>
      </c>
      <c r="I73" s="15">
        <f t="shared" si="41"/>
        <v>0</v>
      </c>
      <c r="J73" s="15">
        <f t="shared" si="41"/>
        <v>0</v>
      </c>
      <c r="K73" s="15">
        <f t="shared" si="41"/>
        <v>0</v>
      </c>
      <c r="L73" s="15">
        <f t="shared" si="41"/>
        <v>0</v>
      </c>
      <c r="M73" s="15">
        <f t="shared" si="41"/>
        <v>0</v>
      </c>
      <c r="N73" s="15">
        <f t="shared" si="41"/>
        <v>0</v>
      </c>
      <c r="O73" s="15">
        <f t="shared" si="41"/>
        <v>0</v>
      </c>
      <c r="P73" s="15">
        <f t="shared" si="41"/>
        <v>0</v>
      </c>
      <c r="Q73" s="15">
        <f t="shared" si="41"/>
        <v>0</v>
      </c>
      <c r="R73" s="15">
        <f t="shared" si="41"/>
        <v>0</v>
      </c>
      <c r="S73" s="15">
        <f t="shared" si="41"/>
        <v>0</v>
      </c>
      <c r="T73" s="15">
        <f t="shared" si="41"/>
        <v>0</v>
      </c>
      <c r="U73" s="15">
        <f t="shared" si="41"/>
        <v>0</v>
      </c>
      <c r="V73" s="15">
        <f t="shared" si="41"/>
        <v>0</v>
      </c>
      <c r="W73" s="15">
        <f t="shared" si="41"/>
        <v>0</v>
      </c>
      <c r="X73" s="15">
        <f t="shared" si="41"/>
        <v>0</v>
      </c>
      <c r="Y73" s="15">
        <f t="shared" si="41"/>
        <v>0</v>
      </c>
      <c r="Z73" s="15">
        <f t="shared" si="41"/>
        <v>0</v>
      </c>
      <c r="AA73" s="15">
        <f t="shared" si="41"/>
        <v>0</v>
      </c>
      <c r="AB73" s="15">
        <f t="shared" si="41"/>
        <v>0</v>
      </c>
      <c r="AC73" s="15">
        <f t="shared" si="41"/>
        <v>0</v>
      </c>
      <c r="AD73" s="15">
        <f t="shared" si="41"/>
        <v>0</v>
      </c>
      <c r="AE73" s="15">
        <f t="shared" si="41"/>
        <v>0</v>
      </c>
      <c r="AF73" s="15">
        <f t="shared" si="41"/>
        <v>0</v>
      </c>
      <c r="AG73" s="15">
        <f t="shared" si="41"/>
        <v>0</v>
      </c>
      <c r="AH73" s="15">
        <f t="shared" si="41"/>
        <v>0</v>
      </c>
      <c r="AI73" s="15">
        <f t="shared" si="41"/>
        <v>0</v>
      </c>
      <c r="AJ73" s="15">
        <f t="shared" si="41"/>
        <v>0</v>
      </c>
      <c r="AK73" s="16">
        <f t="shared" si="32"/>
        <v>0</v>
      </c>
      <c r="AM73" s="14" t="str">
        <f>IFERROR(VLOOKUP(C73,EQ_Cont,9,FALSE),"")</f>
        <v/>
      </c>
    </row>
    <row r="74" spans="1:39" ht="12.5">
      <c r="A74" s="663"/>
      <c r="B74" s="670">
        <v>7</v>
      </c>
      <c r="C74" s="664" t="str">
        <f>IF(ISBLANK(DBPCFA!AP17),"",DBPCFA!AP17)</f>
        <v/>
      </c>
      <c r="D74" s="665"/>
      <c r="E74" s="666"/>
      <c r="F74" s="12">
        <f t="shared" ref="F74:AJ74" si="42">SUMIFS(EQ_HAct,Desc_EQ,$C74,Fecha_Inf_EQ,VALUE($AN$1&amp;TEXT(F$11,"00")))</f>
        <v>0</v>
      </c>
      <c r="G74" s="12">
        <f t="shared" si="42"/>
        <v>0</v>
      </c>
      <c r="H74" s="12">
        <f t="shared" si="42"/>
        <v>0</v>
      </c>
      <c r="I74" s="12">
        <f t="shared" si="42"/>
        <v>0</v>
      </c>
      <c r="J74" s="12">
        <f t="shared" si="42"/>
        <v>0</v>
      </c>
      <c r="K74" s="12">
        <f t="shared" si="42"/>
        <v>0</v>
      </c>
      <c r="L74" s="12">
        <f t="shared" si="42"/>
        <v>0</v>
      </c>
      <c r="M74" s="12">
        <f t="shared" si="42"/>
        <v>0</v>
      </c>
      <c r="N74" s="12">
        <f t="shared" si="42"/>
        <v>0</v>
      </c>
      <c r="O74" s="12">
        <f t="shared" si="42"/>
        <v>0</v>
      </c>
      <c r="P74" s="12">
        <f t="shared" si="42"/>
        <v>0</v>
      </c>
      <c r="Q74" s="12">
        <f t="shared" si="42"/>
        <v>0</v>
      </c>
      <c r="R74" s="12">
        <f t="shared" si="42"/>
        <v>0</v>
      </c>
      <c r="S74" s="12">
        <f t="shared" si="42"/>
        <v>0</v>
      </c>
      <c r="T74" s="12">
        <f t="shared" si="42"/>
        <v>0</v>
      </c>
      <c r="U74" s="12">
        <f t="shared" si="42"/>
        <v>0</v>
      </c>
      <c r="V74" s="12">
        <f t="shared" si="42"/>
        <v>0</v>
      </c>
      <c r="W74" s="12">
        <f t="shared" si="42"/>
        <v>0</v>
      </c>
      <c r="X74" s="12">
        <f t="shared" si="42"/>
        <v>0</v>
      </c>
      <c r="Y74" s="12">
        <f t="shared" si="42"/>
        <v>0</v>
      </c>
      <c r="Z74" s="12">
        <f t="shared" si="42"/>
        <v>0</v>
      </c>
      <c r="AA74" s="12">
        <f t="shared" si="42"/>
        <v>0</v>
      </c>
      <c r="AB74" s="12">
        <f t="shared" si="42"/>
        <v>0</v>
      </c>
      <c r="AC74" s="12">
        <f t="shared" si="42"/>
        <v>0</v>
      </c>
      <c r="AD74" s="12">
        <f t="shared" si="42"/>
        <v>0</v>
      </c>
      <c r="AE74" s="12">
        <f t="shared" si="42"/>
        <v>0</v>
      </c>
      <c r="AF74" s="12">
        <f t="shared" si="42"/>
        <v>0</v>
      </c>
      <c r="AG74" s="12">
        <f t="shared" si="42"/>
        <v>0</v>
      </c>
      <c r="AH74" s="12">
        <f t="shared" si="42"/>
        <v>0</v>
      </c>
      <c r="AI74" s="12">
        <f t="shared" si="42"/>
        <v>0</v>
      </c>
      <c r="AJ74" s="12">
        <f t="shared" si="42"/>
        <v>0</v>
      </c>
      <c r="AK74" s="13">
        <f t="shared" si="32"/>
        <v>0</v>
      </c>
    </row>
    <row r="75" spans="1:39" ht="12.5">
      <c r="A75" s="663"/>
      <c r="B75" s="671"/>
      <c r="C75" s="667"/>
      <c r="D75" s="668"/>
      <c r="E75" s="669"/>
      <c r="F75" s="15">
        <f t="shared" ref="F75:AJ75" si="43">SUMIFS(EQ_HInac,Desc_EQ,$C74,Fecha_Inf_EQ,VALUE($AN$1&amp;TEXT(F$11,"00")))</f>
        <v>0</v>
      </c>
      <c r="G75" s="15">
        <f t="shared" si="43"/>
        <v>0</v>
      </c>
      <c r="H75" s="15">
        <f t="shared" si="43"/>
        <v>0</v>
      </c>
      <c r="I75" s="15">
        <f t="shared" si="43"/>
        <v>0</v>
      </c>
      <c r="J75" s="15">
        <f t="shared" si="43"/>
        <v>0</v>
      </c>
      <c r="K75" s="15">
        <f t="shared" si="43"/>
        <v>0</v>
      </c>
      <c r="L75" s="15">
        <f t="shared" si="43"/>
        <v>0</v>
      </c>
      <c r="M75" s="15">
        <f t="shared" si="43"/>
        <v>0</v>
      </c>
      <c r="N75" s="15">
        <f t="shared" si="43"/>
        <v>0</v>
      </c>
      <c r="O75" s="15">
        <f t="shared" si="43"/>
        <v>0</v>
      </c>
      <c r="P75" s="15">
        <f t="shared" si="43"/>
        <v>0</v>
      </c>
      <c r="Q75" s="15">
        <f t="shared" si="43"/>
        <v>0</v>
      </c>
      <c r="R75" s="15">
        <f t="shared" si="43"/>
        <v>0</v>
      </c>
      <c r="S75" s="15">
        <f t="shared" si="43"/>
        <v>0</v>
      </c>
      <c r="T75" s="15">
        <f t="shared" si="43"/>
        <v>0</v>
      </c>
      <c r="U75" s="15">
        <f t="shared" si="43"/>
        <v>0</v>
      </c>
      <c r="V75" s="15">
        <f t="shared" si="43"/>
        <v>0</v>
      </c>
      <c r="W75" s="15">
        <f t="shared" si="43"/>
        <v>0</v>
      </c>
      <c r="X75" s="15">
        <f t="shared" si="43"/>
        <v>0</v>
      </c>
      <c r="Y75" s="15">
        <f t="shared" si="43"/>
        <v>0</v>
      </c>
      <c r="Z75" s="15">
        <f t="shared" si="43"/>
        <v>0</v>
      </c>
      <c r="AA75" s="15">
        <f t="shared" si="43"/>
        <v>0</v>
      </c>
      <c r="AB75" s="15">
        <f t="shared" si="43"/>
        <v>0</v>
      </c>
      <c r="AC75" s="15">
        <f t="shared" si="43"/>
        <v>0</v>
      </c>
      <c r="AD75" s="15">
        <f t="shared" si="43"/>
        <v>0</v>
      </c>
      <c r="AE75" s="15">
        <f t="shared" si="43"/>
        <v>0</v>
      </c>
      <c r="AF75" s="15">
        <f t="shared" si="43"/>
        <v>0</v>
      </c>
      <c r="AG75" s="15">
        <f t="shared" si="43"/>
        <v>0</v>
      </c>
      <c r="AH75" s="15">
        <f t="shared" si="43"/>
        <v>0</v>
      </c>
      <c r="AI75" s="15">
        <f t="shared" si="43"/>
        <v>0</v>
      </c>
      <c r="AJ75" s="15">
        <f t="shared" si="43"/>
        <v>0</v>
      </c>
      <c r="AK75" s="16">
        <f t="shared" si="32"/>
        <v>0</v>
      </c>
      <c r="AM75" s="14" t="str">
        <f>IFERROR(VLOOKUP(C75,EQ_Cont,9,FALSE),"")</f>
        <v/>
      </c>
    </row>
    <row r="76" spans="1:39" ht="12.5">
      <c r="A76" s="663"/>
      <c r="B76" s="414">
        <v>8</v>
      </c>
      <c r="C76" s="664" t="str">
        <f>IF(ISBLANK(DBPCFA!AP18),"",DBPCFA!AP18)</f>
        <v/>
      </c>
      <c r="D76" s="665"/>
      <c r="E76" s="666"/>
      <c r="F76" s="12">
        <f t="shared" ref="F76:AJ76" si="44">SUMIFS(EQ_HAct,Desc_EQ,$C76,Fecha_Inf_EQ,VALUE($AN$1&amp;TEXT(F$11,"00")))</f>
        <v>0</v>
      </c>
      <c r="G76" s="12">
        <f t="shared" si="44"/>
        <v>0</v>
      </c>
      <c r="H76" s="12">
        <f t="shared" si="44"/>
        <v>0</v>
      </c>
      <c r="I76" s="12">
        <f t="shared" si="44"/>
        <v>0</v>
      </c>
      <c r="J76" s="12">
        <f t="shared" si="44"/>
        <v>0</v>
      </c>
      <c r="K76" s="12">
        <f t="shared" si="44"/>
        <v>0</v>
      </c>
      <c r="L76" s="12">
        <f t="shared" si="44"/>
        <v>0</v>
      </c>
      <c r="M76" s="12">
        <f t="shared" si="44"/>
        <v>0</v>
      </c>
      <c r="N76" s="12">
        <f t="shared" si="44"/>
        <v>0</v>
      </c>
      <c r="O76" s="12">
        <f t="shared" si="44"/>
        <v>0</v>
      </c>
      <c r="P76" s="12">
        <f t="shared" si="44"/>
        <v>0</v>
      </c>
      <c r="Q76" s="12">
        <f t="shared" si="44"/>
        <v>0</v>
      </c>
      <c r="R76" s="12">
        <f t="shared" si="44"/>
        <v>0</v>
      </c>
      <c r="S76" s="12">
        <f t="shared" si="44"/>
        <v>0</v>
      </c>
      <c r="T76" s="12">
        <f t="shared" si="44"/>
        <v>0</v>
      </c>
      <c r="U76" s="12">
        <f t="shared" si="44"/>
        <v>0</v>
      </c>
      <c r="V76" s="12">
        <f t="shared" si="44"/>
        <v>0</v>
      </c>
      <c r="W76" s="12">
        <f t="shared" si="44"/>
        <v>0</v>
      </c>
      <c r="X76" s="12">
        <f t="shared" si="44"/>
        <v>0</v>
      </c>
      <c r="Y76" s="12">
        <f t="shared" si="44"/>
        <v>0</v>
      </c>
      <c r="Z76" s="12">
        <f t="shared" si="44"/>
        <v>0</v>
      </c>
      <c r="AA76" s="12">
        <f t="shared" si="44"/>
        <v>0</v>
      </c>
      <c r="AB76" s="12">
        <f t="shared" si="44"/>
        <v>0</v>
      </c>
      <c r="AC76" s="12">
        <f t="shared" si="44"/>
        <v>0</v>
      </c>
      <c r="AD76" s="12">
        <f t="shared" si="44"/>
        <v>0</v>
      </c>
      <c r="AE76" s="12">
        <f t="shared" si="44"/>
        <v>0</v>
      </c>
      <c r="AF76" s="12">
        <f t="shared" si="44"/>
        <v>0</v>
      </c>
      <c r="AG76" s="12">
        <f t="shared" si="44"/>
        <v>0</v>
      </c>
      <c r="AH76" s="12">
        <f t="shared" si="44"/>
        <v>0</v>
      </c>
      <c r="AI76" s="12">
        <f t="shared" si="44"/>
        <v>0</v>
      </c>
      <c r="AJ76" s="12">
        <f t="shared" si="44"/>
        <v>0</v>
      </c>
      <c r="AK76" s="13">
        <f t="shared" si="32"/>
        <v>0</v>
      </c>
    </row>
    <row r="77" spans="1:39" ht="12.5">
      <c r="A77" s="663"/>
      <c r="B77" s="414"/>
      <c r="C77" s="667"/>
      <c r="D77" s="668"/>
      <c r="E77" s="669"/>
      <c r="F77" s="15">
        <f t="shared" ref="F77:AJ77" si="45">SUMIFS(EQ_HInac,Desc_EQ,$C76,Fecha_Inf_EQ,VALUE($AN$1&amp;TEXT(F$11,"00")))</f>
        <v>0</v>
      </c>
      <c r="G77" s="15">
        <f t="shared" si="45"/>
        <v>0</v>
      </c>
      <c r="H77" s="15">
        <f t="shared" si="45"/>
        <v>0</v>
      </c>
      <c r="I77" s="15">
        <f t="shared" si="45"/>
        <v>0</v>
      </c>
      <c r="J77" s="15">
        <f t="shared" si="45"/>
        <v>0</v>
      </c>
      <c r="K77" s="15">
        <f t="shared" si="45"/>
        <v>0</v>
      </c>
      <c r="L77" s="15">
        <f t="shared" si="45"/>
        <v>0</v>
      </c>
      <c r="M77" s="15">
        <f t="shared" si="45"/>
        <v>0</v>
      </c>
      <c r="N77" s="15">
        <f t="shared" si="45"/>
        <v>0</v>
      </c>
      <c r="O77" s="15">
        <f t="shared" si="45"/>
        <v>0</v>
      </c>
      <c r="P77" s="15">
        <f t="shared" si="45"/>
        <v>0</v>
      </c>
      <c r="Q77" s="15">
        <f t="shared" si="45"/>
        <v>0</v>
      </c>
      <c r="R77" s="15">
        <f t="shared" si="45"/>
        <v>0</v>
      </c>
      <c r="S77" s="15">
        <f t="shared" si="45"/>
        <v>0</v>
      </c>
      <c r="T77" s="15">
        <f t="shared" si="45"/>
        <v>0</v>
      </c>
      <c r="U77" s="15">
        <f t="shared" si="45"/>
        <v>0</v>
      </c>
      <c r="V77" s="15">
        <f t="shared" si="45"/>
        <v>0</v>
      </c>
      <c r="W77" s="15">
        <f t="shared" si="45"/>
        <v>0</v>
      </c>
      <c r="X77" s="15">
        <f t="shared" si="45"/>
        <v>0</v>
      </c>
      <c r="Y77" s="15">
        <f t="shared" si="45"/>
        <v>0</v>
      </c>
      <c r="Z77" s="15">
        <f t="shared" si="45"/>
        <v>0</v>
      </c>
      <c r="AA77" s="15">
        <f t="shared" si="45"/>
        <v>0</v>
      </c>
      <c r="AB77" s="15">
        <f t="shared" si="45"/>
        <v>0</v>
      </c>
      <c r="AC77" s="15">
        <f t="shared" si="45"/>
        <v>0</v>
      </c>
      <c r="AD77" s="15">
        <f t="shared" si="45"/>
        <v>0</v>
      </c>
      <c r="AE77" s="15">
        <f t="shared" si="45"/>
        <v>0</v>
      </c>
      <c r="AF77" s="15">
        <f t="shared" si="45"/>
        <v>0</v>
      </c>
      <c r="AG77" s="15">
        <f t="shared" si="45"/>
        <v>0</v>
      </c>
      <c r="AH77" s="15">
        <f t="shared" si="45"/>
        <v>0</v>
      </c>
      <c r="AI77" s="15">
        <f t="shared" si="45"/>
        <v>0</v>
      </c>
      <c r="AJ77" s="15">
        <f t="shared" si="45"/>
        <v>0</v>
      </c>
      <c r="AK77" s="16">
        <f t="shared" si="32"/>
        <v>0</v>
      </c>
      <c r="AM77" s="14" t="str">
        <f>IFERROR(VLOOKUP(C77,EQ_Cont,9,FALSE),"")</f>
        <v/>
      </c>
    </row>
    <row r="78" spans="1:39" ht="12.5">
      <c r="A78" s="663"/>
      <c r="B78" s="414">
        <v>9</v>
      </c>
      <c r="C78" s="664" t="str">
        <f>IF(ISBLANK(DBPCFA!AP19),"",DBPCFA!AP19)</f>
        <v/>
      </c>
      <c r="D78" s="665"/>
      <c r="E78" s="666"/>
      <c r="F78" s="12">
        <f t="shared" ref="F78:AJ78" si="46">SUMIFS(EQ_HAct,Desc_EQ,$C78,Fecha_Inf_EQ,VALUE($AN$1&amp;TEXT(F$11,"00")))</f>
        <v>0</v>
      </c>
      <c r="G78" s="12">
        <f t="shared" si="46"/>
        <v>0</v>
      </c>
      <c r="H78" s="12">
        <f t="shared" si="46"/>
        <v>0</v>
      </c>
      <c r="I78" s="12">
        <f t="shared" si="46"/>
        <v>0</v>
      </c>
      <c r="J78" s="12">
        <f t="shared" si="46"/>
        <v>0</v>
      </c>
      <c r="K78" s="12">
        <f t="shared" si="46"/>
        <v>0</v>
      </c>
      <c r="L78" s="12">
        <f t="shared" si="46"/>
        <v>0</v>
      </c>
      <c r="M78" s="12">
        <f t="shared" si="46"/>
        <v>0</v>
      </c>
      <c r="N78" s="12">
        <f t="shared" si="46"/>
        <v>0</v>
      </c>
      <c r="O78" s="12">
        <f t="shared" si="46"/>
        <v>0</v>
      </c>
      <c r="P78" s="12">
        <f t="shared" si="46"/>
        <v>0</v>
      </c>
      <c r="Q78" s="12">
        <f t="shared" si="46"/>
        <v>0</v>
      </c>
      <c r="R78" s="12">
        <f t="shared" si="46"/>
        <v>0</v>
      </c>
      <c r="S78" s="12">
        <f t="shared" si="46"/>
        <v>0</v>
      </c>
      <c r="T78" s="12">
        <f t="shared" si="46"/>
        <v>0</v>
      </c>
      <c r="U78" s="12">
        <f t="shared" si="46"/>
        <v>0</v>
      </c>
      <c r="V78" s="12">
        <f t="shared" si="46"/>
        <v>0</v>
      </c>
      <c r="W78" s="12">
        <f t="shared" si="46"/>
        <v>0</v>
      </c>
      <c r="X78" s="12">
        <f t="shared" si="46"/>
        <v>0</v>
      </c>
      <c r="Y78" s="12">
        <f t="shared" si="46"/>
        <v>0</v>
      </c>
      <c r="Z78" s="12">
        <f t="shared" si="46"/>
        <v>0</v>
      </c>
      <c r="AA78" s="12">
        <f t="shared" si="46"/>
        <v>0</v>
      </c>
      <c r="AB78" s="12">
        <f t="shared" si="46"/>
        <v>0</v>
      </c>
      <c r="AC78" s="12">
        <f t="shared" si="46"/>
        <v>0</v>
      </c>
      <c r="AD78" s="12">
        <f t="shared" si="46"/>
        <v>0</v>
      </c>
      <c r="AE78" s="12">
        <f t="shared" si="46"/>
        <v>0</v>
      </c>
      <c r="AF78" s="12">
        <f t="shared" si="46"/>
        <v>0</v>
      </c>
      <c r="AG78" s="12">
        <f t="shared" si="46"/>
        <v>0</v>
      </c>
      <c r="AH78" s="12">
        <f t="shared" si="46"/>
        <v>0</v>
      </c>
      <c r="AI78" s="12">
        <f t="shared" si="46"/>
        <v>0</v>
      </c>
      <c r="AJ78" s="12">
        <f t="shared" si="46"/>
        <v>0</v>
      </c>
      <c r="AK78" s="13">
        <f t="shared" si="32"/>
        <v>0</v>
      </c>
    </row>
    <row r="79" spans="1:39" ht="12.5">
      <c r="A79" s="663"/>
      <c r="B79" s="414"/>
      <c r="C79" s="667"/>
      <c r="D79" s="668"/>
      <c r="E79" s="669"/>
      <c r="F79" s="15">
        <f t="shared" ref="F79:AJ79" si="47">SUMIFS(EQ_HInac,Desc_EQ,$C78,Fecha_Inf_EQ,VALUE($AN$1&amp;TEXT(F$11,"00")))</f>
        <v>0</v>
      </c>
      <c r="G79" s="15">
        <f t="shared" si="47"/>
        <v>0</v>
      </c>
      <c r="H79" s="15">
        <f t="shared" si="47"/>
        <v>0</v>
      </c>
      <c r="I79" s="15">
        <f t="shared" si="47"/>
        <v>0</v>
      </c>
      <c r="J79" s="15">
        <f t="shared" si="47"/>
        <v>0</v>
      </c>
      <c r="K79" s="15">
        <f t="shared" si="47"/>
        <v>0</v>
      </c>
      <c r="L79" s="15">
        <f t="shared" si="47"/>
        <v>0</v>
      </c>
      <c r="M79" s="15">
        <f t="shared" si="47"/>
        <v>0</v>
      </c>
      <c r="N79" s="15">
        <f t="shared" si="47"/>
        <v>0</v>
      </c>
      <c r="O79" s="15">
        <f t="shared" si="47"/>
        <v>0</v>
      </c>
      <c r="P79" s="15">
        <f t="shared" si="47"/>
        <v>0</v>
      </c>
      <c r="Q79" s="15">
        <f t="shared" si="47"/>
        <v>0</v>
      </c>
      <c r="R79" s="15">
        <f t="shared" si="47"/>
        <v>0</v>
      </c>
      <c r="S79" s="15">
        <f t="shared" si="47"/>
        <v>0</v>
      </c>
      <c r="T79" s="15">
        <f t="shared" si="47"/>
        <v>0</v>
      </c>
      <c r="U79" s="15">
        <f t="shared" si="47"/>
        <v>0</v>
      </c>
      <c r="V79" s="15">
        <f t="shared" si="47"/>
        <v>0</v>
      </c>
      <c r="W79" s="15">
        <f t="shared" si="47"/>
        <v>0</v>
      </c>
      <c r="X79" s="15">
        <f t="shared" si="47"/>
        <v>0</v>
      </c>
      <c r="Y79" s="15">
        <f t="shared" si="47"/>
        <v>0</v>
      </c>
      <c r="Z79" s="15">
        <f t="shared" si="47"/>
        <v>0</v>
      </c>
      <c r="AA79" s="15">
        <f t="shared" si="47"/>
        <v>0</v>
      </c>
      <c r="AB79" s="15">
        <f t="shared" si="47"/>
        <v>0</v>
      </c>
      <c r="AC79" s="15">
        <f t="shared" si="47"/>
        <v>0</v>
      </c>
      <c r="AD79" s="15">
        <f t="shared" si="47"/>
        <v>0</v>
      </c>
      <c r="AE79" s="15">
        <f t="shared" si="47"/>
        <v>0</v>
      </c>
      <c r="AF79" s="15">
        <f t="shared" si="47"/>
        <v>0</v>
      </c>
      <c r="AG79" s="15">
        <f t="shared" si="47"/>
        <v>0</v>
      </c>
      <c r="AH79" s="15">
        <f t="shared" si="47"/>
        <v>0</v>
      </c>
      <c r="AI79" s="15">
        <f t="shared" si="47"/>
        <v>0</v>
      </c>
      <c r="AJ79" s="15">
        <f t="shared" si="47"/>
        <v>0</v>
      </c>
      <c r="AK79" s="16">
        <f t="shared" si="32"/>
        <v>0</v>
      </c>
      <c r="AM79" s="14" t="str">
        <f>IFERROR(VLOOKUP(C79,EQ_Cont,9,FALSE),"")</f>
        <v/>
      </c>
    </row>
    <row r="80" spans="1:39" ht="12.5">
      <c r="A80" s="663"/>
      <c r="B80" s="414">
        <v>10</v>
      </c>
      <c r="C80" s="664" t="str">
        <f>IF(ISBLANK(DBPCFA!AP20),"",DBPCFA!AP20)</f>
        <v/>
      </c>
      <c r="D80" s="665"/>
      <c r="E80" s="666"/>
      <c r="F80" s="12">
        <f t="shared" ref="F80:AJ80" si="48">SUMIFS(EQ_HAct,Desc_EQ,$C80,Fecha_Inf_EQ,VALUE($AN$1&amp;TEXT(F$11,"00")))</f>
        <v>0</v>
      </c>
      <c r="G80" s="12">
        <f t="shared" si="48"/>
        <v>0</v>
      </c>
      <c r="H80" s="12">
        <f t="shared" si="48"/>
        <v>0</v>
      </c>
      <c r="I80" s="12">
        <f t="shared" si="48"/>
        <v>0</v>
      </c>
      <c r="J80" s="12">
        <f t="shared" si="48"/>
        <v>0</v>
      </c>
      <c r="K80" s="12">
        <f t="shared" si="48"/>
        <v>0</v>
      </c>
      <c r="L80" s="12">
        <f t="shared" si="48"/>
        <v>0</v>
      </c>
      <c r="M80" s="12">
        <f t="shared" si="48"/>
        <v>0</v>
      </c>
      <c r="N80" s="12">
        <f t="shared" si="48"/>
        <v>0</v>
      </c>
      <c r="O80" s="12">
        <f t="shared" si="48"/>
        <v>0</v>
      </c>
      <c r="P80" s="12">
        <f t="shared" si="48"/>
        <v>0</v>
      </c>
      <c r="Q80" s="12">
        <f t="shared" si="48"/>
        <v>0</v>
      </c>
      <c r="R80" s="12">
        <f t="shared" si="48"/>
        <v>0</v>
      </c>
      <c r="S80" s="12">
        <f t="shared" si="48"/>
        <v>0</v>
      </c>
      <c r="T80" s="12">
        <f t="shared" si="48"/>
        <v>0</v>
      </c>
      <c r="U80" s="12">
        <f t="shared" si="48"/>
        <v>0</v>
      </c>
      <c r="V80" s="12">
        <f t="shared" si="48"/>
        <v>0</v>
      </c>
      <c r="W80" s="12">
        <f t="shared" si="48"/>
        <v>0</v>
      </c>
      <c r="X80" s="12">
        <f t="shared" si="48"/>
        <v>0</v>
      </c>
      <c r="Y80" s="12">
        <f t="shared" si="48"/>
        <v>0</v>
      </c>
      <c r="Z80" s="12">
        <f t="shared" si="48"/>
        <v>0</v>
      </c>
      <c r="AA80" s="12">
        <f t="shared" si="48"/>
        <v>0</v>
      </c>
      <c r="AB80" s="12">
        <f t="shared" si="48"/>
        <v>0</v>
      </c>
      <c r="AC80" s="12">
        <f t="shared" si="48"/>
        <v>0</v>
      </c>
      <c r="AD80" s="12">
        <f t="shared" si="48"/>
        <v>0</v>
      </c>
      <c r="AE80" s="12">
        <f t="shared" si="48"/>
        <v>0</v>
      </c>
      <c r="AF80" s="12">
        <f t="shared" si="48"/>
        <v>0</v>
      </c>
      <c r="AG80" s="12">
        <f t="shared" si="48"/>
        <v>0</v>
      </c>
      <c r="AH80" s="12">
        <f t="shared" si="48"/>
        <v>0</v>
      </c>
      <c r="AI80" s="12">
        <f t="shared" si="48"/>
        <v>0</v>
      </c>
      <c r="AJ80" s="12">
        <f t="shared" si="48"/>
        <v>0</v>
      </c>
      <c r="AK80" s="13">
        <f t="shared" si="32"/>
        <v>0</v>
      </c>
    </row>
    <row r="81" spans="1:39" ht="12.5">
      <c r="A81" s="663"/>
      <c r="B81" s="414"/>
      <c r="C81" s="667"/>
      <c r="D81" s="668"/>
      <c r="E81" s="669"/>
      <c r="F81" s="15">
        <f t="shared" ref="F81:AJ81" si="49">SUMIFS(EQ_HInac,Desc_EQ,$C80,Fecha_Inf_EQ,VALUE($AN$1&amp;TEXT(F$11,"00")))</f>
        <v>0</v>
      </c>
      <c r="G81" s="15">
        <f t="shared" si="49"/>
        <v>0</v>
      </c>
      <c r="H81" s="15">
        <f t="shared" si="49"/>
        <v>0</v>
      </c>
      <c r="I81" s="15">
        <f t="shared" si="49"/>
        <v>0</v>
      </c>
      <c r="J81" s="15">
        <f t="shared" si="49"/>
        <v>0</v>
      </c>
      <c r="K81" s="15">
        <f t="shared" si="49"/>
        <v>0</v>
      </c>
      <c r="L81" s="15">
        <f t="shared" si="49"/>
        <v>0</v>
      </c>
      <c r="M81" s="15">
        <f t="shared" si="49"/>
        <v>0</v>
      </c>
      <c r="N81" s="15">
        <f t="shared" si="49"/>
        <v>0</v>
      </c>
      <c r="O81" s="15">
        <f t="shared" si="49"/>
        <v>0</v>
      </c>
      <c r="P81" s="15">
        <f t="shared" si="49"/>
        <v>0</v>
      </c>
      <c r="Q81" s="15">
        <f t="shared" si="49"/>
        <v>0</v>
      </c>
      <c r="R81" s="15">
        <f t="shared" si="49"/>
        <v>0</v>
      </c>
      <c r="S81" s="15">
        <f t="shared" si="49"/>
        <v>0</v>
      </c>
      <c r="T81" s="15">
        <f t="shared" si="49"/>
        <v>0</v>
      </c>
      <c r="U81" s="15">
        <f t="shared" si="49"/>
        <v>0</v>
      </c>
      <c r="V81" s="15">
        <f t="shared" si="49"/>
        <v>0</v>
      </c>
      <c r="W81" s="15">
        <f t="shared" si="49"/>
        <v>0</v>
      </c>
      <c r="X81" s="15">
        <f t="shared" si="49"/>
        <v>0</v>
      </c>
      <c r="Y81" s="15">
        <f t="shared" si="49"/>
        <v>0</v>
      </c>
      <c r="Z81" s="15">
        <f t="shared" si="49"/>
        <v>0</v>
      </c>
      <c r="AA81" s="15">
        <f t="shared" si="49"/>
        <v>0</v>
      </c>
      <c r="AB81" s="15">
        <f t="shared" si="49"/>
        <v>0</v>
      </c>
      <c r="AC81" s="15">
        <f t="shared" si="49"/>
        <v>0</v>
      </c>
      <c r="AD81" s="15">
        <f t="shared" si="49"/>
        <v>0</v>
      </c>
      <c r="AE81" s="15">
        <f t="shared" si="49"/>
        <v>0</v>
      </c>
      <c r="AF81" s="15">
        <f t="shared" si="49"/>
        <v>0</v>
      </c>
      <c r="AG81" s="15">
        <f t="shared" si="49"/>
        <v>0</v>
      </c>
      <c r="AH81" s="15">
        <f t="shared" si="49"/>
        <v>0</v>
      </c>
      <c r="AI81" s="15">
        <f t="shared" si="49"/>
        <v>0</v>
      </c>
      <c r="AJ81" s="15">
        <f t="shared" si="49"/>
        <v>0</v>
      </c>
      <c r="AK81" s="16">
        <f t="shared" si="32"/>
        <v>0</v>
      </c>
      <c r="AM81" s="14" t="str">
        <f>IFERROR(VLOOKUP(C81,EQ_Cont,9,FALSE),"")</f>
        <v/>
      </c>
    </row>
    <row r="82" spans="1:39" ht="12.75" customHeight="1">
      <c r="AM82" s="14"/>
    </row>
    <row r="83" spans="1:39" ht="12.5">
      <c r="B83" s="8" t="s">
        <v>149</v>
      </c>
      <c r="C83" s="9" t="s">
        <v>150</v>
      </c>
      <c r="D83" s="8" t="s">
        <v>151</v>
      </c>
      <c r="E83" s="8" t="s">
        <v>152</v>
      </c>
      <c r="F83" s="644" t="s">
        <v>153</v>
      </c>
      <c r="G83" s="367"/>
      <c r="H83" s="646" t="s">
        <v>154</v>
      </c>
      <c r="I83" s="646"/>
      <c r="J83" s="646"/>
      <c r="K83" s="646" t="s">
        <v>155</v>
      </c>
      <c r="L83" s="646"/>
      <c r="M83" s="646"/>
      <c r="N83" s="646" t="s">
        <v>156</v>
      </c>
      <c r="O83" s="646"/>
      <c r="P83" s="646"/>
      <c r="Q83" s="644" t="s">
        <v>157</v>
      </c>
      <c r="R83" s="659"/>
      <c r="S83" s="367"/>
      <c r="T83" s="646" t="s">
        <v>158</v>
      </c>
      <c r="U83" s="646"/>
      <c r="V83" s="646"/>
      <c r="W83" s="644" t="s">
        <v>159</v>
      </c>
      <c r="X83" s="659"/>
      <c r="Y83" s="367"/>
      <c r="Z83" s="644" t="s">
        <v>160</v>
      </c>
      <c r="AA83" s="659"/>
      <c r="AB83" s="367"/>
      <c r="AC83" s="644" t="s">
        <v>161</v>
      </c>
      <c r="AD83" s="659"/>
      <c r="AE83" s="367"/>
      <c r="AF83" s="644" t="s">
        <v>162</v>
      </c>
      <c r="AG83" s="659"/>
      <c r="AH83" s="367"/>
      <c r="AI83" s="644" t="s">
        <v>163</v>
      </c>
      <c r="AJ83" s="659"/>
      <c r="AK83" s="367"/>
      <c r="AM83" s="14"/>
    </row>
    <row r="84" spans="1:39" ht="12.5">
      <c r="B84" s="17"/>
      <c r="C84" s="18" t="s">
        <v>164</v>
      </c>
      <c r="D84" s="18" t="s">
        <v>165</v>
      </c>
      <c r="E84" s="18" t="s">
        <v>166</v>
      </c>
      <c r="F84" s="660" t="s">
        <v>166</v>
      </c>
      <c r="G84" s="661"/>
      <c r="H84" s="656" t="s">
        <v>167</v>
      </c>
      <c r="I84" s="657"/>
      <c r="J84" s="658"/>
      <c r="K84" s="656" t="s">
        <v>168</v>
      </c>
      <c r="L84" s="657"/>
      <c r="M84" s="658"/>
      <c r="N84" s="656" t="s">
        <v>169</v>
      </c>
      <c r="O84" s="657"/>
      <c r="P84" s="658"/>
      <c r="Q84" s="660" t="s">
        <v>168</v>
      </c>
      <c r="R84" s="662"/>
      <c r="S84" s="661"/>
      <c r="T84" s="660" t="s">
        <v>169</v>
      </c>
      <c r="U84" s="662"/>
      <c r="V84" s="661"/>
      <c r="W84" s="660" t="s">
        <v>168</v>
      </c>
      <c r="X84" s="662"/>
      <c r="Y84" s="661"/>
      <c r="Z84" s="660" t="s">
        <v>170</v>
      </c>
      <c r="AA84" s="662"/>
      <c r="AB84" s="661"/>
      <c r="AC84" s="660" t="s">
        <v>171</v>
      </c>
      <c r="AD84" s="662"/>
      <c r="AE84" s="661"/>
      <c r="AF84" s="660" t="s">
        <v>169</v>
      </c>
      <c r="AG84" s="662"/>
      <c r="AH84" s="661"/>
      <c r="AI84" s="660" t="s">
        <v>172</v>
      </c>
      <c r="AJ84" s="662"/>
      <c r="AK84" s="661"/>
      <c r="AM84" s="14"/>
    </row>
    <row r="85" spans="1:39" ht="12.5">
      <c r="B85" s="10"/>
      <c r="C85" s="19" t="s">
        <v>173</v>
      </c>
      <c r="D85" s="19" t="s">
        <v>174</v>
      </c>
      <c r="E85" s="19" t="s">
        <v>175</v>
      </c>
      <c r="F85" s="641" t="s">
        <v>176</v>
      </c>
      <c r="G85" s="643"/>
      <c r="H85" s="656" t="s">
        <v>177</v>
      </c>
      <c r="I85" s="657"/>
      <c r="J85" s="658"/>
      <c r="K85" s="656" t="s">
        <v>178</v>
      </c>
      <c r="L85" s="657"/>
      <c r="M85" s="658"/>
      <c r="N85" s="656" t="s">
        <v>179</v>
      </c>
      <c r="O85" s="657"/>
      <c r="P85" s="658"/>
      <c r="Q85" s="641" t="s">
        <v>180</v>
      </c>
      <c r="R85" s="642"/>
      <c r="S85" s="643"/>
      <c r="T85" s="641" t="s">
        <v>180</v>
      </c>
      <c r="U85" s="642"/>
      <c r="V85" s="643"/>
      <c r="W85" s="641" t="s">
        <v>181</v>
      </c>
      <c r="X85" s="642"/>
      <c r="Y85" s="643"/>
      <c r="Z85" s="641" t="s">
        <v>182</v>
      </c>
      <c r="AA85" s="642"/>
      <c r="AB85" s="643"/>
      <c r="AC85" s="641" t="s">
        <v>183</v>
      </c>
      <c r="AD85" s="642"/>
      <c r="AE85" s="643"/>
      <c r="AF85" s="641" t="s">
        <v>184</v>
      </c>
      <c r="AG85" s="642"/>
      <c r="AH85" s="643"/>
      <c r="AI85" s="641" t="s">
        <v>185</v>
      </c>
      <c r="AJ85" s="642"/>
      <c r="AK85" s="643"/>
      <c r="AM85" s="14"/>
    </row>
    <row r="86" spans="1:39" ht="13">
      <c r="B86" s="8"/>
      <c r="C86" s="8" t="s">
        <v>186</v>
      </c>
      <c r="D86" s="20" t="s">
        <v>187</v>
      </c>
      <c r="E86" s="8" t="s">
        <v>186</v>
      </c>
      <c r="F86" s="644" t="s">
        <v>186</v>
      </c>
      <c r="G86" s="367"/>
      <c r="H86" s="645" t="s">
        <v>188</v>
      </c>
      <c r="I86" s="645"/>
      <c r="J86" s="645"/>
      <c r="K86" s="646" t="s">
        <v>186</v>
      </c>
      <c r="L86" s="646"/>
      <c r="M86" s="646"/>
      <c r="N86" s="645" t="s">
        <v>189</v>
      </c>
      <c r="O86" s="645"/>
      <c r="P86" s="645"/>
      <c r="Q86" s="647" t="s">
        <v>190</v>
      </c>
      <c r="R86" s="647"/>
      <c r="S86" s="648"/>
      <c r="T86" s="649" t="s">
        <v>191</v>
      </c>
      <c r="U86" s="647"/>
      <c r="V86" s="648"/>
      <c r="W86" s="650" t="s">
        <v>186</v>
      </c>
      <c r="X86" s="651"/>
      <c r="Y86" s="652"/>
      <c r="Z86" s="650" t="s">
        <v>186</v>
      </c>
      <c r="AA86" s="651"/>
      <c r="AB86" s="652"/>
      <c r="AC86" s="653" t="s">
        <v>192</v>
      </c>
      <c r="AD86" s="654"/>
      <c r="AE86" s="655"/>
      <c r="AF86" s="653" t="s">
        <v>193</v>
      </c>
      <c r="AG86" s="654"/>
      <c r="AH86" s="655"/>
      <c r="AI86" s="653" t="s">
        <v>194</v>
      </c>
      <c r="AJ86" s="654"/>
      <c r="AK86" s="655"/>
      <c r="AM86" s="14"/>
    </row>
    <row r="87" spans="1:39" ht="12.5">
      <c r="B87" s="8">
        <v>1</v>
      </c>
      <c r="C87" s="215">
        <f>IFERROR(VLOOKUP($C62,EQ_Cont,9,FALSE),"")</f>
        <v>0</v>
      </c>
      <c r="D87" s="21">
        <f>C87/176</f>
        <v>0</v>
      </c>
      <c r="E87" s="21">
        <f>IF(C87&lt;&gt;0,1,0)</f>
        <v>0</v>
      </c>
      <c r="F87" s="636">
        <f>IFERROR(VLOOKUP($C62,EQ_Cont,10,FALSE),"")</f>
        <v>0</v>
      </c>
      <c r="G87" s="637"/>
      <c r="H87" s="628">
        <f>D87*E87*F87</f>
        <v>0</v>
      </c>
      <c r="I87" s="628"/>
      <c r="J87" s="628"/>
      <c r="K87" s="638">
        <f>AK63</f>
        <v>0</v>
      </c>
      <c r="L87" s="639"/>
      <c r="M87" s="639"/>
      <c r="N87" s="628">
        <f>IF('Información Force Account'!$I$1,K87*H87,K87*H87/2)</f>
        <v>0</v>
      </c>
      <c r="O87" s="628"/>
      <c r="P87" s="628"/>
      <c r="Q87" s="640">
        <f>K87+W87</f>
        <v>0</v>
      </c>
      <c r="R87" s="638"/>
      <c r="S87" s="638"/>
      <c r="T87" s="628">
        <f>H87*Q87</f>
        <v>0</v>
      </c>
      <c r="U87" s="628"/>
      <c r="V87" s="628"/>
      <c r="W87" s="630">
        <f>AK62</f>
        <v>0</v>
      </c>
      <c r="X87" s="631"/>
      <c r="Y87" s="632"/>
      <c r="Z87" s="633">
        <f>IFERROR(VLOOKUP($C62,EQ_Cont,11,FALSE),"")</f>
        <v>0</v>
      </c>
      <c r="AA87" s="634"/>
      <c r="AB87" s="635"/>
      <c r="AC87" s="626">
        <f>H87+Z87</f>
        <v>0</v>
      </c>
      <c r="AD87" s="627"/>
      <c r="AE87" s="376"/>
      <c r="AF87" s="626">
        <f>W87*AC87</f>
        <v>0</v>
      </c>
      <c r="AG87" s="627"/>
      <c r="AH87" s="376"/>
      <c r="AI87" s="626">
        <f>N87+AF87</f>
        <v>0</v>
      </c>
      <c r="AJ87" s="627"/>
      <c r="AK87" s="376"/>
      <c r="AM87" s="14"/>
    </row>
    <row r="88" spans="1:39" ht="12.5">
      <c r="B88" s="8">
        <v>2</v>
      </c>
      <c r="C88" s="215">
        <f>IFERROR(VLOOKUP($C64,EQ_Cont,9,FALSE),"")</f>
        <v>0</v>
      </c>
      <c r="D88" s="21">
        <f t="shared" ref="D88:D96" si="50">C88/176</f>
        <v>0</v>
      </c>
      <c r="E88" s="21">
        <f t="shared" ref="E88:E96" si="51">IF(C88&lt;&gt;0,1,0)</f>
        <v>0</v>
      </c>
      <c r="F88" s="636">
        <f>IFERROR(VLOOKUP($C64,EQ_Cont,10,FALSE),"")</f>
        <v>0</v>
      </c>
      <c r="G88" s="637"/>
      <c r="H88" s="628">
        <f t="shared" ref="H88:H96" si="52">D88*E88*F88</f>
        <v>0</v>
      </c>
      <c r="I88" s="628"/>
      <c r="J88" s="628"/>
      <c r="K88" s="638">
        <f>AK65</f>
        <v>0</v>
      </c>
      <c r="L88" s="639"/>
      <c r="M88" s="639"/>
      <c r="N88" s="628">
        <f>IF('Información Force Account'!$I$1,K88*H88,K88*H88/2)</f>
        <v>0</v>
      </c>
      <c r="O88" s="628"/>
      <c r="P88" s="628"/>
      <c r="Q88" s="640">
        <f t="shared" ref="Q88:Q96" si="53">K88+W88</f>
        <v>0</v>
      </c>
      <c r="R88" s="638"/>
      <c r="S88" s="638"/>
      <c r="T88" s="628">
        <f t="shared" ref="T88:T96" si="54">H88*Q88</f>
        <v>0</v>
      </c>
      <c r="U88" s="628"/>
      <c r="V88" s="628"/>
      <c r="W88" s="630">
        <f>AK64</f>
        <v>0</v>
      </c>
      <c r="X88" s="631"/>
      <c r="Y88" s="632"/>
      <c r="Z88" s="633">
        <f>IFERROR(VLOOKUP($C64,EQ_Cont,11,FALSE),"")</f>
        <v>0</v>
      </c>
      <c r="AA88" s="634">
        <v>0</v>
      </c>
      <c r="AB88" s="635">
        <v>0</v>
      </c>
      <c r="AC88" s="626">
        <f t="shared" ref="AC88:AC96" si="55">H88+Z88</f>
        <v>0</v>
      </c>
      <c r="AD88" s="627"/>
      <c r="AE88" s="376"/>
      <c r="AF88" s="626">
        <f t="shared" ref="AF88:AF96" si="56">W88*AC88</f>
        <v>0</v>
      </c>
      <c r="AG88" s="627"/>
      <c r="AH88" s="376"/>
      <c r="AI88" s="626">
        <f t="shared" ref="AI88:AI96" si="57">N88+AF88</f>
        <v>0</v>
      </c>
      <c r="AJ88" s="627"/>
      <c r="AK88" s="376"/>
      <c r="AM88" s="14"/>
    </row>
    <row r="89" spans="1:39" ht="12.5">
      <c r="B89" s="8">
        <v>3</v>
      </c>
      <c r="C89" s="215">
        <f>IFERROR(VLOOKUP($C66,EQ_Cont,9,FALSE),"")</f>
        <v>0</v>
      </c>
      <c r="D89" s="21">
        <f t="shared" si="50"/>
        <v>0</v>
      </c>
      <c r="E89" s="21">
        <f t="shared" si="51"/>
        <v>0</v>
      </c>
      <c r="F89" s="636">
        <f>IFERROR(VLOOKUP($C66,EQ_Cont,10,FALSE),"")</f>
        <v>0</v>
      </c>
      <c r="G89" s="637"/>
      <c r="H89" s="628">
        <f t="shared" si="52"/>
        <v>0</v>
      </c>
      <c r="I89" s="628"/>
      <c r="J89" s="628"/>
      <c r="K89" s="638">
        <f>AK67</f>
        <v>0</v>
      </c>
      <c r="L89" s="639"/>
      <c r="M89" s="639"/>
      <c r="N89" s="628">
        <f>IF('Información Force Account'!$I$1,K89*H89,K89*H89/2)</f>
        <v>0</v>
      </c>
      <c r="O89" s="628"/>
      <c r="P89" s="628"/>
      <c r="Q89" s="640">
        <f t="shared" si="53"/>
        <v>0</v>
      </c>
      <c r="R89" s="638"/>
      <c r="S89" s="638"/>
      <c r="T89" s="628">
        <f t="shared" si="54"/>
        <v>0</v>
      </c>
      <c r="U89" s="628"/>
      <c r="V89" s="628"/>
      <c r="W89" s="630">
        <f>AK66</f>
        <v>0</v>
      </c>
      <c r="X89" s="631"/>
      <c r="Y89" s="632"/>
      <c r="Z89" s="633">
        <f>IFERROR(VLOOKUP($C66,EQ_Cont,11,FALSE),"")</f>
        <v>0</v>
      </c>
      <c r="AA89" s="634">
        <v>0</v>
      </c>
      <c r="AB89" s="635">
        <v>0</v>
      </c>
      <c r="AC89" s="626">
        <f t="shared" si="55"/>
        <v>0</v>
      </c>
      <c r="AD89" s="627"/>
      <c r="AE89" s="376"/>
      <c r="AF89" s="626">
        <f t="shared" si="56"/>
        <v>0</v>
      </c>
      <c r="AG89" s="627"/>
      <c r="AH89" s="376"/>
      <c r="AI89" s="626">
        <f t="shared" si="57"/>
        <v>0</v>
      </c>
      <c r="AJ89" s="627"/>
      <c r="AK89" s="376"/>
      <c r="AM89" s="14"/>
    </row>
    <row r="90" spans="1:39" ht="12.5">
      <c r="B90" s="8">
        <v>4</v>
      </c>
      <c r="C90" s="215">
        <f>IFERROR(VLOOKUP($C68,EQ_Cont,9,FALSE),"")</f>
        <v>0</v>
      </c>
      <c r="D90" s="21">
        <f t="shared" si="50"/>
        <v>0</v>
      </c>
      <c r="E90" s="21">
        <f t="shared" si="51"/>
        <v>0</v>
      </c>
      <c r="F90" s="636">
        <f>IFERROR(VLOOKUP($C68,EQ_Cont,10,FALSE),"")</f>
        <v>0</v>
      </c>
      <c r="G90" s="637"/>
      <c r="H90" s="628">
        <f t="shared" si="52"/>
        <v>0</v>
      </c>
      <c r="I90" s="628"/>
      <c r="J90" s="628"/>
      <c r="K90" s="638">
        <f>AK69</f>
        <v>0</v>
      </c>
      <c r="L90" s="639"/>
      <c r="M90" s="639"/>
      <c r="N90" s="628">
        <f>IF('Información Force Account'!$I$1,K90*H90,K90*H90/2)</f>
        <v>0</v>
      </c>
      <c r="O90" s="628"/>
      <c r="P90" s="628"/>
      <c r="Q90" s="640">
        <f t="shared" si="53"/>
        <v>0</v>
      </c>
      <c r="R90" s="638"/>
      <c r="S90" s="638"/>
      <c r="T90" s="628">
        <f t="shared" si="54"/>
        <v>0</v>
      </c>
      <c r="U90" s="628"/>
      <c r="V90" s="628"/>
      <c r="W90" s="630">
        <f>AK68</f>
        <v>0</v>
      </c>
      <c r="X90" s="631"/>
      <c r="Y90" s="632"/>
      <c r="Z90" s="633">
        <f>IFERROR(VLOOKUP($C68,EQ_Cont,11,FALSE),"")</f>
        <v>0</v>
      </c>
      <c r="AA90" s="634">
        <v>0</v>
      </c>
      <c r="AB90" s="635">
        <v>0</v>
      </c>
      <c r="AC90" s="626">
        <f t="shared" si="55"/>
        <v>0</v>
      </c>
      <c r="AD90" s="627"/>
      <c r="AE90" s="376"/>
      <c r="AF90" s="626">
        <f t="shared" si="56"/>
        <v>0</v>
      </c>
      <c r="AG90" s="627"/>
      <c r="AH90" s="376"/>
      <c r="AI90" s="626">
        <f t="shared" si="57"/>
        <v>0</v>
      </c>
      <c r="AJ90" s="627"/>
      <c r="AK90" s="376"/>
      <c r="AM90" s="14"/>
    </row>
    <row r="91" spans="1:39" ht="12.5">
      <c r="B91" s="8">
        <v>5</v>
      </c>
      <c r="C91" s="215">
        <f>IFERROR(VLOOKUP($C70,EQ_Cont,9,FALSE),"")</f>
        <v>0</v>
      </c>
      <c r="D91" s="21">
        <f t="shared" si="50"/>
        <v>0</v>
      </c>
      <c r="E91" s="21">
        <f t="shared" si="51"/>
        <v>0</v>
      </c>
      <c r="F91" s="636">
        <f>IFERROR(VLOOKUP($C70,EQ_Cont,10,FALSE),"")</f>
        <v>0</v>
      </c>
      <c r="G91" s="637"/>
      <c r="H91" s="628">
        <f t="shared" si="52"/>
        <v>0</v>
      </c>
      <c r="I91" s="628"/>
      <c r="J91" s="628"/>
      <c r="K91" s="638">
        <f>AK71</f>
        <v>0</v>
      </c>
      <c r="L91" s="639"/>
      <c r="M91" s="639"/>
      <c r="N91" s="628">
        <f>IF('Información Force Account'!$I$1,K91*H91,K91*H91/2)</f>
        <v>0</v>
      </c>
      <c r="O91" s="628"/>
      <c r="P91" s="628"/>
      <c r="Q91" s="640">
        <f t="shared" si="53"/>
        <v>0</v>
      </c>
      <c r="R91" s="638"/>
      <c r="S91" s="638"/>
      <c r="T91" s="628">
        <f t="shared" si="54"/>
        <v>0</v>
      </c>
      <c r="U91" s="628"/>
      <c r="V91" s="628"/>
      <c r="W91" s="630">
        <f>AK70</f>
        <v>0</v>
      </c>
      <c r="X91" s="631"/>
      <c r="Y91" s="632"/>
      <c r="Z91" s="633">
        <f>IFERROR(VLOOKUP($C70,EQ_Cont,11,FALSE),"")</f>
        <v>0</v>
      </c>
      <c r="AA91" s="634">
        <v>0</v>
      </c>
      <c r="AB91" s="635">
        <v>0</v>
      </c>
      <c r="AC91" s="626">
        <f t="shared" si="55"/>
        <v>0</v>
      </c>
      <c r="AD91" s="627"/>
      <c r="AE91" s="376"/>
      <c r="AF91" s="626">
        <f t="shared" si="56"/>
        <v>0</v>
      </c>
      <c r="AG91" s="627"/>
      <c r="AH91" s="376"/>
      <c r="AI91" s="626">
        <f t="shared" si="57"/>
        <v>0</v>
      </c>
      <c r="AJ91" s="627"/>
      <c r="AK91" s="376"/>
      <c r="AM91" s="14"/>
    </row>
    <row r="92" spans="1:39" ht="12.5">
      <c r="B92" s="8">
        <v>6</v>
      </c>
      <c r="C92" s="215">
        <f>IFERROR(VLOOKUP($C72,EQ_Cont,9,FALSE),"")</f>
        <v>0</v>
      </c>
      <c r="D92" s="21">
        <f t="shared" si="50"/>
        <v>0</v>
      </c>
      <c r="E92" s="21">
        <f t="shared" si="51"/>
        <v>0</v>
      </c>
      <c r="F92" s="636">
        <f>IFERROR(VLOOKUP($C72,EQ_Cont,10,FALSE),"")</f>
        <v>0</v>
      </c>
      <c r="G92" s="637"/>
      <c r="H92" s="628">
        <f t="shared" si="52"/>
        <v>0</v>
      </c>
      <c r="I92" s="628"/>
      <c r="J92" s="628"/>
      <c r="K92" s="638">
        <f>AK73</f>
        <v>0</v>
      </c>
      <c r="L92" s="639"/>
      <c r="M92" s="639"/>
      <c r="N92" s="628">
        <f>IF('Información Force Account'!$I$1,K92*H92,K92*H92/2)</f>
        <v>0</v>
      </c>
      <c r="O92" s="628"/>
      <c r="P92" s="628"/>
      <c r="Q92" s="640">
        <f t="shared" si="53"/>
        <v>0</v>
      </c>
      <c r="R92" s="638"/>
      <c r="S92" s="638"/>
      <c r="T92" s="628">
        <f t="shared" si="54"/>
        <v>0</v>
      </c>
      <c r="U92" s="628"/>
      <c r="V92" s="628"/>
      <c r="W92" s="630">
        <f>AK72</f>
        <v>0</v>
      </c>
      <c r="X92" s="631"/>
      <c r="Y92" s="632"/>
      <c r="Z92" s="633">
        <f>IFERROR(VLOOKUP($C72,EQ_Cont,11,FALSE),"")</f>
        <v>0</v>
      </c>
      <c r="AA92" s="634">
        <v>0</v>
      </c>
      <c r="AB92" s="635">
        <v>0</v>
      </c>
      <c r="AC92" s="626">
        <f t="shared" si="55"/>
        <v>0</v>
      </c>
      <c r="AD92" s="627"/>
      <c r="AE92" s="376"/>
      <c r="AF92" s="626">
        <f t="shared" si="56"/>
        <v>0</v>
      </c>
      <c r="AG92" s="627"/>
      <c r="AH92" s="376"/>
      <c r="AI92" s="626">
        <f t="shared" si="57"/>
        <v>0</v>
      </c>
      <c r="AJ92" s="627"/>
      <c r="AK92" s="376"/>
      <c r="AM92" s="14"/>
    </row>
    <row r="93" spans="1:39" ht="12.5">
      <c r="B93" s="8">
        <v>7</v>
      </c>
      <c r="C93" s="215">
        <f>IFERROR(VLOOKUP($C74,EQ_Cont,9,FALSE),"")</f>
        <v>0</v>
      </c>
      <c r="D93" s="21">
        <f t="shared" si="50"/>
        <v>0</v>
      </c>
      <c r="E93" s="21">
        <f t="shared" si="51"/>
        <v>0</v>
      </c>
      <c r="F93" s="636">
        <f>IFERROR(VLOOKUP($C74,EQ_Cont,10,FALSE),"")</f>
        <v>0</v>
      </c>
      <c r="G93" s="637"/>
      <c r="H93" s="628">
        <f t="shared" si="52"/>
        <v>0</v>
      </c>
      <c r="I93" s="628"/>
      <c r="J93" s="628"/>
      <c r="K93" s="638">
        <f>AK75</f>
        <v>0</v>
      </c>
      <c r="L93" s="639"/>
      <c r="M93" s="639"/>
      <c r="N93" s="628">
        <f>IF('Información Force Account'!$I$1,K93*H93,K93*H93/2)</f>
        <v>0</v>
      </c>
      <c r="O93" s="628"/>
      <c r="P93" s="628"/>
      <c r="Q93" s="640">
        <f t="shared" si="53"/>
        <v>0</v>
      </c>
      <c r="R93" s="638"/>
      <c r="S93" s="638"/>
      <c r="T93" s="628">
        <f t="shared" si="54"/>
        <v>0</v>
      </c>
      <c r="U93" s="628"/>
      <c r="V93" s="628"/>
      <c r="W93" s="630">
        <f>AK74</f>
        <v>0</v>
      </c>
      <c r="X93" s="631"/>
      <c r="Y93" s="632"/>
      <c r="Z93" s="633">
        <f>IFERROR(VLOOKUP($C74,EQ_Cont,11,FALSE),"")</f>
        <v>0</v>
      </c>
      <c r="AA93" s="634">
        <v>0</v>
      </c>
      <c r="AB93" s="635">
        <v>0</v>
      </c>
      <c r="AC93" s="626">
        <f t="shared" si="55"/>
        <v>0</v>
      </c>
      <c r="AD93" s="627"/>
      <c r="AE93" s="376"/>
      <c r="AF93" s="626">
        <f t="shared" si="56"/>
        <v>0</v>
      </c>
      <c r="AG93" s="627"/>
      <c r="AH93" s="376"/>
      <c r="AI93" s="626">
        <f t="shared" si="57"/>
        <v>0</v>
      </c>
      <c r="AJ93" s="627"/>
      <c r="AK93" s="376"/>
      <c r="AM93" s="14"/>
    </row>
    <row r="94" spans="1:39" ht="12.5">
      <c r="B94" s="8">
        <v>8</v>
      </c>
      <c r="C94" s="215">
        <f>IFERROR(VLOOKUP($C76,EQ_Cont,9,FALSE),"")</f>
        <v>0</v>
      </c>
      <c r="D94" s="21">
        <f t="shared" si="50"/>
        <v>0</v>
      </c>
      <c r="E94" s="21">
        <f t="shared" si="51"/>
        <v>0</v>
      </c>
      <c r="F94" s="636">
        <f>IFERROR(VLOOKUP($C76,EQ_Cont,10,FALSE),"")</f>
        <v>0</v>
      </c>
      <c r="G94" s="637"/>
      <c r="H94" s="628">
        <f t="shared" si="52"/>
        <v>0</v>
      </c>
      <c r="I94" s="628"/>
      <c r="J94" s="628"/>
      <c r="K94" s="638">
        <f>AK77</f>
        <v>0</v>
      </c>
      <c r="L94" s="639"/>
      <c r="M94" s="639"/>
      <c r="N94" s="628">
        <f>IF('Información Force Account'!$I$1,K94*H94,K94*H94/2)</f>
        <v>0</v>
      </c>
      <c r="O94" s="628"/>
      <c r="P94" s="628"/>
      <c r="Q94" s="640">
        <f t="shared" si="53"/>
        <v>0</v>
      </c>
      <c r="R94" s="638"/>
      <c r="S94" s="638"/>
      <c r="T94" s="628">
        <f t="shared" si="54"/>
        <v>0</v>
      </c>
      <c r="U94" s="628"/>
      <c r="V94" s="628"/>
      <c r="W94" s="630">
        <f>AK76</f>
        <v>0</v>
      </c>
      <c r="X94" s="631"/>
      <c r="Y94" s="632"/>
      <c r="Z94" s="633">
        <f>IFERROR(VLOOKUP($C76,EQ_Cont,11,FALSE),"")</f>
        <v>0</v>
      </c>
      <c r="AA94" s="634">
        <v>0</v>
      </c>
      <c r="AB94" s="635">
        <v>0</v>
      </c>
      <c r="AC94" s="626">
        <f t="shared" si="55"/>
        <v>0</v>
      </c>
      <c r="AD94" s="627"/>
      <c r="AE94" s="376"/>
      <c r="AF94" s="626">
        <f t="shared" si="56"/>
        <v>0</v>
      </c>
      <c r="AG94" s="627"/>
      <c r="AH94" s="376"/>
      <c r="AI94" s="626">
        <f t="shared" si="57"/>
        <v>0</v>
      </c>
      <c r="AJ94" s="627"/>
      <c r="AK94" s="376"/>
      <c r="AM94" s="14"/>
    </row>
    <row r="95" spans="1:39" ht="12.5">
      <c r="B95" s="8">
        <v>9</v>
      </c>
      <c r="C95" s="215">
        <f>IFERROR(VLOOKUP($C78,EQ_Cont,9,FALSE),"")</f>
        <v>0</v>
      </c>
      <c r="D95" s="21">
        <f t="shared" si="50"/>
        <v>0</v>
      </c>
      <c r="E95" s="21">
        <f t="shared" si="51"/>
        <v>0</v>
      </c>
      <c r="F95" s="636">
        <f>IFERROR(VLOOKUP($C78,EQ_Cont,10,FALSE),"")</f>
        <v>0</v>
      </c>
      <c r="G95" s="637"/>
      <c r="H95" s="628">
        <f t="shared" si="52"/>
        <v>0</v>
      </c>
      <c r="I95" s="628"/>
      <c r="J95" s="628"/>
      <c r="K95" s="638">
        <f>AK79</f>
        <v>0</v>
      </c>
      <c r="L95" s="639"/>
      <c r="M95" s="639"/>
      <c r="N95" s="628">
        <f>IF('Información Force Account'!$I$1,K95*H95,K95*H95/2)</f>
        <v>0</v>
      </c>
      <c r="O95" s="628"/>
      <c r="P95" s="628"/>
      <c r="Q95" s="640">
        <f t="shared" si="53"/>
        <v>0</v>
      </c>
      <c r="R95" s="638"/>
      <c r="S95" s="638"/>
      <c r="T95" s="628">
        <f t="shared" si="54"/>
        <v>0</v>
      </c>
      <c r="U95" s="628"/>
      <c r="V95" s="628"/>
      <c r="W95" s="630">
        <f>AK78</f>
        <v>0</v>
      </c>
      <c r="X95" s="631"/>
      <c r="Y95" s="632"/>
      <c r="Z95" s="633">
        <f>IFERROR(VLOOKUP($C78,EQ_Cont,11,FALSE),"")</f>
        <v>0</v>
      </c>
      <c r="AA95" s="634">
        <v>0</v>
      </c>
      <c r="AB95" s="635">
        <v>0</v>
      </c>
      <c r="AC95" s="626">
        <f t="shared" si="55"/>
        <v>0</v>
      </c>
      <c r="AD95" s="627"/>
      <c r="AE95" s="376"/>
      <c r="AF95" s="626">
        <f t="shared" si="56"/>
        <v>0</v>
      </c>
      <c r="AG95" s="627"/>
      <c r="AH95" s="376"/>
      <c r="AI95" s="626">
        <f t="shared" si="57"/>
        <v>0</v>
      </c>
      <c r="AJ95" s="627"/>
      <c r="AK95" s="376"/>
      <c r="AM95" s="14"/>
    </row>
    <row r="96" spans="1:39" ht="12.5">
      <c r="B96" s="8">
        <v>10</v>
      </c>
      <c r="C96" s="215">
        <f>IFERROR(VLOOKUP($C80,EQ_Cont,9,FALSE),"")</f>
        <v>0</v>
      </c>
      <c r="D96" s="21">
        <f t="shared" si="50"/>
        <v>0</v>
      </c>
      <c r="E96" s="21">
        <f t="shared" si="51"/>
        <v>0</v>
      </c>
      <c r="F96" s="636">
        <f>IFERROR(VLOOKUP($C80,EQ_Cont,10,FALSE),"")</f>
        <v>0</v>
      </c>
      <c r="G96" s="637"/>
      <c r="H96" s="628">
        <f t="shared" si="52"/>
        <v>0</v>
      </c>
      <c r="I96" s="628"/>
      <c r="J96" s="628"/>
      <c r="K96" s="638">
        <f>AK81</f>
        <v>0</v>
      </c>
      <c r="L96" s="639"/>
      <c r="M96" s="639"/>
      <c r="N96" s="628">
        <f>IF('Información Force Account'!$I$1,K96*H96,K96*H96/2)</f>
        <v>0</v>
      </c>
      <c r="O96" s="628"/>
      <c r="P96" s="628"/>
      <c r="Q96" s="640">
        <f t="shared" si="53"/>
        <v>0</v>
      </c>
      <c r="R96" s="638"/>
      <c r="S96" s="638"/>
      <c r="T96" s="628">
        <f t="shared" si="54"/>
        <v>0</v>
      </c>
      <c r="U96" s="628"/>
      <c r="V96" s="628"/>
      <c r="W96" s="630">
        <f>AK80</f>
        <v>0</v>
      </c>
      <c r="X96" s="631"/>
      <c r="Y96" s="632"/>
      <c r="Z96" s="633">
        <f>IFERROR(VLOOKUP($C80,EQ_Cont,9,FALSE),"")</f>
        <v>0</v>
      </c>
      <c r="AA96" s="634">
        <v>0</v>
      </c>
      <c r="AB96" s="635">
        <v>0</v>
      </c>
      <c r="AC96" s="626">
        <f t="shared" si="55"/>
        <v>0</v>
      </c>
      <c r="AD96" s="627"/>
      <c r="AE96" s="376"/>
      <c r="AF96" s="626">
        <f t="shared" si="56"/>
        <v>0</v>
      </c>
      <c r="AG96" s="627"/>
      <c r="AH96" s="376"/>
      <c r="AI96" s="626">
        <f t="shared" si="57"/>
        <v>0</v>
      </c>
      <c r="AJ96" s="627"/>
      <c r="AK96" s="376"/>
      <c r="AM96" s="14"/>
    </row>
    <row r="97" spans="1:40" ht="12.5">
      <c r="F97" s="22"/>
      <c r="I97" s="23"/>
      <c r="J97" s="14"/>
      <c r="M97" s="24"/>
      <c r="N97" s="628">
        <f>SUM(N87:P96)</f>
        <v>0</v>
      </c>
      <c r="O97" s="628"/>
      <c r="P97" s="628"/>
      <c r="R97" s="23"/>
      <c r="T97" s="626">
        <f>SUM(T87:V96)</f>
        <v>0</v>
      </c>
      <c r="U97" s="627"/>
      <c r="V97" s="376"/>
      <c r="W97" s="2"/>
      <c r="X97" s="2"/>
      <c r="Y97" s="2"/>
      <c r="Z97" s="2"/>
      <c r="AA97" s="2"/>
      <c r="AB97" s="2"/>
      <c r="AC97" s="2"/>
      <c r="AD97" s="2"/>
      <c r="AE97" s="2"/>
      <c r="AF97" s="628">
        <f>SUM(AF87:AH96)</f>
        <v>0</v>
      </c>
      <c r="AG97" s="628"/>
      <c r="AH97" s="628"/>
      <c r="AI97" s="2"/>
      <c r="AJ97" s="2"/>
      <c r="AK97" s="2"/>
      <c r="AM97" s="14"/>
    </row>
    <row r="98" spans="1:40" ht="12.5">
      <c r="F98" s="22"/>
      <c r="I98" s="25"/>
      <c r="M98" s="26"/>
      <c r="N98" s="348" t="s">
        <v>195</v>
      </c>
      <c r="O98" s="348"/>
      <c r="P98" s="348"/>
      <c r="R98" s="25"/>
      <c r="T98" s="348" t="s">
        <v>196</v>
      </c>
      <c r="U98" s="348"/>
      <c r="V98" s="348"/>
      <c r="AF98" s="348" t="s">
        <v>197</v>
      </c>
      <c r="AG98" s="348"/>
      <c r="AH98" s="348"/>
      <c r="AM98" s="14"/>
    </row>
    <row r="99" spans="1:40" ht="12.75" customHeight="1"/>
    <row r="100" spans="1:40" ht="12.75" customHeight="1"/>
    <row r="101" spans="1:40" ht="12.5">
      <c r="B101" s="348" t="s">
        <v>135</v>
      </c>
      <c r="C101" s="348"/>
      <c r="D101" s="348"/>
      <c r="E101" s="348"/>
      <c r="F101" s="348"/>
      <c r="G101" s="348"/>
      <c r="H101" s="348"/>
      <c r="I101" s="348"/>
      <c r="J101" s="348"/>
      <c r="K101" s="348"/>
      <c r="L101" s="348"/>
      <c r="M101" s="348"/>
      <c r="N101" s="348"/>
      <c r="O101" s="348"/>
      <c r="P101" s="348"/>
      <c r="Q101" s="348"/>
      <c r="R101" s="348"/>
      <c r="S101" s="348"/>
      <c r="T101" s="348"/>
      <c r="U101" s="348"/>
      <c r="V101" s="348"/>
      <c r="W101" s="348"/>
      <c r="X101" s="348"/>
      <c r="Y101" s="348"/>
      <c r="Z101" s="348"/>
      <c r="AA101" s="348"/>
      <c r="AB101" s="348"/>
      <c r="AC101" s="348"/>
      <c r="AD101" s="348"/>
      <c r="AE101" s="348"/>
      <c r="AF101" s="348"/>
      <c r="AG101" s="348"/>
      <c r="AH101" s="348"/>
      <c r="AI101" s="348"/>
      <c r="AJ101" s="348"/>
      <c r="AK101" s="348"/>
      <c r="AM101" s="2" t="s">
        <v>229</v>
      </c>
      <c r="AN101" s="2">
        <f>'Resumen FA (Mensual)'!Z101</f>
        <v>0</v>
      </c>
    </row>
    <row r="102" spans="1:40" ht="12.5">
      <c r="B102" s="348" t="s">
        <v>2</v>
      </c>
      <c r="C102" s="348"/>
      <c r="D102" s="348"/>
      <c r="E102" s="348"/>
      <c r="F102" s="348"/>
      <c r="G102" s="348"/>
      <c r="H102" s="348"/>
      <c r="I102" s="348"/>
      <c r="J102" s="348"/>
      <c r="K102" s="348"/>
      <c r="L102" s="348"/>
      <c r="M102" s="348"/>
      <c r="N102" s="348"/>
      <c r="O102" s="348"/>
      <c r="P102" s="348"/>
      <c r="Q102" s="348"/>
      <c r="R102" s="348"/>
      <c r="S102" s="348"/>
      <c r="T102" s="348"/>
      <c r="U102" s="348"/>
      <c r="V102" s="348"/>
      <c r="W102" s="348"/>
      <c r="X102" s="348"/>
      <c r="Y102" s="348"/>
      <c r="Z102" s="348"/>
      <c r="AA102" s="348"/>
      <c r="AB102" s="348"/>
      <c r="AC102" s="348"/>
      <c r="AD102" s="348"/>
      <c r="AE102" s="348"/>
      <c r="AF102" s="348"/>
      <c r="AG102" s="348"/>
      <c r="AH102" s="348"/>
      <c r="AI102" s="348"/>
      <c r="AJ102" s="348"/>
      <c r="AK102" s="348"/>
      <c r="AM102" s="2"/>
      <c r="AN102" s="2"/>
    </row>
    <row r="103" spans="1:40" ht="12.5">
      <c r="B103" s="348" t="s">
        <v>136</v>
      </c>
      <c r="C103" s="348"/>
      <c r="D103" s="348"/>
      <c r="E103" s="348"/>
      <c r="F103" s="348"/>
      <c r="G103" s="348"/>
      <c r="H103" s="348"/>
      <c r="I103" s="348"/>
      <c r="J103" s="348"/>
      <c r="K103" s="348"/>
      <c r="L103" s="348"/>
      <c r="M103" s="348"/>
      <c r="N103" s="348"/>
      <c r="O103" s="348"/>
      <c r="P103" s="348"/>
      <c r="Q103" s="348"/>
      <c r="R103" s="348"/>
      <c r="S103" s="348"/>
      <c r="T103" s="348"/>
      <c r="U103" s="348"/>
      <c r="V103" s="348"/>
      <c r="W103" s="348"/>
      <c r="X103" s="348"/>
      <c r="Y103" s="348"/>
      <c r="Z103" s="348"/>
      <c r="AA103" s="348"/>
      <c r="AB103" s="348"/>
      <c r="AC103" s="348"/>
      <c r="AD103" s="348"/>
      <c r="AE103" s="348"/>
      <c r="AF103" s="348"/>
      <c r="AG103" s="348"/>
      <c r="AH103" s="4"/>
      <c r="AI103" s="4" t="s">
        <v>137</v>
      </c>
      <c r="AJ103" s="5"/>
      <c r="AK103" s="2"/>
      <c r="AM103" s="2"/>
      <c r="AN103" s="2"/>
    </row>
    <row r="104" spans="1:40" ht="12.5">
      <c r="B104" s="6"/>
      <c r="C104" s="6"/>
      <c r="D104" s="6"/>
      <c r="E104" s="6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 t="s">
        <v>138</v>
      </c>
      <c r="AJ104" s="5"/>
    </row>
    <row r="105" spans="1:40" ht="15.5">
      <c r="B105" s="328" t="s">
        <v>139</v>
      </c>
      <c r="C105" s="328"/>
      <c r="D105" s="328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  <c r="R105" s="328"/>
      <c r="S105" s="328"/>
      <c r="T105" s="328"/>
      <c r="U105" s="328"/>
      <c r="V105" s="328"/>
      <c r="W105" s="328"/>
      <c r="X105" s="328"/>
      <c r="Y105" s="328"/>
      <c r="Z105" s="328"/>
      <c r="AA105" s="328"/>
      <c r="AB105" s="328"/>
      <c r="AC105" s="328"/>
      <c r="AD105" s="328"/>
      <c r="AE105" s="328"/>
      <c r="AF105" s="328"/>
      <c r="AG105" s="328"/>
      <c r="AH105" s="328"/>
      <c r="AI105" s="328"/>
      <c r="AJ105" s="328"/>
      <c r="AK105" s="328"/>
    </row>
    <row r="106" spans="1:40" ht="13">
      <c r="B106" s="2"/>
      <c r="C106" s="2"/>
      <c r="D106" s="2"/>
      <c r="E106" s="2"/>
      <c r="K106" s="629" t="s">
        <v>244</v>
      </c>
      <c r="L106" s="629"/>
      <c r="M106" s="629"/>
      <c r="N106" s="629"/>
      <c r="O106" s="350">
        <f>'Información Force Account'!$B$7</f>
        <v>0</v>
      </c>
      <c r="P106" s="350"/>
      <c r="Q106" s="629" t="s">
        <v>245</v>
      </c>
      <c r="R106" s="629"/>
      <c r="S106" s="629"/>
      <c r="T106" s="350">
        <f>'Información Force Account'!$B$8</f>
        <v>0</v>
      </c>
      <c r="U106" s="350"/>
      <c r="V106" s="629" t="s">
        <v>246</v>
      </c>
      <c r="W106" s="629"/>
      <c r="X106" s="629"/>
      <c r="Y106" s="350">
        <f>'Información Force Account'!$B$9</f>
        <v>0</v>
      </c>
      <c r="Z106" s="350"/>
      <c r="AF106" s="2"/>
      <c r="AG106" s="2"/>
      <c r="AH106" s="2"/>
      <c r="AI106" s="2"/>
      <c r="AJ106" s="2"/>
      <c r="AK106" s="2"/>
    </row>
    <row r="107" spans="1:40" ht="13">
      <c r="B107" s="3" t="s">
        <v>140</v>
      </c>
      <c r="E107" s="676" t="s">
        <v>243</v>
      </c>
      <c r="F107" s="676"/>
      <c r="G107" s="676"/>
      <c r="H107" s="676"/>
      <c r="I107" s="676"/>
      <c r="J107" s="676"/>
      <c r="K107" s="677"/>
      <c r="L107" s="677"/>
      <c r="M107" s="677"/>
      <c r="N107" s="677"/>
      <c r="O107" s="677"/>
      <c r="P107" s="677"/>
      <c r="Q107" s="678"/>
      <c r="R107" s="678"/>
      <c r="S107" s="678"/>
      <c r="T107" s="678"/>
      <c r="U107" s="678"/>
      <c r="V107" s="678"/>
      <c r="W107" s="678"/>
      <c r="X107" s="678"/>
      <c r="Y107" s="6"/>
      <c r="Z107" s="6"/>
      <c r="AA107" s="6"/>
      <c r="AB107" s="6"/>
      <c r="AC107" s="6"/>
      <c r="AD107" s="4" t="s">
        <v>90</v>
      </c>
      <c r="AE107" s="350">
        <f>'Información Force Account'!$B$4</f>
        <v>0</v>
      </c>
      <c r="AF107" s="350"/>
      <c r="AG107" s="350"/>
      <c r="AH107" s="350"/>
      <c r="AI107" s="350"/>
      <c r="AJ107" s="350"/>
      <c r="AK107" s="6"/>
    </row>
    <row r="108" spans="1:40" ht="13">
      <c r="B108" s="3" t="s">
        <v>141</v>
      </c>
      <c r="D108" s="7"/>
      <c r="E108" s="674" t="e">
        <f>E8</f>
        <v>#VALUE!</v>
      </c>
      <c r="F108" s="674"/>
      <c r="G108" s="674"/>
      <c r="H108" s="674"/>
      <c r="I108" s="674"/>
      <c r="J108" s="674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4" t="s">
        <v>142</v>
      </c>
      <c r="AE108" s="675">
        <f>'Información Force Account'!$B$3</f>
        <v>0</v>
      </c>
      <c r="AF108" s="675"/>
      <c r="AG108" s="675"/>
      <c r="AH108" s="675"/>
      <c r="AI108" s="675"/>
      <c r="AJ108" s="675"/>
      <c r="AK108" s="6"/>
    </row>
    <row r="109" spans="1:40" ht="14">
      <c r="B109" s="672" t="s">
        <v>143</v>
      </c>
      <c r="C109" s="672"/>
      <c r="D109" s="672"/>
      <c r="E109" s="672"/>
      <c r="F109" s="672"/>
      <c r="G109" s="672"/>
      <c r="H109" s="672"/>
      <c r="I109" s="672"/>
      <c r="J109" s="672"/>
      <c r="K109" s="672"/>
      <c r="L109" s="672"/>
      <c r="M109" s="672"/>
      <c r="N109" s="672"/>
      <c r="O109" s="672"/>
      <c r="P109" s="672"/>
      <c r="Q109" s="672"/>
      <c r="R109" s="672"/>
      <c r="S109" s="672"/>
      <c r="T109" s="672"/>
      <c r="U109" s="672"/>
      <c r="V109" s="672"/>
      <c r="W109" s="672"/>
      <c r="X109" s="672"/>
      <c r="Y109" s="672"/>
      <c r="Z109" s="672"/>
      <c r="AA109" s="672"/>
      <c r="AB109" s="672"/>
      <c r="AC109" s="672"/>
      <c r="AD109" s="672"/>
      <c r="AE109" s="672"/>
      <c r="AF109" s="672"/>
      <c r="AG109" s="672"/>
      <c r="AH109" s="672"/>
      <c r="AI109" s="672"/>
      <c r="AJ109" s="672"/>
      <c r="AK109" s="672"/>
    </row>
    <row r="110" spans="1:40" ht="12.5">
      <c r="B110" s="8" t="s">
        <v>144</v>
      </c>
      <c r="C110" s="644" t="s">
        <v>145</v>
      </c>
      <c r="D110" s="659"/>
      <c r="E110" s="367"/>
      <c r="F110" s="8" t="str">
        <f>'Resumen FA (Mensual)'!$A$17</f>
        <v/>
      </c>
      <c r="G110" s="8" t="str">
        <f>'Resumen FA (Mensual)'!$A$18</f>
        <v/>
      </c>
      <c r="H110" s="8" t="str">
        <f>'Resumen FA (Mensual)'!$A$19</f>
        <v/>
      </c>
      <c r="I110" s="8" t="str">
        <f>'Resumen FA (Mensual)'!$A$20</f>
        <v/>
      </c>
      <c r="J110" s="8" t="str">
        <f>'Resumen FA (Mensual)'!$A$21</f>
        <v/>
      </c>
      <c r="K110" s="8" t="str">
        <f>'Resumen FA (Mensual)'!$A$22</f>
        <v/>
      </c>
      <c r="L110" s="8" t="str">
        <f>'Resumen FA (Mensual)'!$A$23</f>
        <v/>
      </c>
      <c r="M110" s="8" t="str">
        <f>'Resumen FA (Mensual)'!$A$24</f>
        <v/>
      </c>
      <c r="N110" s="8" t="str">
        <f>'Resumen FA (Mensual)'!$A$25</f>
        <v/>
      </c>
      <c r="O110" s="8" t="str">
        <f>'Resumen FA (Mensual)'!$A$26</f>
        <v/>
      </c>
      <c r="P110" s="8" t="str">
        <f>'Resumen FA (Mensual)'!$G$17</f>
        <v/>
      </c>
      <c r="Q110" s="8" t="str">
        <f>'Resumen FA (Mensual)'!$G$18</f>
        <v/>
      </c>
      <c r="R110" s="8" t="str">
        <f>'Resumen FA (Mensual)'!$G$19</f>
        <v/>
      </c>
      <c r="S110" s="8" t="str">
        <f>'Resumen FA (Mensual)'!$G$20</f>
        <v/>
      </c>
      <c r="T110" s="8" t="str">
        <f>'Resumen FA (Mensual)'!$G$21</f>
        <v/>
      </c>
      <c r="U110" s="8" t="str">
        <f>'Resumen FA (Mensual)'!$G$22</f>
        <v/>
      </c>
      <c r="V110" s="8" t="str">
        <f>'Resumen FA (Mensual)'!$G$23</f>
        <v/>
      </c>
      <c r="W110" s="8" t="str">
        <f>'Resumen FA (Mensual)'!$G$24</f>
        <v/>
      </c>
      <c r="X110" s="8" t="str">
        <f>'Resumen FA (Mensual)'!$G$25</f>
        <v/>
      </c>
      <c r="Y110" s="8" t="str">
        <f>'Resumen FA (Mensual)'!$G$26</f>
        <v/>
      </c>
      <c r="Z110" s="8" t="str">
        <f>'Resumen FA (Mensual)'!$M$17</f>
        <v/>
      </c>
      <c r="AA110" s="8" t="str">
        <f>'Resumen FA (Mensual)'!$M$18</f>
        <v/>
      </c>
      <c r="AB110" s="8" t="str">
        <f>'Resumen FA (Mensual)'!$M$19</f>
        <v/>
      </c>
      <c r="AC110" s="8" t="str">
        <f>'Resumen FA (Mensual)'!$M$20</f>
        <v/>
      </c>
      <c r="AD110" s="8" t="str">
        <f>'Resumen FA (Mensual)'!$M$21</f>
        <v/>
      </c>
      <c r="AE110" s="8" t="str">
        <f>'Resumen FA (Mensual)'!$M$22</f>
        <v/>
      </c>
      <c r="AF110" s="8" t="str">
        <f>'Resumen FA (Mensual)'!$M$23</f>
        <v/>
      </c>
      <c r="AG110" s="8" t="str">
        <f>'Resumen FA (Mensual)'!$M$24</f>
        <v/>
      </c>
      <c r="AH110" s="8" t="str">
        <f>'Resumen FA (Mensual)'!$M$25</f>
        <v/>
      </c>
      <c r="AI110" s="8" t="str">
        <f>'Resumen FA (Mensual)'!$M$26</f>
        <v/>
      </c>
      <c r="AJ110" s="8" t="str">
        <f>'Resumen FA (Mensual)'!$M$26</f>
        <v/>
      </c>
      <c r="AK110" s="8" t="s">
        <v>146</v>
      </c>
    </row>
    <row r="111" spans="1:40" ht="12.5">
      <c r="B111" s="10"/>
      <c r="C111" s="644" t="s">
        <v>147</v>
      </c>
      <c r="D111" s="659"/>
      <c r="E111" s="367"/>
      <c r="F111" s="10">
        <v>1</v>
      </c>
      <c r="G111" s="10">
        <v>2</v>
      </c>
      <c r="H111" s="10">
        <v>3</v>
      </c>
      <c r="I111" s="10">
        <v>4</v>
      </c>
      <c r="J111" s="10">
        <v>5</v>
      </c>
      <c r="K111" s="10">
        <v>6</v>
      </c>
      <c r="L111" s="11">
        <v>7</v>
      </c>
      <c r="M111" s="10">
        <v>8</v>
      </c>
      <c r="N111" s="10">
        <v>9</v>
      </c>
      <c r="O111" s="10">
        <v>10</v>
      </c>
      <c r="P111" s="10">
        <v>11</v>
      </c>
      <c r="Q111" s="10">
        <v>12</v>
      </c>
      <c r="R111" s="10">
        <v>13</v>
      </c>
      <c r="S111" s="10">
        <v>14</v>
      </c>
      <c r="T111" s="10">
        <v>15</v>
      </c>
      <c r="U111" s="10">
        <v>16</v>
      </c>
      <c r="V111" s="10">
        <v>17</v>
      </c>
      <c r="W111" s="10">
        <v>18</v>
      </c>
      <c r="X111" s="10">
        <v>19</v>
      </c>
      <c r="Y111" s="10">
        <v>20</v>
      </c>
      <c r="Z111" s="10">
        <v>21</v>
      </c>
      <c r="AA111" s="10">
        <v>22</v>
      </c>
      <c r="AB111" s="10">
        <v>23</v>
      </c>
      <c r="AC111" s="10">
        <v>24</v>
      </c>
      <c r="AD111" s="10">
        <v>25</v>
      </c>
      <c r="AE111" s="10">
        <v>26</v>
      </c>
      <c r="AF111" s="10">
        <v>27</v>
      </c>
      <c r="AG111" s="10">
        <v>28</v>
      </c>
      <c r="AH111" s="10" t="str">
        <f>IF(AH110&lt;&gt;"",29,"")</f>
        <v/>
      </c>
      <c r="AI111" s="10" t="str">
        <f>IF(AI110&lt;&gt;"",30,"")</f>
        <v/>
      </c>
      <c r="AJ111" s="10" t="str">
        <f>IF(AJ110&lt;&gt;"",31,"")</f>
        <v/>
      </c>
      <c r="AK111" s="10" t="s">
        <v>148</v>
      </c>
    </row>
    <row r="112" spans="1:40" ht="12.5">
      <c r="A112" s="663"/>
      <c r="B112" s="673">
        <v>1</v>
      </c>
      <c r="C112" s="664" t="str">
        <f>IF(ISBLANK(DBPCFA!AP21),"",DBPCFA!AP21)</f>
        <v/>
      </c>
      <c r="D112" s="665"/>
      <c r="E112" s="666"/>
      <c r="F112" s="12">
        <f t="shared" ref="F112:AJ112" si="58">SUMIFS(EQ_HAct,Desc_EQ,$C112,Fecha_Inf_EQ,VALUE($AN$1&amp;TEXT(F$11,"00")))</f>
        <v>0</v>
      </c>
      <c r="G112" s="12">
        <f t="shared" si="58"/>
        <v>0</v>
      </c>
      <c r="H112" s="12">
        <f t="shared" si="58"/>
        <v>0</v>
      </c>
      <c r="I112" s="12">
        <f t="shared" si="58"/>
        <v>0</v>
      </c>
      <c r="J112" s="12">
        <f t="shared" si="58"/>
        <v>0</v>
      </c>
      <c r="K112" s="12">
        <f t="shared" si="58"/>
        <v>0</v>
      </c>
      <c r="L112" s="12">
        <f t="shared" si="58"/>
        <v>0</v>
      </c>
      <c r="M112" s="12">
        <f t="shared" si="58"/>
        <v>0</v>
      </c>
      <c r="N112" s="12">
        <f t="shared" si="58"/>
        <v>0</v>
      </c>
      <c r="O112" s="12">
        <f t="shared" si="58"/>
        <v>0</v>
      </c>
      <c r="P112" s="12">
        <f t="shared" si="58"/>
        <v>0</v>
      </c>
      <c r="Q112" s="12">
        <f t="shared" si="58"/>
        <v>0</v>
      </c>
      <c r="R112" s="12">
        <f t="shared" si="58"/>
        <v>0</v>
      </c>
      <c r="S112" s="12">
        <f t="shared" si="58"/>
        <v>0</v>
      </c>
      <c r="T112" s="12">
        <f t="shared" si="58"/>
        <v>0</v>
      </c>
      <c r="U112" s="12">
        <f t="shared" si="58"/>
        <v>0</v>
      </c>
      <c r="V112" s="12">
        <f t="shared" si="58"/>
        <v>0</v>
      </c>
      <c r="W112" s="12">
        <f t="shared" si="58"/>
        <v>0</v>
      </c>
      <c r="X112" s="12">
        <f t="shared" si="58"/>
        <v>0</v>
      </c>
      <c r="Y112" s="12">
        <f t="shared" si="58"/>
        <v>0</v>
      </c>
      <c r="Z112" s="12">
        <f t="shared" si="58"/>
        <v>0</v>
      </c>
      <c r="AA112" s="12">
        <f t="shared" si="58"/>
        <v>0</v>
      </c>
      <c r="AB112" s="12">
        <f t="shared" si="58"/>
        <v>0</v>
      </c>
      <c r="AC112" s="12">
        <f t="shared" si="58"/>
        <v>0</v>
      </c>
      <c r="AD112" s="12">
        <f t="shared" si="58"/>
        <v>0</v>
      </c>
      <c r="AE112" s="12">
        <f t="shared" si="58"/>
        <v>0</v>
      </c>
      <c r="AF112" s="12">
        <f t="shared" si="58"/>
        <v>0</v>
      </c>
      <c r="AG112" s="12">
        <f t="shared" si="58"/>
        <v>0</v>
      </c>
      <c r="AH112" s="12">
        <f t="shared" si="58"/>
        <v>0</v>
      </c>
      <c r="AI112" s="12">
        <f t="shared" si="58"/>
        <v>0</v>
      </c>
      <c r="AJ112" s="12">
        <f t="shared" si="58"/>
        <v>0</v>
      </c>
      <c r="AK112" s="13">
        <f>SUM(F112:AJ112)</f>
        <v>0</v>
      </c>
    </row>
    <row r="113" spans="1:39" ht="12.5">
      <c r="A113" s="663"/>
      <c r="B113" s="671"/>
      <c r="C113" s="667"/>
      <c r="D113" s="668"/>
      <c r="E113" s="669"/>
      <c r="F113" s="15">
        <f t="shared" ref="F113:AJ113" si="59">SUMIFS(EQ_HInac,Desc_EQ,$C112,Fecha_Inf_EQ,VALUE($AN$1&amp;TEXT(F$11,"00")))</f>
        <v>0</v>
      </c>
      <c r="G113" s="15">
        <f t="shared" si="59"/>
        <v>0</v>
      </c>
      <c r="H113" s="15">
        <f t="shared" si="59"/>
        <v>0</v>
      </c>
      <c r="I113" s="15">
        <f t="shared" si="59"/>
        <v>0</v>
      </c>
      <c r="J113" s="15">
        <f t="shared" si="59"/>
        <v>0</v>
      </c>
      <c r="K113" s="15">
        <f t="shared" si="59"/>
        <v>0</v>
      </c>
      <c r="L113" s="15">
        <f t="shared" si="59"/>
        <v>0</v>
      </c>
      <c r="M113" s="15">
        <f t="shared" si="59"/>
        <v>0</v>
      </c>
      <c r="N113" s="15">
        <f t="shared" si="59"/>
        <v>0</v>
      </c>
      <c r="O113" s="15">
        <f t="shared" si="59"/>
        <v>0</v>
      </c>
      <c r="P113" s="15">
        <f t="shared" si="59"/>
        <v>0</v>
      </c>
      <c r="Q113" s="15">
        <f t="shared" si="59"/>
        <v>0</v>
      </c>
      <c r="R113" s="15">
        <f t="shared" si="59"/>
        <v>0</v>
      </c>
      <c r="S113" s="15">
        <f t="shared" si="59"/>
        <v>0</v>
      </c>
      <c r="T113" s="15">
        <f t="shared" si="59"/>
        <v>0</v>
      </c>
      <c r="U113" s="15">
        <f t="shared" si="59"/>
        <v>0</v>
      </c>
      <c r="V113" s="15">
        <f t="shared" si="59"/>
        <v>0</v>
      </c>
      <c r="W113" s="15">
        <f t="shared" si="59"/>
        <v>0</v>
      </c>
      <c r="X113" s="15">
        <f t="shared" si="59"/>
        <v>0</v>
      </c>
      <c r="Y113" s="15">
        <f t="shared" si="59"/>
        <v>0</v>
      </c>
      <c r="Z113" s="15">
        <f t="shared" si="59"/>
        <v>0</v>
      </c>
      <c r="AA113" s="15">
        <f t="shared" si="59"/>
        <v>0</v>
      </c>
      <c r="AB113" s="15">
        <f t="shared" si="59"/>
        <v>0</v>
      </c>
      <c r="AC113" s="15">
        <f t="shared" si="59"/>
        <v>0</v>
      </c>
      <c r="AD113" s="15">
        <f t="shared" si="59"/>
        <v>0</v>
      </c>
      <c r="AE113" s="15">
        <f t="shared" si="59"/>
        <v>0</v>
      </c>
      <c r="AF113" s="15">
        <f t="shared" si="59"/>
        <v>0</v>
      </c>
      <c r="AG113" s="15">
        <f t="shared" si="59"/>
        <v>0</v>
      </c>
      <c r="AH113" s="15">
        <f t="shared" si="59"/>
        <v>0</v>
      </c>
      <c r="AI113" s="15">
        <f t="shared" si="59"/>
        <v>0</v>
      </c>
      <c r="AJ113" s="15">
        <f t="shared" si="59"/>
        <v>0</v>
      </c>
      <c r="AK113" s="16">
        <f>SUM(F113:AJ113)</f>
        <v>0</v>
      </c>
      <c r="AM113" s="14" t="str">
        <f>IFERROR(VLOOKUP(C113,EQ_Cont,9,FALSE),"")</f>
        <v/>
      </c>
    </row>
    <row r="114" spans="1:39" ht="12.5">
      <c r="A114" s="663"/>
      <c r="B114" s="670">
        <v>2</v>
      </c>
      <c r="C114" s="664" t="str">
        <f>IF(ISBLANK(DBPCFA!AP22),"",DBPCFA!AP22)</f>
        <v/>
      </c>
      <c r="D114" s="665"/>
      <c r="E114" s="666"/>
      <c r="F114" s="12">
        <f t="shared" ref="F114:AJ114" si="60">SUMIFS(EQ_HAct,Desc_EQ,$C114,Fecha_Inf_EQ,VALUE($AN$1&amp;TEXT(F$11,"00")))</f>
        <v>0</v>
      </c>
      <c r="G114" s="12">
        <f t="shared" si="60"/>
        <v>0</v>
      </c>
      <c r="H114" s="12">
        <f t="shared" si="60"/>
        <v>0</v>
      </c>
      <c r="I114" s="12">
        <f t="shared" si="60"/>
        <v>0</v>
      </c>
      <c r="J114" s="12">
        <f t="shared" si="60"/>
        <v>0</v>
      </c>
      <c r="K114" s="12">
        <f t="shared" si="60"/>
        <v>0</v>
      </c>
      <c r="L114" s="12">
        <f t="shared" si="60"/>
        <v>0</v>
      </c>
      <c r="M114" s="12">
        <f t="shared" si="60"/>
        <v>0</v>
      </c>
      <c r="N114" s="12">
        <f t="shared" si="60"/>
        <v>0</v>
      </c>
      <c r="O114" s="12">
        <f t="shared" si="60"/>
        <v>0</v>
      </c>
      <c r="P114" s="12">
        <f t="shared" si="60"/>
        <v>0</v>
      </c>
      <c r="Q114" s="12">
        <f t="shared" si="60"/>
        <v>0</v>
      </c>
      <c r="R114" s="12">
        <f t="shared" si="60"/>
        <v>0</v>
      </c>
      <c r="S114" s="12">
        <f t="shared" si="60"/>
        <v>0</v>
      </c>
      <c r="T114" s="12">
        <f t="shared" si="60"/>
        <v>0</v>
      </c>
      <c r="U114" s="12">
        <f t="shared" si="60"/>
        <v>0</v>
      </c>
      <c r="V114" s="12">
        <f t="shared" si="60"/>
        <v>0</v>
      </c>
      <c r="W114" s="12">
        <f t="shared" si="60"/>
        <v>0</v>
      </c>
      <c r="X114" s="12">
        <f t="shared" si="60"/>
        <v>0</v>
      </c>
      <c r="Y114" s="12">
        <f t="shared" si="60"/>
        <v>0</v>
      </c>
      <c r="Z114" s="12">
        <f t="shared" si="60"/>
        <v>0</v>
      </c>
      <c r="AA114" s="12">
        <f t="shared" si="60"/>
        <v>0</v>
      </c>
      <c r="AB114" s="12">
        <f t="shared" si="60"/>
        <v>0</v>
      </c>
      <c r="AC114" s="12">
        <f t="shared" si="60"/>
        <v>0</v>
      </c>
      <c r="AD114" s="12">
        <f t="shared" si="60"/>
        <v>0</v>
      </c>
      <c r="AE114" s="12">
        <f t="shared" si="60"/>
        <v>0</v>
      </c>
      <c r="AF114" s="12">
        <f t="shared" si="60"/>
        <v>0</v>
      </c>
      <c r="AG114" s="12">
        <f t="shared" si="60"/>
        <v>0</v>
      </c>
      <c r="AH114" s="12">
        <f t="shared" si="60"/>
        <v>0</v>
      </c>
      <c r="AI114" s="12">
        <f t="shared" si="60"/>
        <v>0</v>
      </c>
      <c r="AJ114" s="12">
        <f t="shared" si="60"/>
        <v>0</v>
      </c>
      <c r="AK114" s="13">
        <f t="shared" ref="AK114:AK131" si="61">SUM(F114:AJ114)</f>
        <v>0</v>
      </c>
    </row>
    <row r="115" spans="1:39" ht="12.5">
      <c r="A115" s="663"/>
      <c r="B115" s="671"/>
      <c r="C115" s="667"/>
      <c r="D115" s="668"/>
      <c r="E115" s="669"/>
      <c r="F115" s="15">
        <f t="shared" ref="F115:AJ115" si="62">SUMIFS(EQ_HInac,Desc_EQ,$C114,Fecha_Inf_EQ,VALUE($AN$1&amp;TEXT(F$11,"00")))</f>
        <v>0</v>
      </c>
      <c r="G115" s="15">
        <f t="shared" si="62"/>
        <v>0</v>
      </c>
      <c r="H115" s="15">
        <f t="shared" si="62"/>
        <v>0</v>
      </c>
      <c r="I115" s="15">
        <f t="shared" si="62"/>
        <v>0</v>
      </c>
      <c r="J115" s="15">
        <f t="shared" si="62"/>
        <v>0</v>
      </c>
      <c r="K115" s="15">
        <f t="shared" si="62"/>
        <v>0</v>
      </c>
      <c r="L115" s="15">
        <f t="shared" si="62"/>
        <v>0</v>
      </c>
      <c r="M115" s="15">
        <f t="shared" si="62"/>
        <v>0</v>
      </c>
      <c r="N115" s="15">
        <f t="shared" si="62"/>
        <v>0</v>
      </c>
      <c r="O115" s="15">
        <f t="shared" si="62"/>
        <v>0</v>
      </c>
      <c r="P115" s="15">
        <f t="shared" si="62"/>
        <v>0</v>
      </c>
      <c r="Q115" s="15">
        <f t="shared" si="62"/>
        <v>0</v>
      </c>
      <c r="R115" s="15">
        <f t="shared" si="62"/>
        <v>0</v>
      </c>
      <c r="S115" s="15">
        <f t="shared" si="62"/>
        <v>0</v>
      </c>
      <c r="T115" s="15">
        <f t="shared" si="62"/>
        <v>0</v>
      </c>
      <c r="U115" s="15">
        <f t="shared" si="62"/>
        <v>0</v>
      </c>
      <c r="V115" s="15">
        <f t="shared" si="62"/>
        <v>0</v>
      </c>
      <c r="W115" s="15">
        <f t="shared" si="62"/>
        <v>0</v>
      </c>
      <c r="X115" s="15">
        <f t="shared" si="62"/>
        <v>0</v>
      </c>
      <c r="Y115" s="15">
        <f t="shared" si="62"/>
        <v>0</v>
      </c>
      <c r="Z115" s="15">
        <f t="shared" si="62"/>
        <v>0</v>
      </c>
      <c r="AA115" s="15">
        <f t="shared" si="62"/>
        <v>0</v>
      </c>
      <c r="AB115" s="15">
        <f t="shared" si="62"/>
        <v>0</v>
      </c>
      <c r="AC115" s="15">
        <f t="shared" si="62"/>
        <v>0</v>
      </c>
      <c r="AD115" s="15">
        <f t="shared" si="62"/>
        <v>0</v>
      </c>
      <c r="AE115" s="15">
        <f t="shared" si="62"/>
        <v>0</v>
      </c>
      <c r="AF115" s="15">
        <f t="shared" si="62"/>
        <v>0</v>
      </c>
      <c r="AG115" s="15">
        <f t="shared" si="62"/>
        <v>0</v>
      </c>
      <c r="AH115" s="15">
        <f t="shared" si="62"/>
        <v>0</v>
      </c>
      <c r="AI115" s="15">
        <f t="shared" si="62"/>
        <v>0</v>
      </c>
      <c r="AJ115" s="15">
        <f t="shared" si="62"/>
        <v>0</v>
      </c>
      <c r="AK115" s="16">
        <f t="shared" si="61"/>
        <v>0</v>
      </c>
      <c r="AM115" s="14" t="str">
        <f>IFERROR(VLOOKUP(C115,EQ_Cont,9,FALSE),"")</f>
        <v/>
      </c>
    </row>
    <row r="116" spans="1:39" ht="12.5">
      <c r="A116" s="663"/>
      <c r="B116" s="670">
        <v>3</v>
      </c>
      <c r="C116" s="664" t="str">
        <f>IF(ISBLANK(DBPCFA!AP23),"",DBPCFA!AP23)</f>
        <v/>
      </c>
      <c r="D116" s="665"/>
      <c r="E116" s="666"/>
      <c r="F116" s="12">
        <f t="shared" ref="F116:AJ116" si="63">SUMIFS(EQ_HAct,Desc_EQ,$C116,Fecha_Inf_EQ,VALUE($AN$1&amp;TEXT(F$11,"00")))</f>
        <v>0</v>
      </c>
      <c r="G116" s="12">
        <f t="shared" si="63"/>
        <v>0</v>
      </c>
      <c r="H116" s="12">
        <f t="shared" si="63"/>
        <v>0</v>
      </c>
      <c r="I116" s="12">
        <f t="shared" si="63"/>
        <v>0</v>
      </c>
      <c r="J116" s="12">
        <f t="shared" si="63"/>
        <v>0</v>
      </c>
      <c r="K116" s="12">
        <f t="shared" si="63"/>
        <v>0</v>
      </c>
      <c r="L116" s="12">
        <f t="shared" si="63"/>
        <v>0</v>
      </c>
      <c r="M116" s="12">
        <f t="shared" si="63"/>
        <v>0</v>
      </c>
      <c r="N116" s="12">
        <f t="shared" si="63"/>
        <v>0</v>
      </c>
      <c r="O116" s="12">
        <f t="shared" si="63"/>
        <v>0</v>
      </c>
      <c r="P116" s="12">
        <f t="shared" si="63"/>
        <v>0</v>
      </c>
      <c r="Q116" s="12">
        <f t="shared" si="63"/>
        <v>0</v>
      </c>
      <c r="R116" s="12">
        <f t="shared" si="63"/>
        <v>0</v>
      </c>
      <c r="S116" s="12">
        <f t="shared" si="63"/>
        <v>0</v>
      </c>
      <c r="T116" s="12">
        <f t="shared" si="63"/>
        <v>0</v>
      </c>
      <c r="U116" s="12">
        <f t="shared" si="63"/>
        <v>0</v>
      </c>
      <c r="V116" s="12">
        <f t="shared" si="63"/>
        <v>0</v>
      </c>
      <c r="W116" s="12">
        <f t="shared" si="63"/>
        <v>0</v>
      </c>
      <c r="X116" s="12">
        <f t="shared" si="63"/>
        <v>0</v>
      </c>
      <c r="Y116" s="12">
        <f t="shared" si="63"/>
        <v>0</v>
      </c>
      <c r="Z116" s="12">
        <f t="shared" si="63"/>
        <v>0</v>
      </c>
      <c r="AA116" s="12">
        <f t="shared" si="63"/>
        <v>0</v>
      </c>
      <c r="AB116" s="12">
        <f t="shared" si="63"/>
        <v>0</v>
      </c>
      <c r="AC116" s="12">
        <f t="shared" si="63"/>
        <v>0</v>
      </c>
      <c r="AD116" s="12">
        <f t="shared" si="63"/>
        <v>0</v>
      </c>
      <c r="AE116" s="12">
        <f t="shared" si="63"/>
        <v>0</v>
      </c>
      <c r="AF116" s="12">
        <f t="shared" si="63"/>
        <v>0</v>
      </c>
      <c r="AG116" s="12">
        <f t="shared" si="63"/>
        <v>0</v>
      </c>
      <c r="AH116" s="12">
        <f t="shared" si="63"/>
        <v>0</v>
      </c>
      <c r="AI116" s="12">
        <f t="shared" si="63"/>
        <v>0</v>
      </c>
      <c r="AJ116" s="12">
        <f t="shared" si="63"/>
        <v>0</v>
      </c>
      <c r="AK116" s="13">
        <f t="shared" si="61"/>
        <v>0</v>
      </c>
    </row>
    <row r="117" spans="1:39" ht="12.5">
      <c r="A117" s="663"/>
      <c r="B117" s="671"/>
      <c r="C117" s="667"/>
      <c r="D117" s="668"/>
      <c r="E117" s="669"/>
      <c r="F117" s="15">
        <f t="shared" ref="F117:AJ117" si="64">SUMIFS(EQ_HInac,Desc_EQ,$C116,Fecha_Inf_EQ,VALUE($AN$1&amp;TEXT(F$11,"00")))</f>
        <v>0</v>
      </c>
      <c r="G117" s="15">
        <f t="shared" si="64"/>
        <v>0</v>
      </c>
      <c r="H117" s="15">
        <f t="shared" si="64"/>
        <v>0</v>
      </c>
      <c r="I117" s="15">
        <f t="shared" si="64"/>
        <v>0</v>
      </c>
      <c r="J117" s="15">
        <f t="shared" si="64"/>
        <v>0</v>
      </c>
      <c r="K117" s="15">
        <f t="shared" si="64"/>
        <v>0</v>
      </c>
      <c r="L117" s="15">
        <f t="shared" si="64"/>
        <v>0</v>
      </c>
      <c r="M117" s="15">
        <f t="shared" si="64"/>
        <v>0</v>
      </c>
      <c r="N117" s="15">
        <f t="shared" si="64"/>
        <v>0</v>
      </c>
      <c r="O117" s="15">
        <f t="shared" si="64"/>
        <v>0</v>
      </c>
      <c r="P117" s="15">
        <f t="shared" si="64"/>
        <v>0</v>
      </c>
      <c r="Q117" s="15">
        <f t="shared" si="64"/>
        <v>0</v>
      </c>
      <c r="R117" s="15">
        <f t="shared" si="64"/>
        <v>0</v>
      </c>
      <c r="S117" s="15">
        <f t="shared" si="64"/>
        <v>0</v>
      </c>
      <c r="T117" s="15">
        <f t="shared" si="64"/>
        <v>0</v>
      </c>
      <c r="U117" s="15">
        <f t="shared" si="64"/>
        <v>0</v>
      </c>
      <c r="V117" s="15">
        <f t="shared" si="64"/>
        <v>0</v>
      </c>
      <c r="W117" s="15">
        <f t="shared" si="64"/>
        <v>0</v>
      </c>
      <c r="X117" s="15">
        <f t="shared" si="64"/>
        <v>0</v>
      </c>
      <c r="Y117" s="15">
        <f t="shared" si="64"/>
        <v>0</v>
      </c>
      <c r="Z117" s="15">
        <f t="shared" si="64"/>
        <v>0</v>
      </c>
      <c r="AA117" s="15">
        <f t="shared" si="64"/>
        <v>0</v>
      </c>
      <c r="AB117" s="15">
        <f t="shared" si="64"/>
        <v>0</v>
      </c>
      <c r="AC117" s="15">
        <f t="shared" si="64"/>
        <v>0</v>
      </c>
      <c r="AD117" s="15">
        <f t="shared" si="64"/>
        <v>0</v>
      </c>
      <c r="AE117" s="15">
        <f t="shared" si="64"/>
        <v>0</v>
      </c>
      <c r="AF117" s="15">
        <f t="shared" si="64"/>
        <v>0</v>
      </c>
      <c r="AG117" s="15">
        <f t="shared" si="64"/>
        <v>0</v>
      </c>
      <c r="AH117" s="15">
        <f t="shared" si="64"/>
        <v>0</v>
      </c>
      <c r="AI117" s="15">
        <f t="shared" si="64"/>
        <v>0</v>
      </c>
      <c r="AJ117" s="15">
        <f t="shared" si="64"/>
        <v>0</v>
      </c>
      <c r="AK117" s="16">
        <f t="shared" si="61"/>
        <v>0</v>
      </c>
      <c r="AM117" s="14" t="str">
        <f>IFERROR(VLOOKUP(C117,EQ_Cont,9,FALSE),"")</f>
        <v/>
      </c>
    </row>
    <row r="118" spans="1:39" ht="12.5">
      <c r="A118" s="663"/>
      <c r="B118" s="670">
        <v>4</v>
      </c>
      <c r="C118" s="664" t="str">
        <f>IF(ISBLANK(DBPCFA!AP24),"",DBPCFA!AP24)</f>
        <v/>
      </c>
      <c r="D118" s="665"/>
      <c r="E118" s="666"/>
      <c r="F118" s="12">
        <f t="shared" ref="F118:AJ118" si="65">SUMIFS(EQ_HAct,Desc_EQ,$C118,Fecha_Inf_EQ,VALUE($AN$1&amp;TEXT(F$11,"00")))</f>
        <v>0</v>
      </c>
      <c r="G118" s="12">
        <f t="shared" si="65"/>
        <v>0</v>
      </c>
      <c r="H118" s="12">
        <f t="shared" si="65"/>
        <v>0</v>
      </c>
      <c r="I118" s="12">
        <f t="shared" si="65"/>
        <v>0</v>
      </c>
      <c r="J118" s="12">
        <f t="shared" si="65"/>
        <v>0</v>
      </c>
      <c r="K118" s="12">
        <f t="shared" si="65"/>
        <v>0</v>
      </c>
      <c r="L118" s="12">
        <f t="shared" si="65"/>
        <v>0</v>
      </c>
      <c r="M118" s="12">
        <f t="shared" si="65"/>
        <v>0</v>
      </c>
      <c r="N118" s="12">
        <f t="shared" si="65"/>
        <v>0</v>
      </c>
      <c r="O118" s="12">
        <f t="shared" si="65"/>
        <v>0</v>
      </c>
      <c r="P118" s="12">
        <f t="shared" si="65"/>
        <v>0</v>
      </c>
      <c r="Q118" s="12">
        <f t="shared" si="65"/>
        <v>0</v>
      </c>
      <c r="R118" s="12">
        <f t="shared" si="65"/>
        <v>0</v>
      </c>
      <c r="S118" s="12">
        <f t="shared" si="65"/>
        <v>0</v>
      </c>
      <c r="T118" s="12">
        <f t="shared" si="65"/>
        <v>0</v>
      </c>
      <c r="U118" s="12">
        <f t="shared" si="65"/>
        <v>0</v>
      </c>
      <c r="V118" s="12">
        <f t="shared" si="65"/>
        <v>0</v>
      </c>
      <c r="W118" s="12">
        <f t="shared" si="65"/>
        <v>0</v>
      </c>
      <c r="X118" s="12">
        <f t="shared" si="65"/>
        <v>0</v>
      </c>
      <c r="Y118" s="12">
        <f t="shared" si="65"/>
        <v>0</v>
      </c>
      <c r="Z118" s="12">
        <f t="shared" si="65"/>
        <v>0</v>
      </c>
      <c r="AA118" s="12">
        <f t="shared" si="65"/>
        <v>0</v>
      </c>
      <c r="AB118" s="12">
        <f t="shared" si="65"/>
        <v>0</v>
      </c>
      <c r="AC118" s="12">
        <f t="shared" si="65"/>
        <v>0</v>
      </c>
      <c r="AD118" s="12">
        <f t="shared" si="65"/>
        <v>0</v>
      </c>
      <c r="AE118" s="12">
        <f t="shared" si="65"/>
        <v>0</v>
      </c>
      <c r="AF118" s="12">
        <f t="shared" si="65"/>
        <v>0</v>
      </c>
      <c r="AG118" s="12">
        <f t="shared" si="65"/>
        <v>0</v>
      </c>
      <c r="AH118" s="12">
        <f t="shared" si="65"/>
        <v>0</v>
      </c>
      <c r="AI118" s="12">
        <f t="shared" si="65"/>
        <v>0</v>
      </c>
      <c r="AJ118" s="12">
        <f t="shared" si="65"/>
        <v>0</v>
      </c>
      <c r="AK118" s="13">
        <f t="shared" si="61"/>
        <v>0</v>
      </c>
    </row>
    <row r="119" spans="1:39" ht="12.5">
      <c r="A119" s="663"/>
      <c r="B119" s="671"/>
      <c r="C119" s="667"/>
      <c r="D119" s="668"/>
      <c r="E119" s="669"/>
      <c r="F119" s="15">
        <f t="shared" ref="F119:AJ119" si="66">SUMIFS(EQ_HInac,Desc_EQ,$C118,Fecha_Inf_EQ,VALUE($AN$1&amp;TEXT(F$11,"00")))</f>
        <v>0</v>
      </c>
      <c r="G119" s="15">
        <f t="shared" si="66"/>
        <v>0</v>
      </c>
      <c r="H119" s="15">
        <f t="shared" si="66"/>
        <v>0</v>
      </c>
      <c r="I119" s="15">
        <f t="shared" si="66"/>
        <v>0</v>
      </c>
      <c r="J119" s="15">
        <f t="shared" si="66"/>
        <v>0</v>
      </c>
      <c r="K119" s="15">
        <f t="shared" si="66"/>
        <v>0</v>
      </c>
      <c r="L119" s="15">
        <f t="shared" si="66"/>
        <v>0</v>
      </c>
      <c r="M119" s="15">
        <f t="shared" si="66"/>
        <v>0</v>
      </c>
      <c r="N119" s="15">
        <f t="shared" si="66"/>
        <v>0</v>
      </c>
      <c r="O119" s="15">
        <f t="shared" si="66"/>
        <v>0</v>
      </c>
      <c r="P119" s="15">
        <f t="shared" si="66"/>
        <v>0</v>
      </c>
      <c r="Q119" s="15">
        <f t="shared" si="66"/>
        <v>0</v>
      </c>
      <c r="R119" s="15">
        <f t="shared" si="66"/>
        <v>0</v>
      </c>
      <c r="S119" s="15">
        <f t="shared" si="66"/>
        <v>0</v>
      </c>
      <c r="T119" s="15">
        <f t="shared" si="66"/>
        <v>0</v>
      </c>
      <c r="U119" s="15">
        <f t="shared" si="66"/>
        <v>0</v>
      </c>
      <c r="V119" s="15">
        <f t="shared" si="66"/>
        <v>0</v>
      </c>
      <c r="W119" s="15">
        <f t="shared" si="66"/>
        <v>0</v>
      </c>
      <c r="X119" s="15">
        <f t="shared" si="66"/>
        <v>0</v>
      </c>
      <c r="Y119" s="15">
        <f t="shared" si="66"/>
        <v>0</v>
      </c>
      <c r="Z119" s="15">
        <f t="shared" si="66"/>
        <v>0</v>
      </c>
      <c r="AA119" s="15">
        <f t="shared" si="66"/>
        <v>0</v>
      </c>
      <c r="AB119" s="15">
        <f t="shared" si="66"/>
        <v>0</v>
      </c>
      <c r="AC119" s="15">
        <f t="shared" si="66"/>
        <v>0</v>
      </c>
      <c r="AD119" s="15">
        <f t="shared" si="66"/>
        <v>0</v>
      </c>
      <c r="AE119" s="15">
        <f t="shared" si="66"/>
        <v>0</v>
      </c>
      <c r="AF119" s="15">
        <f t="shared" si="66"/>
        <v>0</v>
      </c>
      <c r="AG119" s="15">
        <f t="shared" si="66"/>
        <v>0</v>
      </c>
      <c r="AH119" s="15">
        <f t="shared" si="66"/>
        <v>0</v>
      </c>
      <c r="AI119" s="15">
        <f t="shared" si="66"/>
        <v>0</v>
      </c>
      <c r="AJ119" s="15">
        <f t="shared" si="66"/>
        <v>0</v>
      </c>
      <c r="AK119" s="16">
        <f t="shared" si="61"/>
        <v>0</v>
      </c>
      <c r="AM119" s="14" t="str">
        <f>IFERROR(VLOOKUP(C119,EQ_Cont,9,FALSE),"")</f>
        <v/>
      </c>
    </row>
    <row r="120" spans="1:39" ht="12.5">
      <c r="A120" s="663"/>
      <c r="B120" s="670">
        <v>5</v>
      </c>
      <c r="C120" s="664" t="str">
        <f>IF(ISBLANK(DBPCFA!AP25),"",DBPCFA!AP25)</f>
        <v/>
      </c>
      <c r="D120" s="665"/>
      <c r="E120" s="666"/>
      <c r="F120" s="12">
        <f t="shared" ref="F120:AJ120" si="67">SUMIFS(EQ_HAct,Desc_EQ,$C120,Fecha_Inf_EQ,VALUE($AN$1&amp;TEXT(F$11,"00")))</f>
        <v>0</v>
      </c>
      <c r="G120" s="12">
        <f t="shared" si="67"/>
        <v>0</v>
      </c>
      <c r="H120" s="12">
        <f t="shared" si="67"/>
        <v>0</v>
      </c>
      <c r="I120" s="12">
        <f t="shared" si="67"/>
        <v>0</v>
      </c>
      <c r="J120" s="12">
        <f t="shared" si="67"/>
        <v>0</v>
      </c>
      <c r="K120" s="12">
        <f t="shared" si="67"/>
        <v>0</v>
      </c>
      <c r="L120" s="12">
        <f t="shared" si="67"/>
        <v>0</v>
      </c>
      <c r="M120" s="12">
        <f t="shared" si="67"/>
        <v>0</v>
      </c>
      <c r="N120" s="12">
        <f t="shared" si="67"/>
        <v>0</v>
      </c>
      <c r="O120" s="12">
        <f t="shared" si="67"/>
        <v>0</v>
      </c>
      <c r="P120" s="12">
        <f t="shared" si="67"/>
        <v>0</v>
      </c>
      <c r="Q120" s="12">
        <f t="shared" si="67"/>
        <v>0</v>
      </c>
      <c r="R120" s="12">
        <f t="shared" si="67"/>
        <v>0</v>
      </c>
      <c r="S120" s="12">
        <f t="shared" si="67"/>
        <v>0</v>
      </c>
      <c r="T120" s="12">
        <f t="shared" si="67"/>
        <v>0</v>
      </c>
      <c r="U120" s="12">
        <f t="shared" si="67"/>
        <v>0</v>
      </c>
      <c r="V120" s="12">
        <f t="shared" si="67"/>
        <v>0</v>
      </c>
      <c r="W120" s="12">
        <f t="shared" si="67"/>
        <v>0</v>
      </c>
      <c r="X120" s="12">
        <f t="shared" si="67"/>
        <v>0</v>
      </c>
      <c r="Y120" s="12">
        <f t="shared" si="67"/>
        <v>0</v>
      </c>
      <c r="Z120" s="12">
        <f t="shared" si="67"/>
        <v>0</v>
      </c>
      <c r="AA120" s="12">
        <f t="shared" si="67"/>
        <v>0</v>
      </c>
      <c r="AB120" s="12">
        <f t="shared" si="67"/>
        <v>0</v>
      </c>
      <c r="AC120" s="12">
        <f t="shared" si="67"/>
        <v>0</v>
      </c>
      <c r="AD120" s="12">
        <f t="shared" si="67"/>
        <v>0</v>
      </c>
      <c r="AE120" s="12">
        <f t="shared" si="67"/>
        <v>0</v>
      </c>
      <c r="AF120" s="12">
        <f t="shared" si="67"/>
        <v>0</v>
      </c>
      <c r="AG120" s="12">
        <f t="shared" si="67"/>
        <v>0</v>
      </c>
      <c r="AH120" s="12">
        <f t="shared" si="67"/>
        <v>0</v>
      </c>
      <c r="AI120" s="12">
        <f t="shared" si="67"/>
        <v>0</v>
      </c>
      <c r="AJ120" s="12">
        <f t="shared" si="67"/>
        <v>0</v>
      </c>
      <c r="AK120" s="13">
        <f t="shared" si="61"/>
        <v>0</v>
      </c>
    </row>
    <row r="121" spans="1:39" ht="12.5">
      <c r="A121" s="663"/>
      <c r="B121" s="671"/>
      <c r="C121" s="667"/>
      <c r="D121" s="668"/>
      <c r="E121" s="669"/>
      <c r="F121" s="15">
        <f t="shared" ref="F121:AJ121" si="68">SUMIFS(EQ_HInac,Desc_EQ,$C120,Fecha_Inf_EQ,VALUE($AN$1&amp;TEXT(F$11,"00")))</f>
        <v>0</v>
      </c>
      <c r="G121" s="15">
        <f t="shared" si="68"/>
        <v>0</v>
      </c>
      <c r="H121" s="15">
        <f t="shared" si="68"/>
        <v>0</v>
      </c>
      <c r="I121" s="15">
        <f t="shared" si="68"/>
        <v>0</v>
      </c>
      <c r="J121" s="15">
        <f t="shared" si="68"/>
        <v>0</v>
      </c>
      <c r="K121" s="15">
        <f t="shared" si="68"/>
        <v>0</v>
      </c>
      <c r="L121" s="15">
        <f t="shared" si="68"/>
        <v>0</v>
      </c>
      <c r="M121" s="15">
        <f t="shared" si="68"/>
        <v>0</v>
      </c>
      <c r="N121" s="15">
        <f t="shared" si="68"/>
        <v>0</v>
      </c>
      <c r="O121" s="15">
        <f t="shared" si="68"/>
        <v>0</v>
      </c>
      <c r="P121" s="15">
        <f t="shared" si="68"/>
        <v>0</v>
      </c>
      <c r="Q121" s="15">
        <f t="shared" si="68"/>
        <v>0</v>
      </c>
      <c r="R121" s="15">
        <f t="shared" si="68"/>
        <v>0</v>
      </c>
      <c r="S121" s="15">
        <f t="shared" si="68"/>
        <v>0</v>
      </c>
      <c r="T121" s="15">
        <f t="shared" si="68"/>
        <v>0</v>
      </c>
      <c r="U121" s="15">
        <f t="shared" si="68"/>
        <v>0</v>
      </c>
      <c r="V121" s="15">
        <f t="shared" si="68"/>
        <v>0</v>
      </c>
      <c r="W121" s="15">
        <f t="shared" si="68"/>
        <v>0</v>
      </c>
      <c r="X121" s="15">
        <f t="shared" si="68"/>
        <v>0</v>
      </c>
      <c r="Y121" s="15">
        <f t="shared" si="68"/>
        <v>0</v>
      </c>
      <c r="Z121" s="15">
        <f t="shared" si="68"/>
        <v>0</v>
      </c>
      <c r="AA121" s="15">
        <f t="shared" si="68"/>
        <v>0</v>
      </c>
      <c r="AB121" s="15">
        <f t="shared" si="68"/>
        <v>0</v>
      </c>
      <c r="AC121" s="15">
        <f t="shared" si="68"/>
        <v>0</v>
      </c>
      <c r="AD121" s="15">
        <f t="shared" si="68"/>
        <v>0</v>
      </c>
      <c r="AE121" s="15">
        <f t="shared" si="68"/>
        <v>0</v>
      </c>
      <c r="AF121" s="15">
        <f t="shared" si="68"/>
        <v>0</v>
      </c>
      <c r="AG121" s="15">
        <f t="shared" si="68"/>
        <v>0</v>
      </c>
      <c r="AH121" s="15">
        <f t="shared" si="68"/>
        <v>0</v>
      </c>
      <c r="AI121" s="15">
        <f t="shared" si="68"/>
        <v>0</v>
      </c>
      <c r="AJ121" s="15">
        <f t="shared" si="68"/>
        <v>0</v>
      </c>
      <c r="AK121" s="16">
        <f t="shared" si="61"/>
        <v>0</v>
      </c>
      <c r="AM121" s="14" t="str">
        <f>IFERROR(VLOOKUP(C121,EQ_Cont,9,FALSE),"")</f>
        <v/>
      </c>
    </row>
    <row r="122" spans="1:39" ht="12.5">
      <c r="A122" s="663"/>
      <c r="B122" s="670">
        <v>6</v>
      </c>
      <c r="C122" s="664" t="str">
        <f>IF(ISBLANK(DBPCFA!AP26),"",DBPCFA!AP26)</f>
        <v/>
      </c>
      <c r="D122" s="665"/>
      <c r="E122" s="666"/>
      <c r="F122" s="12">
        <f t="shared" ref="F122:AJ122" si="69">SUMIFS(EQ_HAct,Desc_EQ,$C122,Fecha_Inf_EQ,VALUE($AN$1&amp;TEXT(F$11,"00")))</f>
        <v>0</v>
      </c>
      <c r="G122" s="12">
        <f t="shared" si="69"/>
        <v>0</v>
      </c>
      <c r="H122" s="12">
        <f t="shared" si="69"/>
        <v>0</v>
      </c>
      <c r="I122" s="12">
        <f t="shared" si="69"/>
        <v>0</v>
      </c>
      <c r="J122" s="12">
        <f t="shared" si="69"/>
        <v>0</v>
      </c>
      <c r="K122" s="12">
        <f t="shared" si="69"/>
        <v>0</v>
      </c>
      <c r="L122" s="12">
        <f t="shared" si="69"/>
        <v>0</v>
      </c>
      <c r="M122" s="12">
        <f t="shared" si="69"/>
        <v>0</v>
      </c>
      <c r="N122" s="12">
        <f t="shared" si="69"/>
        <v>0</v>
      </c>
      <c r="O122" s="12">
        <f t="shared" si="69"/>
        <v>0</v>
      </c>
      <c r="P122" s="12">
        <f t="shared" si="69"/>
        <v>0</v>
      </c>
      <c r="Q122" s="12">
        <f t="shared" si="69"/>
        <v>0</v>
      </c>
      <c r="R122" s="12">
        <f t="shared" si="69"/>
        <v>0</v>
      </c>
      <c r="S122" s="12">
        <f t="shared" si="69"/>
        <v>0</v>
      </c>
      <c r="T122" s="12">
        <f t="shared" si="69"/>
        <v>0</v>
      </c>
      <c r="U122" s="12">
        <f t="shared" si="69"/>
        <v>0</v>
      </c>
      <c r="V122" s="12">
        <f t="shared" si="69"/>
        <v>0</v>
      </c>
      <c r="W122" s="12">
        <f t="shared" si="69"/>
        <v>0</v>
      </c>
      <c r="X122" s="12">
        <f t="shared" si="69"/>
        <v>0</v>
      </c>
      <c r="Y122" s="12">
        <f t="shared" si="69"/>
        <v>0</v>
      </c>
      <c r="Z122" s="12">
        <f t="shared" si="69"/>
        <v>0</v>
      </c>
      <c r="AA122" s="12">
        <f t="shared" si="69"/>
        <v>0</v>
      </c>
      <c r="AB122" s="12">
        <f t="shared" si="69"/>
        <v>0</v>
      </c>
      <c r="AC122" s="12">
        <f t="shared" si="69"/>
        <v>0</v>
      </c>
      <c r="AD122" s="12">
        <f t="shared" si="69"/>
        <v>0</v>
      </c>
      <c r="AE122" s="12">
        <f t="shared" si="69"/>
        <v>0</v>
      </c>
      <c r="AF122" s="12">
        <f t="shared" si="69"/>
        <v>0</v>
      </c>
      <c r="AG122" s="12">
        <f t="shared" si="69"/>
        <v>0</v>
      </c>
      <c r="AH122" s="12">
        <f t="shared" si="69"/>
        <v>0</v>
      </c>
      <c r="AI122" s="12">
        <f t="shared" si="69"/>
        <v>0</v>
      </c>
      <c r="AJ122" s="12">
        <f t="shared" si="69"/>
        <v>0</v>
      </c>
      <c r="AK122" s="13">
        <f t="shared" si="61"/>
        <v>0</v>
      </c>
    </row>
    <row r="123" spans="1:39" ht="12.5">
      <c r="A123" s="663"/>
      <c r="B123" s="671"/>
      <c r="C123" s="667"/>
      <c r="D123" s="668"/>
      <c r="E123" s="669"/>
      <c r="F123" s="15">
        <f t="shared" ref="F123:AJ123" si="70">SUMIFS(EQ_HInac,Desc_EQ,$C122,Fecha_Inf_EQ,VALUE($AN$1&amp;TEXT(F$11,"00")))</f>
        <v>0</v>
      </c>
      <c r="G123" s="15">
        <f t="shared" si="70"/>
        <v>0</v>
      </c>
      <c r="H123" s="15">
        <f t="shared" si="70"/>
        <v>0</v>
      </c>
      <c r="I123" s="15">
        <f t="shared" si="70"/>
        <v>0</v>
      </c>
      <c r="J123" s="15">
        <f t="shared" si="70"/>
        <v>0</v>
      </c>
      <c r="K123" s="15">
        <f t="shared" si="70"/>
        <v>0</v>
      </c>
      <c r="L123" s="15">
        <f t="shared" si="70"/>
        <v>0</v>
      </c>
      <c r="M123" s="15">
        <f t="shared" si="70"/>
        <v>0</v>
      </c>
      <c r="N123" s="15">
        <f t="shared" si="70"/>
        <v>0</v>
      </c>
      <c r="O123" s="15">
        <f t="shared" si="70"/>
        <v>0</v>
      </c>
      <c r="P123" s="15">
        <f t="shared" si="70"/>
        <v>0</v>
      </c>
      <c r="Q123" s="15">
        <f t="shared" si="70"/>
        <v>0</v>
      </c>
      <c r="R123" s="15">
        <f t="shared" si="70"/>
        <v>0</v>
      </c>
      <c r="S123" s="15">
        <f t="shared" si="70"/>
        <v>0</v>
      </c>
      <c r="T123" s="15">
        <f t="shared" si="70"/>
        <v>0</v>
      </c>
      <c r="U123" s="15">
        <f t="shared" si="70"/>
        <v>0</v>
      </c>
      <c r="V123" s="15">
        <f t="shared" si="70"/>
        <v>0</v>
      </c>
      <c r="W123" s="15">
        <f t="shared" si="70"/>
        <v>0</v>
      </c>
      <c r="X123" s="15">
        <f t="shared" si="70"/>
        <v>0</v>
      </c>
      <c r="Y123" s="15">
        <f t="shared" si="70"/>
        <v>0</v>
      </c>
      <c r="Z123" s="15">
        <f t="shared" si="70"/>
        <v>0</v>
      </c>
      <c r="AA123" s="15">
        <f t="shared" si="70"/>
        <v>0</v>
      </c>
      <c r="AB123" s="15">
        <f t="shared" si="70"/>
        <v>0</v>
      </c>
      <c r="AC123" s="15">
        <f t="shared" si="70"/>
        <v>0</v>
      </c>
      <c r="AD123" s="15">
        <f t="shared" si="70"/>
        <v>0</v>
      </c>
      <c r="AE123" s="15">
        <f t="shared" si="70"/>
        <v>0</v>
      </c>
      <c r="AF123" s="15">
        <f t="shared" si="70"/>
        <v>0</v>
      </c>
      <c r="AG123" s="15">
        <f t="shared" si="70"/>
        <v>0</v>
      </c>
      <c r="AH123" s="15">
        <f t="shared" si="70"/>
        <v>0</v>
      </c>
      <c r="AI123" s="15">
        <f t="shared" si="70"/>
        <v>0</v>
      </c>
      <c r="AJ123" s="15">
        <f t="shared" si="70"/>
        <v>0</v>
      </c>
      <c r="AK123" s="16">
        <f t="shared" si="61"/>
        <v>0</v>
      </c>
      <c r="AM123" s="14" t="str">
        <f>IFERROR(VLOOKUP(C123,EQ_Cont,9,FALSE),"")</f>
        <v/>
      </c>
    </row>
    <row r="124" spans="1:39" ht="12.5">
      <c r="A124" s="663"/>
      <c r="B124" s="670">
        <v>7</v>
      </c>
      <c r="C124" s="664" t="str">
        <f>IF(ISBLANK(DBPCFA!AP27),"",DBPCFA!AP27)</f>
        <v/>
      </c>
      <c r="D124" s="665"/>
      <c r="E124" s="666"/>
      <c r="F124" s="12">
        <f t="shared" ref="F124:AJ124" si="71">SUMIFS(EQ_HAct,Desc_EQ,$C124,Fecha_Inf_EQ,VALUE($AN$1&amp;TEXT(F$11,"00")))</f>
        <v>0</v>
      </c>
      <c r="G124" s="12">
        <f t="shared" si="71"/>
        <v>0</v>
      </c>
      <c r="H124" s="12">
        <f t="shared" si="71"/>
        <v>0</v>
      </c>
      <c r="I124" s="12">
        <f t="shared" si="71"/>
        <v>0</v>
      </c>
      <c r="J124" s="12">
        <f t="shared" si="71"/>
        <v>0</v>
      </c>
      <c r="K124" s="12">
        <f t="shared" si="71"/>
        <v>0</v>
      </c>
      <c r="L124" s="12">
        <f t="shared" si="71"/>
        <v>0</v>
      </c>
      <c r="M124" s="12">
        <f t="shared" si="71"/>
        <v>0</v>
      </c>
      <c r="N124" s="12">
        <f t="shared" si="71"/>
        <v>0</v>
      </c>
      <c r="O124" s="12">
        <f t="shared" si="71"/>
        <v>0</v>
      </c>
      <c r="P124" s="12">
        <f t="shared" si="71"/>
        <v>0</v>
      </c>
      <c r="Q124" s="12">
        <f t="shared" si="71"/>
        <v>0</v>
      </c>
      <c r="R124" s="12">
        <f t="shared" si="71"/>
        <v>0</v>
      </c>
      <c r="S124" s="12">
        <f t="shared" si="71"/>
        <v>0</v>
      </c>
      <c r="T124" s="12">
        <f t="shared" si="71"/>
        <v>0</v>
      </c>
      <c r="U124" s="12">
        <f t="shared" si="71"/>
        <v>0</v>
      </c>
      <c r="V124" s="12">
        <f t="shared" si="71"/>
        <v>0</v>
      </c>
      <c r="W124" s="12">
        <f t="shared" si="71"/>
        <v>0</v>
      </c>
      <c r="X124" s="12">
        <f t="shared" si="71"/>
        <v>0</v>
      </c>
      <c r="Y124" s="12">
        <f t="shared" si="71"/>
        <v>0</v>
      </c>
      <c r="Z124" s="12">
        <f t="shared" si="71"/>
        <v>0</v>
      </c>
      <c r="AA124" s="12">
        <f t="shared" si="71"/>
        <v>0</v>
      </c>
      <c r="AB124" s="12">
        <f t="shared" si="71"/>
        <v>0</v>
      </c>
      <c r="AC124" s="12">
        <f t="shared" si="71"/>
        <v>0</v>
      </c>
      <c r="AD124" s="12">
        <f t="shared" si="71"/>
        <v>0</v>
      </c>
      <c r="AE124" s="12">
        <f t="shared" si="71"/>
        <v>0</v>
      </c>
      <c r="AF124" s="12">
        <f t="shared" si="71"/>
        <v>0</v>
      </c>
      <c r="AG124" s="12">
        <f t="shared" si="71"/>
        <v>0</v>
      </c>
      <c r="AH124" s="12">
        <f t="shared" si="71"/>
        <v>0</v>
      </c>
      <c r="AI124" s="12">
        <f t="shared" si="71"/>
        <v>0</v>
      </c>
      <c r="AJ124" s="12">
        <f t="shared" si="71"/>
        <v>0</v>
      </c>
      <c r="AK124" s="13">
        <f t="shared" si="61"/>
        <v>0</v>
      </c>
    </row>
    <row r="125" spans="1:39" ht="12.5">
      <c r="A125" s="663"/>
      <c r="B125" s="671"/>
      <c r="C125" s="667"/>
      <c r="D125" s="668"/>
      <c r="E125" s="669"/>
      <c r="F125" s="15">
        <f t="shared" ref="F125:AJ125" si="72">SUMIFS(EQ_HInac,Desc_EQ,$C124,Fecha_Inf_EQ,VALUE($AN$1&amp;TEXT(F$11,"00")))</f>
        <v>0</v>
      </c>
      <c r="G125" s="15">
        <f t="shared" si="72"/>
        <v>0</v>
      </c>
      <c r="H125" s="15">
        <f t="shared" si="72"/>
        <v>0</v>
      </c>
      <c r="I125" s="15">
        <f t="shared" si="72"/>
        <v>0</v>
      </c>
      <c r="J125" s="15">
        <f t="shared" si="72"/>
        <v>0</v>
      </c>
      <c r="K125" s="15">
        <f t="shared" si="72"/>
        <v>0</v>
      </c>
      <c r="L125" s="15">
        <f t="shared" si="72"/>
        <v>0</v>
      </c>
      <c r="M125" s="15">
        <f t="shared" si="72"/>
        <v>0</v>
      </c>
      <c r="N125" s="15">
        <f t="shared" si="72"/>
        <v>0</v>
      </c>
      <c r="O125" s="15">
        <f t="shared" si="72"/>
        <v>0</v>
      </c>
      <c r="P125" s="15">
        <f t="shared" si="72"/>
        <v>0</v>
      </c>
      <c r="Q125" s="15">
        <f t="shared" si="72"/>
        <v>0</v>
      </c>
      <c r="R125" s="15">
        <f t="shared" si="72"/>
        <v>0</v>
      </c>
      <c r="S125" s="15">
        <f t="shared" si="72"/>
        <v>0</v>
      </c>
      <c r="T125" s="15">
        <f t="shared" si="72"/>
        <v>0</v>
      </c>
      <c r="U125" s="15">
        <f t="shared" si="72"/>
        <v>0</v>
      </c>
      <c r="V125" s="15">
        <f t="shared" si="72"/>
        <v>0</v>
      </c>
      <c r="W125" s="15">
        <f t="shared" si="72"/>
        <v>0</v>
      </c>
      <c r="X125" s="15">
        <f t="shared" si="72"/>
        <v>0</v>
      </c>
      <c r="Y125" s="15">
        <f t="shared" si="72"/>
        <v>0</v>
      </c>
      <c r="Z125" s="15">
        <f t="shared" si="72"/>
        <v>0</v>
      </c>
      <c r="AA125" s="15">
        <f t="shared" si="72"/>
        <v>0</v>
      </c>
      <c r="AB125" s="15">
        <f t="shared" si="72"/>
        <v>0</v>
      </c>
      <c r="AC125" s="15">
        <f t="shared" si="72"/>
        <v>0</v>
      </c>
      <c r="AD125" s="15">
        <f t="shared" si="72"/>
        <v>0</v>
      </c>
      <c r="AE125" s="15">
        <f t="shared" si="72"/>
        <v>0</v>
      </c>
      <c r="AF125" s="15">
        <f t="shared" si="72"/>
        <v>0</v>
      </c>
      <c r="AG125" s="15">
        <f t="shared" si="72"/>
        <v>0</v>
      </c>
      <c r="AH125" s="15">
        <f t="shared" si="72"/>
        <v>0</v>
      </c>
      <c r="AI125" s="15">
        <f t="shared" si="72"/>
        <v>0</v>
      </c>
      <c r="AJ125" s="15">
        <f t="shared" si="72"/>
        <v>0</v>
      </c>
      <c r="AK125" s="16">
        <f t="shared" si="61"/>
        <v>0</v>
      </c>
      <c r="AM125" s="14" t="str">
        <f>IFERROR(VLOOKUP(C125,EQ_Cont,9,FALSE),"")</f>
        <v/>
      </c>
    </row>
    <row r="126" spans="1:39" ht="12.5">
      <c r="A126" s="663"/>
      <c r="B126" s="414">
        <v>8</v>
      </c>
      <c r="C126" s="664" t="str">
        <f>IF(ISBLANK(DBPCFA!AP28),"",DBPCFA!AP28)</f>
        <v/>
      </c>
      <c r="D126" s="665"/>
      <c r="E126" s="666"/>
      <c r="F126" s="12">
        <f t="shared" ref="F126:AJ126" si="73">SUMIFS(EQ_HAct,Desc_EQ,$C126,Fecha_Inf_EQ,VALUE($AN$1&amp;TEXT(F$11,"00")))</f>
        <v>0</v>
      </c>
      <c r="G126" s="12">
        <f t="shared" si="73"/>
        <v>0</v>
      </c>
      <c r="H126" s="12">
        <f t="shared" si="73"/>
        <v>0</v>
      </c>
      <c r="I126" s="12">
        <f t="shared" si="73"/>
        <v>0</v>
      </c>
      <c r="J126" s="12">
        <f t="shared" si="73"/>
        <v>0</v>
      </c>
      <c r="K126" s="12">
        <f t="shared" si="73"/>
        <v>0</v>
      </c>
      <c r="L126" s="12">
        <f t="shared" si="73"/>
        <v>0</v>
      </c>
      <c r="M126" s="12">
        <f t="shared" si="73"/>
        <v>0</v>
      </c>
      <c r="N126" s="12">
        <f t="shared" si="73"/>
        <v>0</v>
      </c>
      <c r="O126" s="12">
        <f t="shared" si="73"/>
        <v>0</v>
      </c>
      <c r="P126" s="12">
        <f t="shared" si="73"/>
        <v>0</v>
      </c>
      <c r="Q126" s="12">
        <f t="shared" si="73"/>
        <v>0</v>
      </c>
      <c r="R126" s="12">
        <f t="shared" si="73"/>
        <v>0</v>
      </c>
      <c r="S126" s="12">
        <f t="shared" si="73"/>
        <v>0</v>
      </c>
      <c r="T126" s="12">
        <f t="shared" si="73"/>
        <v>0</v>
      </c>
      <c r="U126" s="12">
        <f t="shared" si="73"/>
        <v>0</v>
      </c>
      <c r="V126" s="12">
        <f t="shared" si="73"/>
        <v>0</v>
      </c>
      <c r="W126" s="12">
        <f t="shared" si="73"/>
        <v>0</v>
      </c>
      <c r="X126" s="12">
        <f t="shared" si="73"/>
        <v>0</v>
      </c>
      <c r="Y126" s="12">
        <f t="shared" si="73"/>
        <v>0</v>
      </c>
      <c r="Z126" s="12">
        <f t="shared" si="73"/>
        <v>0</v>
      </c>
      <c r="AA126" s="12">
        <f t="shared" si="73"/>
        <v>0</v>
      </c>
      <c r="AB126" s="12">
        <f t="shared" si="73"/>
        <v>0</v>
      </c>
      <c r="AC126" s="12">
        <f t="shared" si="73"/>
        <v>0</v>
      </c>
      <c r="AD126" s="12">
        <f t="shared" si="73"/>
        <v>0</v>
      </c>
      <c r="AE126" s="12">
        <f t="shared" si="73"/>
        <v>0</v>
      </c>
      <c r="AF126" s="12">
        <f t="shared" si="73"/>
        <v>0</v>
      </c>
      <c r="AG126" s="12">
        <f t="shared" si="73"/>
        <v>0</v>
      </c>
      <c r="AH126" s="12">
        <f t="shared" si="73"/>
        <v>0</v>
      </c>
      <c r="AI126" s="12">
        <f t="shared" si="73"/>
        <v>0</v>
      </c>
      <c r="AJ126" s="12">
        <f t="shared" si="73"/>
        <v>0</v>
      </c>
      <c r="AK126" s="13">
        <f t="shared" si="61"/>
        <v>0</v>
      </c>
    </row>
    <row r="127" spans="1:39" ht="12.5">
      <c r="A127" s="663"/>
      <c r="B127" s="414"/>
      <c r="C127" s="667"/>
      <c r="D127" s="668"/>
      <c r="E127" s="669"/>
      <c r="F127" s="15">
        <f t="shared" ref="F127:AJ127" si="74">SUMIFS(EQ_HInac,Desc_EQ,$C126,Fecha_Inf_EQ,VALUE($AN$1&amp;TEXT(F$11,"00")))</f>
        <v>0</v>
      </c>
      <c r="G127" s="15">
        <f t="shared" si="74"/>
        <v>0</v>
      </c>
      <c r="H127" s="15">
        <f t="shared" si="74"/>
        <v>0</v>
      </c>
      <c r="I127" s="15">
        <f t="shared" si="74"/>
        <v>0</v>
      </c>
      <c r="J127" s="15">
        <f t="shared" si="74"/>
        <v>0</v>
      </c>
      <c r="K127" s="15">
        <f t="shared" si="74"/>
        <v>0</v>
      </c>
      <c r="L127" s="15">
        <f t="shared" si="74"/>
        <v>0</v>
      </c>
      <c r="M127" s="15">
        <f t="shared" si="74"/>
        <v>0</v>
      </c>
      <c r="N127" s="15">
        <f t="shared" si="74"/>
        <v>0</v>
      </c>
      <c r="O127" s="15">
        <f t="shared" si="74"/>
        <v>0</v>
      </c>
      <c r="P127" s="15">
        <f t="shared" si="74"/>
        <v>0</v>
      </c>
      <c r="Q127" s="15">
        <f t="shared" si="74"/>
        <v>0</v>
      </c>
      <c r="R127" s="15">
        <f t="shared" si="74"/>
        <v>0</v>
      </c>
      <c r="S127" s="15">
        <f t="shared" si="74"/>
        <v>0</v>
      </c>
      <c r="T127" s="15">
        <f t="shared" si="74"/>
        <v>0</v>
      </c>
      <c r="U127" s="15">
        <f t="shared" si="74"/>
        <v>0</v>
      </c>
      <c r="V127" s="15">
        <f t="shared" si="74"/>
        <v>0</v>
      </c>
      <c r="W127" s="15">
        <f t="shared" si="74"/>
        <v>0</v>
      </c>
      <c r="X127" s="15">
        <f t="shared" si="74"/>
        <v>0</v>
      </c>
      <c r="Y127" s="15">
        <f t="shared" si="74"/>
        <v>0</v>
      </c>
      <c r="Z127" s="15">
        <f t="shared" si="74"/>
        <v>0</v>
      </c>
      <c r="AA127" s="15">
        <f t="shared" si="74"/>
        <v>0</v>
      </c>
      <c r="AB127" s="15">
        <f t="shared" si="74"/>
        <v>0</v>
      </c>
      <c r="AC127" s="15">
        <f t="shared" si="74"/>
        <v>0</v>
      </c>
      <c r="AD127" s="15">
        <f t="shared" si="74"/>
        <v>0</v>
      </c>
      <c r="AE127" s="15">
        <f t="shared" si="74"/>
        <v>0</v>
      </c>
      <c r="AF127" s="15">
        <f t="shared" si="74"/>
        <v>0</v>
      </c>
      <c r="AG127" s="15">
        <f t="shared" si="74"/>
        <v>0</v>
      </c>
      <c r="AH127" s="15">
        <f t="shared" si="74"/>
        <v>0</v>
      </c>
      <c r="AI127" s="15">
        <f t="shared" si="74"/>
        <v>0</v>
      </c>
      <c r="AJ127" s="15">
        <f t="shared" si="74"/>
        <v>0</v>
      </c>
      <c r="AK127" s="16">
        <f t="shared" si="61"/>
        <v>0</v>
      </c>
      <c r="AM127" s="14" t="str">
        <f>IFERROR(VLOOKUP(C127,EQ_Cont,9,FALSE),"")</f>
        <v/>
      </c>
    </row>
    <row r="128" spans="1:39" ht="12.5">
      <c r="A128" s="663"/>
      <c r="B128" s="414">
        <v>9</v>
      </c>
      <c r="C128" s="664" t="str">
        <f>IF(ISBLANK(DBPCFA!AP29),"",DBPCFA!AP29)</f>
        <v/>
      </c>
      <c r="D128" s="665"/>
      <c r="E128" s="666"/>
      <c r="F128" s="12">
        <f t="shared" ref="F128:AJ128" si="75">SUMIFS(EQ_HAct,Desc_EQ,$C128,Fecha_Inf_EQ,VALUE($AN$1&amp;TEXT(F$11,"00")))</f>
        <v>0</v>
      </c>
      <c r="G128" s="12">
        <f t="shared" si="75"/>
        <v>0</v>
      </c>
      <c r="H128" s="12">
        <f t="shared" si="75"/>
        <v>0</v>
      </c>
      <c r="I128" s="12">
        <f t="shared" si="75"/>
        <v>0</v>
      </c>
      <c r="J128" s="12">
        <f t="shared" si="75"/>
        <v>0</v>
      </c>
      <c r="K128" s="12">
        <f t="shared" si="75"/>
        <v>0</v>
      </c>
      <c r="L128" s="12">
        <f t="shared" si="75"/>
        <v>0</v>
      </c>
      <c r="M128" s="12">
        <f t="shared" si="75"/>
        <v>0</v>
      </c>
      <c r="N128" s="12">
        <f t="shared" si="75"/>
        <v>0</v>
      </c>
      <c r="O128" s="12">
        <f t="shared" si="75"/>
        <v>0</v>
      </c>
      <c r="P128" s="12">
        <f t="shared" si="75"/>
        <v>0</v>
      </c>
      <c r="Q128" s="12">
        <f t="shared" si="75"/>
        <v>0</v>
      </c>
      <c r="R128" s="12">
        <f t="shared" si="75"/>
        <v>0</v>
      </c>
      <c r="S128" s="12">
        <f t="shared" si="75"/>
        <v>0</v>
      </c>
      <c r="T128" s="12">
        <f t="shared" si="75"/>
        <v>0</v>
      </c>
      <c r="U128" s="12">
        <f t="shared" si="75"/>
        <v>0</v>
      </c>
      <c r="V128" s="12">
        <f t="shared" si="75"/>
        <v>0</v>
      </c>
      <c r="W128" s="12">
        <f t="shared" si="75"/>
        <v>0</v>
      </c>
      <c r="X128" s="12">
        <f t="shared" si="75"/>
        <v>0</v>
      </c>
      <c r="Y128" s="12">
        <f t="shared" si="75"/>
        <v>0</v>
      </c>
      <c r="Z128" s="12">
        <f t="shared" si="75"/>
        <v>0</v>
      </c>
      <c r="AA128" s="12">
        <f t="shared" si="75"/>
        <v>0</v>
      </c>
      <c r="AB128" s="12">
        <f t="shared" si="75"/>
        <v>0</v>
      </c>
      <c r="AC128" s="12">
        <f t="shared" si="75"/>
        <v>0</v>
      </c>
      <c r="AD128" s="12">
        <f t="shared" si="75"/>
        <v>0</v>
      </c>
      <c r="AE128" s="12">
        <f t="shared" si="75"/>
        <v>0</v>
      </c>
      <c r="AF128" s="12">
        <f t="shared" si="75"/>
        <v>0</v>
      </c>
      <c r="AG128" s="12">
        <f t="shared" si="75"/>
        <v>0</v>
      </c>
      <c r="AH128" s="12">
        <f t="shared" si="75"/>
        <v>0</v>
      </c>
      <c r="AI128" s="12">
        <f t="shared" si="75"/>
        <v>0</v>
      </c>
      <c r="AJ128" s="12">
        <f t="shared" si="75"/>
        <v>0</v>
      </c>
      <c r="AK128" s="13">
        <f t="shared" si="61"/>
        <v>0</v>
      </c>
    </row>
    <row r="129" spans="1:39" ht="12.5">
      <c r="A129" s="663"/>
      <c r="B129" s="414"/>
      <c r="C129" s="667"/>
      <c r="D129" s="668"/>
      <c r="E129" s="669"/>
      <c r="F129" s="15">
        <f t="shared" ref="F129:AJ129" si="76">SUMIFS(EQ_HInac,Desc_EQ,$C128,Fecha_Inf_EQ,VALUE($AN$1&amp;TEXT(F$11,"00")))</f>
        <v>0</v>
      </c>
      <c r="G129" s="15">
        <f t="shared" si="76"/>
        <v>0</v>
      </c>
      <c r="H129" s="15">
        <f t="shared" si="76"/>
        <v>0</v>
      </c>
      <c r="I129" s="15">
        <f t="shared" si="76"/>
        <v>0</v>
      </c>
      <c r="J129" s="15">
        <f t="shared" si="76"/>
        <v>0</v>
      </c>
      <c r="K129" s="15">
        <f t="shared" si="76"/>
        <v>0</v>
      </c>
      <c r="L129" s="15">
        <f t="shared" si="76"/>
        <v>0</v>
      </c>
      <c r="M129" s="15">
        <f t="shared" si="76"/>
        <v>0</v>
      </c>
      <c r="N129" s="15">
        <f t="shared" si="76"/>
        <v>0</v>
      </c>
      <c r="O129" s="15">
        <f t="shared" si="76"/>
        <v>0</v>
      </c>
      <c r="P129" s="15">
        <f t="shared" si="76"/>
        <v>0</v>
      </c>
      <c r="Q129" s="15">
        <f t="shared" si="76"/>
        <v>0</v>
      </c>
      <c r="R129" s="15">
        <f t="shared" si="76"/>
        <v>0</v>
      </c>
      <c r="S129" s="15">
        <f t="shared" si="76"/>
        <v>0</v>
      </c>
      <c r="T129" s="15">
        <f t="shared" si="76"/>
        <v>0</v>
      </c>
      <c r="U129" s="15">
        <f t="shared" si="76"/>
        <v>0</v>
      </c>
      <c r="V129" s="15">
        <f t="shared" si="76"/>
        <v>0</v>
      </c>
      <c r="W129" s="15">
        <f t="shared" si="76"/>
        <v>0</v>
      </c>
      <c r="X129" s="15">
        <f t="shared" si="76"/>
        <v>0</v>
      </c>
      <c r="Y129" s="15">
        <f t="shared" si="76"/>
        <v>0</v>
      </c>
      <c r="Z129" s="15">
        <f t="shared" si="76"/>
        <v>0</v>
      </c>
      <c r="AA129" s="15">
        <f t="shared" si="76"/>
        <v>0</v>
      </c>
      <c r="AB129" s="15">
        <f t="shared" si="76"/>
        <v>0</v>
      </c>
      <c r="AC129" s="15">
        <f t="shared" si="76"/>
        <v>0</v>
      </c>
      <c r="AD129" s="15">
        <f t="shared" si="76"/>
        <v>0</v>
      </c>
      <c r="AE129" s="15">
        <f t="shared" si="76"/>
        <v>0</v>
      </c>
      <c r="AF129" s="15">
        <f t="shared" si="76"/>
        <v>0</v>
      </c>
      <c r="AG129" s="15">
        <f t="shared" si="76"/>
        <v>0</v>
      </c>
      <c r="AH129" s="15">
        <f t="shared" si="76"/>
        <v>0</v>
      </c>
      <c r="AI129" s="15">
        <f t="shared" si="76"/>
        <v>0</v>
      </c>
      <c r="AJ129" s="15">
        <f t="shared" si="76"/>
        <v>0</v>
      </c>
      <c r="AK129" s="16">
        <f t="shared" si="61"/>
        <v>0</v>
      </c>
      <c r="AM129" s="14" t="str">
        <f>IFERROR(VLOOKUP(C129,EQ_Cont,9,FALSE),"")</f>
        <v/>
      </c>
    </row>
    <row r="130" spans="1:39" ht="12.5">
      <c r="A130" s="663"/>
      <c r="B130" s="414">
        <v>10</v>
      </c>
      <c r="C130" s="664" t="str">
        <f>IF(ISBLANK(DBPCFA!AP30),"",DBPCFA!AP30)</f>
        <v/>
      </c>
      <c r="D130" s="665"/>
      <c r="E130" s="666"/>
      <c r="F130" s="12">
        <f t="shared" ref="F130:AJ130" si="77">SUMIFS(EQ_HAct,Desc_EQ,$C130,Fecha_Inf_EQ,VALUE($AN$1&amp;TEXT(F$11,"00")))</f>
        <v>0</v>
      </c>
      <c r="G130" s="12">
        <f t="shared" si="77"/>
        <v>0</v>
      </c>
      <c r="H130" s="12">
        <f t="shared" si="77"/>
        <v>0</v>
      </c>
      <c r="I130" s="12">
        <f t="shared" si="77"/>
        <v>0</v>
      </c>
      <c r="J130" s="12">
        <f t="shared" si="77"/>
        <v>0</v>
      </c>
      <c r="K130" s="12">
        <f t="shared" si="77"/>
        <v>0</v>
      </c>
      <c r="L130" s="12">
        <f t="shared" si="77"/>
        <v>0</v>
      </c>
      <c r="M130" s="12">
        <f t="shared" si="77"/>
        <v>0</v>
      </c>
      <c r="N130" s="12">
        <f t="shared" si="77"/>
        <v>0</v>
      </c>
      <c r="O130" s="12">
        <f t="shared" si="77"/>
        <v>0</v>
      </c>
      <c r="P130" s="12">
        <f t="shared" si="77"/>
        <v>0</v>
      </c>
      <c r="Q130" s="12">
        <f t="shared" si="77"/>
        <v>0</v>
      </c>
      <c r="R130" s="12">
        <f t="shared" si="77"/>
        <v>0</v>
      </c>
      <c r="S130" s="12">
        <f t="shared" si="77"/>
        <v>0</v>
      </c>
      <c r="T130" s="12">
        <f t="shared" si="77"/>
        <v>0</v>
      </c>
      <c r="U130" s="12">
        <f t="shared" si="77"/>
        <v>0</v>
      </c>
      <c r="V130" s="12">
        <f t="shared" si="77"/>
        <v>0</v>
      </c>
      <c r="W130" s="12">
        <f t="shared" si="77"/>
        <v>0</v>
      </c>
      <c r="X130" s="12">
        <f t="shared" si="77"/>
        <v>0</v>
      </c>
      <c r="Y130" s="12">
        <f t="shared" si="77"/>
        <v>0</v>
      </c>
      <c r="Z130" s="12">
        <f t="shared" si="77"/>
        <v>0</v>
      </c>
      <c r="AA130" s="12">
        <f t="shared" si="77"/>
        <v>0</v>
      </c>
      <c r="AB130" s="12">
        <f t="shared" si="77"/>
        <v>0</v>
      </c>
      <c r="AC130" s="12">
        <f t="shared" si="77"/>
        <v>0</v>
      </c>
      <c r="AD130" s="12">
        <f t="shared" si="77"/>
        <v>0</v>
      </c>
      <c r="AE130" s="12">
        <f t="shared" si="77"/>
        <v>0</v>
      </c>
      <c r="AF130" s="12">
        <f t="shared" si="77"/>
        <v>0</v>
      </c>
      <c r="AG130" s="12">
        <f t="shared" si="77"/>
        <v>0</v>
      </c>
      <c r="AH130" s="12">
        <f t="shared" si="77"/>
        <v>0</v>
      </c>
      <c r="AI130" s="12">
        <f t="shared" si="77"/>
        <v>0</v>
      </c>
      <c r="AJ130" s="12">
        <f t="shared" si="77"/>
        <v>0</v>
      </c>
      <c r="AK130" s="13">
        <f t="shared" si="61"/>
        <v>0</v>
      </c>
    </row>
    <row r="131" spans="1:39" ht="12.5">
      <c r="A131" s="663"/>
      <c r="B131" s="414"/>
      <c r="C131" s="667"/>
      <c r="D131" s="668"/>
      <c r="E131" s="669"/>
      <c r="F131" s="15">
        <f t="shared" ref="F131:AJ131" si="78">SUMIFS(EQ_HInac,Desc_EQ,$C130,Fecha_Inf_EQ,VALUE($AN$1&amp;TEXT(F$11,"00")))</f>
        <v>0</v>
      </c>
      <c r="G131" s="15">
        <f t="shared" si="78"/>
        <v>0</v>
      </c>
      <c r="H131" s="15">
        <f t="shared" si="78"/>
        <v>0</v>
      </c>
      <c r="I131" s="15">
        <f t="shared" si="78"/>
        <v>0</v>
      </c>
      <c r="J131" s="15">
        <f t="shared" si="78"/>
        <v>0</v>
      </c>
      <c r="K131" s="15">
        <f t="shared" si="78"/>
        <v>0</v>
      </c>
      <c r="L131" s="15">
        <f t="shared" si="78"/>
        <v>0</v>
      </c>
      <c r="M131" s="15">
        <f t="shared" si="78"/>
        <v>0</v>
      </c>
      <c r="N131" s="15">
        <f t="shared" si="78"/>
        <v>0</v>
      </c>
      <c r="O131" s="15">
        <f t="shared" si="78"/>
        <v>0</v>
      </c>
      <c r="P131" s="15">
        <f t="shared" si="78"/>
        <v>0</v>
      </c>
      <c r="Q131" s="15">
        <f t="shared" si="78"/>
        <v>0</v>
      </c>
      <c r="R131" s="15">
        <f t="shared" si="78"/>
        <v>0</v>
      </c>
      <c r="S131" s="15">
        <f t="shared" si="78"/>
        <v>0</v>
      </c>
      <c r="T131" s="15">
        <f t="shared" si="78"/>
        <v>0</v>
      </c>
      <c r="U131" s="15">
        <f t="shared" si="78"/>
        <v>0</v>
      </c>
      <c r="V131" s="15">
        <f t="shared" si="78"/>
        <v>0</v>
      </c>
      <c r="W131" s="15">
        <f t="shared" si="78"/>
        <v>0</v>
      </c>
      <c r="X131" s="15">
        <f t="shared" si="78"/>
        <v>0</v>
      </c>
      <c r="Y131" s="15">
        <f t="shared" si="78"/>
        <v>0</v>
      </c>
      <c r="Z131" s="15">
        <f t="shared" si="78"/>
        <v>0</v>
      </c>
      <c r="AA131" s="15">
        <f t="shared" si="78"/>
        <v>0</v>
      </c>
      <c r="AB131" s="15">
        <f t="shared" si="78"/>
        <v>0</v>
      </c>
      <c r="AC131" s="15">
        <f t="shared" si="78"/>
        <v>0</v>
      </c>
      <c r="AD131" s="15">
        <f t="shared" si="78"/>
        <v>0</v>
      </c>
      <c r="AE131" s="15">
        <f t="shared" si="78"/>
        <v>0</v>
      </c>
      <c r="AF131" s="15">
        <f t="shared" si="78"/>
        <v>0</v>
      </c>
      <c r="AG131" s="15">
        <f t="shared" si="78"/>
        <v>0</v>
      </c>
      <c r="AH131" s="15">
        <f t="shared" si="78"/>
        <v>0</v>
      </c>
      <c r="AI131" s="15">
        <f t="shared" si="78"/>
        <v>0</v>
      </c>
      <c r="AJ131" s="15">
        <f t="shared" si="78"/>
        <v>0</v>
      </c>
      <c r="AK131" s="16">
        <f t="shared" si="61"/>
        <v>0</v>
      </c>
      <c r="AM131" s="14" t="str">
        <f>IFERROR(VLOOKUP(C131,EQ_Cont,9,FALSE),"")</f>
        <v/>
      </c>
    </row>
    <row r="132" spans="1:39" ht="12.75" customHeight="1">
      <c r="AM132" s="14"/>
    </row>
    <row r="133" spans="1:39" ht="12.5">
      <c r="B133" s="8" t="s">
        <v>149</v>
      </c>
      <c r="C133" s="9" t="s">
        <v>150</v>
      </c>
      <c r="D133" s="8" t="s">
        <v>151</v>
      </c>
      <c r="E133" s="8" t="s">
        <v>152</v>
      </c>
      <c r="F133" s="644" t="s">
        <v>153</v>
      </c>
      <c r="G133" s="367"/>
      <c r="H133" s="646" t="s">
        <v>154</v>
      </c>
      <c r="I133" s="646"/>
      <c r="J133" s="646"/>
      <c r="K133" s="646" t="s">
        <v>155</v>
      </c>
      <c r="L133" s="646"/>
      <c r="M133" s="646"/>
      <c r="N133" s="646" t="s">
        <v>156</v>
      </c>
      <c r="O133" s="646"/>
      <c r="P133" s="646"/>
      <c r="Q133" s="644" t="s">
        <v>157</v>
      </c>
      <c r="R133" s="659"/>
      <c r="S133" s="367"/>
      <c r="T133" s="646" t="s">
        <v>158</v>
      </c>
      <c r="U133" s="646"/>
      <c r="V133" s="646"/>
      <c r="W133" s="644" t="s">
        <v>159</v>
      </c>
      <c r="X133" s="659"/>
      <c r="Y133" s="367"/>
      <c r="Z133" s="644" t="s">
        <v>160</v>
      </c>
      <c r="AA133" s="659"/>
      <c r="AB133" s="367"/>
      <c r="AC133" s="644" t="s">
        <v>161</v>
      </c>
      <c r="AD133" s="659"/>
      <c r="AE133" s="367"/>
      <c r="AF133" s="644" t="s">
        <v>162</v>
      </c>
      <c r="AG133" s="659"/>
      <c r="AH133" s="367"/>
      <c r="AI133" s="644" t="s">
        <v>163</v>
      </c>
      <c r="AJ133" s="659"/>
      <c r="AK133" s="367"/>
      <c r="AM133" s="14"/>
    </row>
    <row r="134" spans="1:39" ht="12.5">
      <c r="B134" s="17"/>
      <c r="C134" s="18" t="s">
        <v>164</v>
      </c>
      <c r="D134" s="18" t="s">
        <v>165</v>
      </c>
      <c r="E134" s="18" t="s">
        <v>166</v>
      </c>
      <c r="F134" s="660" t="s">
        <v>166</v>
      </c>
      <c r="G134" s="661"/>
      <c r="H134" s="656" t="s">
        <v>167</v>
      </c>
      <c r="I134" s="657"/>
      <c r="J134" s="658"/>
      <c r="K134" s="656" t="s">
        <v>168</v>
      </c>
      <c r="L134" s="657"/>
      <c r="M134" s="658"/>
      <c r="N134" s="656" t="s">
        <v>169</v>
      </c>
      <c r="O134" s="657"/>
      <c r="P134" s="658"/>
      <c r="Q134" s="660" t="s">
        <v>168</v>
      </c>
      <c r="R134" s="662"/>
      <c r="S134" s="661"/>
      <c r="T134" s="660" t="s">
        <v>169</v>
      </c>
      <c r="U134" s="662"/>
      <c r="V134" s="661"/>
      <c r="W134" s="660" t="s">
        <v>168</v>
      </c>
      <c r="X134" s="662"/>
      <c r="Y134" s="661"/>
      <c r="Z134" s="660" t="s">
        <v>170</v>
      </c>
      <c r="AA134" s="662"/>
      <c r="AB134" s="661"/>
      <c r="AC134" s="660" t="s">
        <v>171</v>
      </c>
      <c r="AD134" s="662"/>
      <c r="AE134" s="661"/>
      <c r="AF134" s="660" t="s">
        <v>169</v>
      </c>
      <c r="AG134" s="662"/>
      <c r="AH134" s="661"/>
      <c r="AI134" s="660" t="s">
        <v>172</v>
      </c>
      <c r="AJ134" s="662"/>
      <c r="AK134" s="661"/>
      <c r="AM134" s="14"/>
    </row>
    <row r="135" spans="1:39" ht="12.5">
      <c r="B135" s="10"/>
      <c r="C135" s="19" t="s">
        <v>173</v>
      </c>
      <c r="D135" s="19" t="s">
        <v>174</v>
      </c>
      <c r="E135" s="19" t="s">
        <v>175</v>
      </c>
      <c r="F135" s="641" t="s">
        <v>176</v>
      </c>
      <c r="G135" s="643"/>
      <c r="H135" s="656" t="s">
        <v>177</v>
      </c>
      <c r="I135" s="657"/>
      <c r="J135" s="658"/>
      <c r="K135" s="656" t="s">
        <v>178</v>
      </c>
      <c r="L135" s="657"/>
      <c r="M135" s="658"/>
      <c r="N135" s="656" t="s">
        <v>179</v>
      </c>
      <c r="O135" s="657"/>
      <c r="P135" s="658"/>
      <c r="Q135" s="641" t="s">
        <v>180</v>
      </c>
      <c r="R135" s="642"/>
      <c r="S135" s="643"/>
      <c r="T135" s="641" t="s">
        <v>180</v>
      </c>
      <c r="U135" s="642"/>
      <c r="V135" s="643"/>
      <c r="W135" s="641" t="s">
        <v>181</v>
      </c>
      <c r="X135" s="642"/>
      <c r="Y135" s="643"/>
      <c r="Z135" s="641" t="s">
        <v>182</v>
      </c>
      <c r="AA135" s="642"/>
      <c r="AB135" s="643"/>
      <c r="AC135" s="641" t="s">
        <v>183</v>
      </c>
      <c r="AD135" s="642"/>
      <c r="AE135" s="643"/>
      <c r="AF135" s="641" t="s">
        <v>184</v>
      </c>
      <c r="AG135" s="642"/>
      <c r="AH135" s="643"/>
      <c r="AI135" s="641" t="s">
        <v>185</v>
      </c>
      <c r="AJ135" s="642"/>
      <c r="AK135" s="643"/>
      <c r="AM135" s="14"/>
    </row>
    <row r="136" spans="1:39" ht="13">
      <c r="B136" s="8"/>
      <c r="C136" s="8" t="s">
        <v>186</v>
      </c>
      <c r="D136" s="20" t="s">
        <v>187</v>
      </c>
      <c r="E136" s="8" t="s">
        <v>186</v>
      </c>
      <c r="F136" s="644" t="s">
        <v>186</v>
      </c>
      <c r="G136" s="367"/>
      <c r="H136" s="645" t="s">
        <v>188</v>
      </c>
      <c r="I136" s="645"/>
      <c r="J136" s="645"/>
      <c r="K136" s="646" t="s">
        <v>186</v>
      </c>
      <c r="L136" s="646"/>
      <c r="M136" s="646"/>
      <c r="N136" s="645" t="s">
        <v>189</v>
      </c>
      <c r="O136" s="645"/>
      <c r="P136" s="645"/>
      <c r="Q136" s="647" t="s">
        <v>190</v>
      </c>
      <c r="R136" s="647"/>
      <c r="S136" s="648"/>
      <c r="T136" s="649" t="s">
        <v>191</v>
      </c>
      <c r="U136" s="647"/>
      <c r="V136" s="648"/>
      <c r="W136" s="650" t="s">
        <v>186</v>
      </c>
      <c r="X136" s="651"/>
      <c r="Y136" s="652"/>
      <c r="Z136" s="650" t="s">
        <v>186</v>
      </c>
      <c r="AA136" s="651"/>
      <c r="AB136" s="652"/>
      <c r="AC136" s="653" t="s">
        <v>192</v>
      </c>
      <c r="AD136" s="654"/>
      <c r="AE136" s="655"/>
      <c r="AF136" s="653" t="s">
        <v>193</v>
      </c>
      <c r="AG136" s="654"/>
      <c r="AH136" s="655"/>
      <c r="AI136" s="653" t="s">
        <v>194</v>
      </c>
      <c r="AJ136" s="654"/>
      <c r="AK136" s="655"/>
      <c r="AM136" s="14"/>
    </row>
    <row r="137" spans="1:39" ht="12.5">
      <c r="B137" s="8">
        <v>1</v>
      </c>
      <c r="C137" s="215">
        <f>IFERROR(VLOOKUP($C112,EQ_Cont,9,FALSE),"")</f>
        <v>0</v>
      </c>
      <c r="D137" s="21">
        <f>C137/176</f>
        <v>0</v>
      </c>
      <c r="E137" s="21">
        <f>IF(C137&lt;&gt;0,1,0)</f>
        <v>0</v>
      </c>
      <c r="F137" s="636">
        <f>IFERROR(VLOOKUP($C112,EQ_Cont,10,FALSE),"")</f>
        <v>0</v>
      </c>
      <c r="G137" s="637"/>
      <c r="H137" s="628">
        <f>D137*E137*F137</f>
        <v>0</v>
      </c>
      <c r="I137" s="628"/>
      <c r="J137" s="628"/>
      <c r="K137" s="638">
        <f>AK113</f>
        <v>0</v>
      </c>
      <c r="L137" s="639"/>
      <c r="M137" s="639"/>
      <c r="N137" s="628">
        <f>IF('Información Force Account'!$I$1,K137*H137,K137*H137/2)</f>
        <v>0</v>
      </c>
      <c r="O137" s="628"/>
      <c r="P137" s="628"/>
      <c r="Q137" s="640">
        <f>K137+W137</f>
        <v>0</v>
      </c>
      <c r="R137" s="638"/>
      <c r="S137" s="638"/>
      <c r="T137" s="628">
        <f>H137*Q137</f>
        <v>0</v>
      </c>
      <c r="U137" s="628"/>
      <c r="V137" s="628"/>
      <c r="W137" s="630">
        <f>AK112</f>
        <v>0</v>
      </c>
      <c r="X137" s="631"/>
      <c r="Y137" s="632"/>
      <c r="Z137" s="633">
        <f>IFERROR(VLOOKUP($C112,EQ_Cont,11,FALSE),"")</f>
        <v>0</v>
      </c>
      <c r="AA137" s="634"/>
      <c r="AB137" s="635"/>
      <c r="AC137" s="626">
        <f>H137+Z137</f>
        <v>0</v>
      </c>
      <c r="AD137" s="627"/>
      <c r="AE137" s="376"/>
      <c r="AF137" s="626">
        <f>W137*AC137</f>
        <v>0</v>
      </c>
      <c r="AG137" s="627"/>
      <c r="AH137" s="376"/>
      <c r="AI137" s="626">
        <f>N137+AF137</f>
        <v>0</v>
      </c>
      <c r="AJ137" s="627"/>
      <c r="AK137" s="376"/>
      <c r="AM137" s="14"/>
    </row>
    <row r="138" spans="1:39" ht="12.5">
      <c r="B138" s="8">
        <v>2</v>
      </c>
      <c r="C138" s="215">
        <f>IFERROR(VLOOKUP($C114,EQ_Cont,9,FALSE),"")</f>
        <v>0</v>
      </c>
      <c r="D138" s="21">
        <f t="shared" ref="D138:D146" si="79">C138/176</f>
        <v>0</v>
      </c>
      <c r="E138" s="21">
        <f t="shared" ref="E138:E146" si="80">IF(C138&lt;&gt;0,1,0)</f>
        <v>0</v>
      </c>
      <c r="F138" s="636">
        <f>IFERROR(VLOOKUP($C114,EQ_Cont,10,FALSE),"")</f>
        <v>0</v>
      </c>
      <c r="G138" s="637"/>
      <c r="H138" s="628">
        <f t="shared" ref="H138:H146" si="81">D138*E138*F138</f>
        <v>0</v>
      </c>
      <c r="I138" s="628"/>
      <c r="J138" s="628"/>
      <c r="K138" s="638">
        <f>AK115</f>
        <v>0</v>
      </c>
      <c r="L138" s="639"/>
      <c r="M138" s="639"/>
      <c r="N138" s="628">
        <f>IF('Información Force Account'!$I$1,K138*H138,K138*H138/2)</f>
        <v>0</v>
      </c>
      <c r="O138" s="628"/>
      <c r="P138" s="628"/>
      <c r="Q138" s="640">
        <f t="shared" ref="Q138:Q146" si="82">K138+W138</f>
        <v>0</v>
      </c>
      <c r="R138" s="638"/>
      <c r="S138" s="638"/>
      <c r="T138" s="628">
        <f t="shared" ref="T138:T146" si="83">H138*Q138</f>
        <v>0</v>
      </c>
      <c r="U138" s="628"/>
      <c r="V138" s="628"/>
      <c r="W138" s="630">
        <f>AK114</f>
        <v>0</v>
      </c>
      <c r="X138" s="631"/>
      <c r="Y138" s="632"/>
      <c r="Z138" s="633">
        <f>IFERROR(VLOOKUP($C114,EQ_Cont,11,FALSE),"")</f>
        <v>0</v>
      </c>
      <c r="AA138" s="634">
        <v>0</v>
      </c>
      <c r="AB138" s="635">
        <v>0</v>
      </c>
      <c r="AC138" s="626">
        <f t="shared" ref="AC138:AC146" si="84">H138+Z138</f>
        <v>0</v>
      </c>
      <c r="AD138" s="627"/>
      <c r="AE138" s="376"/>
      <c r="AF138" s="626">
        <f t="shared" ref="AF138:AF146" si="85">W138*AC138</f>
        <v>0</v>
      </c>
      <c r="AG138" s="627"/>
      <c r="AH138" s="376"/>
      <c r="AI138" s="626">
        <f t="shared" ref="AI138:AI146" si="86">N138+AF138</f>
        <v>0</v>
      </c>
      <c r="AJ138" s="627"/>
      <c r="AK138" s="376"/>
      <c r="AM138" s="14"/>
    </row>
    <row r="139" spans="1:39" ht="12.5">
      <c r="B139" s="8">
        <v>3</v>
      </c>
      <c r="C139" s="215">
        <f>IFERROR(VLOOKUP($C116,EQ_Cont,9,FALSE),"")</f>
        <v>0</v>
      </c>
      <c r="D139" s="21">
        <f t="shared" si="79"/>
        <v>0</v>
      </c>
      <c r="E139" s="21">
        <f t="shared" si="80"/>
        <v>0</v>
      </c>
      <c r="F139" s="636">
        <f>IFERROR(VLOOKUP($C116,EQ_Cont,10,FALSE),"")</f>
        <v>0</v>
      </c>
      <c r="G139" s="637"/>
      <c r="H139" s="628">
        <f t="shared" si="81"/>
        <v>0</v>
      </c>
      <c r="I139" s="628"/>
      <c r="J139" s="628"/>
      <c r="K139" s="638">
        <f>AK117</f>
        <v>0</v>
      </c>
      <c r="L139" s="639"/>
      <c r="M139" s="639"/>
      <c r="N139" s="628">
        <f>IF('Información Force Account'!$I$1,K139*H139,K139*H139/2)</f>
        <v>0</v>
      </c>
      <c r="O139" s="628"/>
      <c r="P139" s="628"/>
      <c r="Q139" s="640">
        <f t="shared" si="82"/>
        <v>0</v>
      </c>
      <c r="R139" s="638"/>
      <c r="S139" s="638"/>
      <c r="T139" s="628">
        <f t="shared" si="83"/>
        <v>0</v>
      </c>
      <c r="U139" s="628"/>
      <c r="V139" s="628"/>
      <c r="W139" s="630">
        <f>AK116</f>
        <v>0</v>
      </c>
      <c r="X139" s="631"/>
      <c r="Y139" s="632"/>
      <c r="Z139" s="633">
        <f>IFERROR(VLOOKUP($C116,EQ_Cont,11,FALSE),"")</f>
        <v>0</v>
      </c>
      <c r="AA139" s="634">
        <v>0</v>
      </c>
      <c r="AB139" s="635">
        <v>0</v>
      </c>
      <c r="AC139" s="626">
        <f t="shared" si="84"/>
        <v>0</v>
      </c>
      <c r="AD139" s="627"/>
      <c r="AE139" s="376"/>
      <c r="AF139" s="626">
        <f t="shared" si="85"/>
        <v>0</v>
      </c>
      <c r="AG139" s="627"/>
      <c r="AH139" s="376"/>
      <c r="AI139" s="626">
        <f t="shared" si="86"/>
        <v>0</v>
      </c>
      <c r="AJ139" s="627"/>
      <c r="AK139" s="376"/>
      <c r="AM139" s="14"/>
    </row>
    <row r="140" spans="1:39" ht="12.5">
      <c r="B140" s="8">
        <v>4</v>
      </c>
      <c r="C140" s="215">
        <f>IFERROR(VLOOKUP($C118,EQ_Cont,9,FALSE),"")</f>
        <v>0</v>
      </c>
      <c r="D140" s="21">
        <f t="shared" si="79"/>
        <v>0</v>
      </c>
      <c r="E140" s="21">
        <f t="shared" si="80"/>
        <v>0</v>
      </c>
      <c r="F140" s="636">
        <f>IFERROR(VLOOKUP($C118,EQ_Cont,10,FALSE),"")</f>
        <v>0</v>
      </c>
      <c r="G140" s="637"/>
      <c r="H140" s="628">
        <f t="shared" si="81"/>
        <v>0</v>
      </c>
      <c r="I140" s="628"/>
      <c r="J140" s="628"/>
      <c r="K140" s="638">
        <f>AK119</f>
        <v>0</v>
      </c>
      <c r="L140" s="639"/>
      <c r="M140" s="639"/>
      <c r="N140" s="628">
        <f>IF('Información Force Account'!$I$1,K140*H140,K140*H140/2)</f>
        <v>0</v>
      </c>
      <c r="O140" s="628"/>
      <c r="P140" s="628"/>
      <c r="Q140" s="640">
        <f t="shared" si="82"/>
        <v>0</v>
      </c>
      <c r="R140" s="638"/>
      <c r="S140" s="638"/>
      <c r="T140" s="628">
        <f t="shared" si="83"/>
        <v>0</v>
      </c>
      <c r="U140" s="628"/>
      <c r="V140" s="628"/>
      <c r="W140" s="630">
        <f>AK118</f>
        <v>0</v>
      </c>
      <c r="X140" s="631"/>
      <c r="Y140" s="632"/>
      <c r="Z140" s="633">
        <f>IFERROR(VLOOKUP($C118,EQ_Cont,11,FALSE),"")</f>
        <v>0</v>
      </c>
      <c r="AA140" s="634">
        <v>0</v>
      </c>
      <c r="AB140" s="635">
        <v>0</v>
      </c>
      <c r="AC140" s="626">
        <f t="shared" si="84"/>
        <v>0</v>
      </c>
      <c r="AD140" s="627"/>
      <c r="AE140" s="376"/>
      <c r="AF140" s="626">
        <f t="shared" si="85"/>
        <v>0</v>
      </c>
      <c r="AG140" s="627"/>
      <c r="AH140" s="376"/>
      <c r="AI140" s="626">
        <f t="shared" si="86"/>
        <v>0</v>
      </c>
      <c r="AJ140" s="627"/>
      <c r="AK140" s="376"/>
      <c r="AM140" s="14"/>
    </row>
    <row r="141" spans="1:39" ht="12.5">
      <c r="B141" s="8">
        <v>5</v>
      </c>
      <c r="C141" s="215">
        <f>IFERROR(VLOOKUP($C120,EQ_Cont,9,FALSE),"")</f>
        <v>0</v>
      </c>
      <c r="D141" s="21">
        <f t="shared" si="79"/>
        <v>0</v>
      </c>
      <c r="E141" s="21">
        <f t="shared" si="80"/>
        <v>0</v>
      </c>
      <c r="F141" s="636">
        <f>IFERROR(VLOOKUP($C120,EQ_Cont,10,FALSE),"")</f>
        <v>0</v>
      </c>
      <c r="G141" s="637"/>
      <c r="H141" s="628">
        <f t="shared" si="81"/>
        <v>0</v>
      </c>
      <c r="I141" s="628"/>
      <c r="J141" s="628"/>
      <c r="K141" s="638">
        <f>AK121</f>
        <v>0</v>
      </c>
      <c r="L141" s="639"/>
      <c r="M141" s="639"/>
      <c r="N141" s="628">
        <f>IF('Información Force Account'!$I$1,K141*H141,K141*H141/2)</f>
        <v>0</v>
      </c>
      <c r="O141" s="628"/>
      <c r="P141" s="628"/>
      <c r="Q141" s="640">
        <f t="shared" si="82"/>
        <v>0</v>
      </c>
      <c r="R141" s="638"/>
      <c r="S141" s="638"/>
      <c r="T141" s="628">
        <f t="shared" si="83"/>
        <v>0</v>
      </c>
      <c r="U141" s="628"/>
      <c r="V141" s="628"/>
      <c r="W141" s="630">
        <f>AK120</f>
        <v>0</v>
      </c>
      <c r="X141" s="631"/>
      <c r="Y141" s="632"/>
      <c r="Z141" s="633">
        <f>IFERROR(VLOOKUP($C120,EQ_Cont,11,FALSE),"")</f>
        <v>0</v>
      </c>
      <c r="AA141" s="634">
        <v>0</v>
      </c>
      <c r="AB141" s="635">
        <v>0</v>
      </c>
      <c r="AC141" s="626">
        <f t="shared" si="84"/>
        <v>0</v>
      </c>
      <c r="AD141" s="627"/>
      <c r="AE141" s="376"/>
      <c r="AF141" s="626">
        <f t="shared" si="85"/>
        <v>0</v>
      </c>
      <c r="AG141" s="627"/>
      <c r="AH141" s="376"/>
      <c r="AI141" s="626">
        <f t="shared" si="86"/>
        <v>0</v>
      </c>
      <c r="AJ141" s="627"/>
      <c r="AK141" s="376"/>
      <c r="AM141" s="14"/>
    </row>
    <row r="142" spans="1:39" ht="12.5">
      <c r="B142" s="8">
        <v>6</v>
      </c>
      <c r="C142" s="215">
        <f>IFERROR(VLOOKUP($C122,EQ_Cont,9,FALSE),"")</f>
        <v>0</v>
      </c>
      <c r="D142" s="21">
        <f t="shared" si="79"/>
        <v>0</v>
      </c>
      <c r="E142" s="21">
        <f t="shared" si="80"/>
        <v>0</v>
      </c>
      <c r="F142" s="636">
        <f>IFERROR(VLOOKUP($C122,EQ_Cont,10,FALSE),"")</f>
        <v>0</v>
      </c>
      <c r="G142" s="637"/>
      <c r="H142" s="628">
        <f t="shared" si="81"/>
        <v>0</v>
      </c>
      <c r="I142" s="628"/>
      <c r="J142" s="628"/>
      <c r="K142" s="638">
        <f>AK123</f>
        <v>0</v>
      </c>
      <c r="L142" s="639"/>
      <c r="M142" s="639"/>
      <c r="N142" s="628">
        <f>IF('Información Force Account'!$I$1,K142*H142,K142*H142/2)</f>
        <v>0</v>
      </c>
      <c r="O142" s="628"/>
      <c r="P142" s="628"/>
      <c r="Q142" s="640">
        <f t="shared" si="82"/>
        <v>0</v>
      </c>
      <c r="R142" s="638"/>
      <c r="S142" s="638"/>
      <c r="T142" s="628">
        <f t="shared" si="83"/>
        <v>0</v>
      </c>
      <c r="U142" s="628"/>
      <c r="V142" s="628"/>
      <c r="W142" s="630">
        <f>AK122</f>
        <v>0</v>
      </c>
      <c r="X142" s="631"/>
      <c r="Y142" s="632"/>
      <c r="Z142" s="633">
        <f>IFERROR(VLOOKUP($C122,EQ_Cont,11,FALSE),"")</f>
        <v>0</v>
      </c>
      <c r="AA142" s="634">
        <v>0</v>
      </c>
      <c r="AB142" s="635">
        <v>0</v>
      </c>
      <c r="AC142" s="626">
        <f t="shared" si="84"/>
        <v>0</v>
      </c>
      <c r="AD142" s="627"/>
      <c r="AE142" s="376"/>
      <c r="AF142" s="626">
        <f t="shared" si="85"/>
        <v>0</v>
      </c>
      <c r="AG142" s="627"/>
      <c r="AH142" s="376"/>
      <c r="AI142" s="626">
        <f t="shared" si="86"/>
        <v>0</v>
      </c>
      <c r="AJ142" s="627"/>
      <c r="AK142" s="376"/>
      <c r="AM142" s="14"/>
    </row>
    <row r="143" spans="1:39" ht="12.5">
      <c r="B143" s="8">
        <v>7</v>
      </c>
      <c r="C143" s="215">
        <f>IFERROR(VLOOKUP($C124,EQ_Cont,9,FALSE),"")</f>
        <v>0</v>
      </c>
      <c r="D143" s="21">
        <f t="shared" si="79"/>
        <v>0</v>
      </c>
      <c r="E143" s="21">
        <f t="shared" si="80"/>
        <v>0</v>
      </c>
      <c r="F143" s="636">
        <f>IFERROR(VLOOKUP($C124,EQ_Cont,10,FALSE),"")</f>
        <v>0</v>
      </c>
      <c r="G143" s="637"/>
      <c r="H143" s="628">
        <f t="shared" si="81"/>
        <v>0</v>
      </c>
      <c r="I143" s="628"/>
      <c r="J143" s="628"/>
      <c r="K143" s="638">
        <f>AK125</f>
        <v>0</v>
      </c>
      <c r="L143" s="639"/>
      <c r="M143" s="639"/>
      <c r="N143" s="628">
        <f>IF('Información Force Account'!$I$1,K143*H143,K143*H143/2)</f>
        <v>0</v>
      </c>
      <c r="O143" s="628"/>
      <c r="P143" s="628"/>
      <c r="Q143" s="640">
        <f t="shared" si="82"/>
        <v>0</v>
      </c>
      <c r="R143" s="638"/>
      <c r="S143" s="638"/>
      <c r="T143" s="628">
        <f t="shared" si="83"/>
        <v>0</v>
      </c>
      <c r="U143" s="628"/>
      <c r="V143" s="628"/>
      <c r="W143" s="630">
        <f>AK124</f>
        <v>0</v>
      </c>
      <c r="X143" s="631"/>
      <c r="Y143" s="632"/>
      <c r="Z143" s="633">
        <f>IFERROR(VLOOKUP($C124,EQ_Cont,11,FALSE),"")</f>
        <v>0</v>
      </c>
      <c r="AA143" s="634">
        <v>0</v>
      </c>
      <c r="AB143" s="635">
        <v>0</v>
      </c>
      <c r="AC143" s="626">
        <f t="shared" si="84"/>
        <v>0</v>
      </c>
      <c r="AD143" s="627"/>
      <c r="AE143" s="376"/>
      <c r="AF143" s="626">
        <f t="shared" si="85"/>
        <v>0</v>
      </c>
      <c r="AG143" s="627"/>
      <c r="AH143" s="376"/>
      <c r="AI143" s="626">
        <f t="shared" si="86"/>
        <v>0</v>
      </c>
      <c r="AJ143" s="627"/>
      <c r="AK143" s="376"/>
      <c r="AM143" s="14"/>
    </row>
    <row r="144" spans="1:39" ht="12.5">
      <c r="B144" s="8">
        <v>8</v>
      </c>
      <c r="C144" s="215">
        <f>IFERROR(VLOOKUP($C126,EQ_Cont,9,FALSE),"")</f>
        <v>0</v>
      </c>
      <c r="D144" s="21">
        <f t="shared" si="79"/>
        <v>0</v>
      </c>
      <c r="E144" s="21">
        <f t="shared" si="80"/>
        <v>0</v>
      </c>
      <c r="F144" s="636">
        <f>IFERROR(VLOOKUP($C126,EQ_Cont,10,FALSE),"")</f>
        <v>0</v>
      </c>
      <c r="G144" s="637"/>
      <c r="H144" s="628">
        <f t="shared" si="81"/>
        <v>0</v>
      </c>
      <c r="I144" s="628"/>
      <c r="J144" s="628"/>
      <c r="K144" s="638">
        <f>AK127</f>
        <v>0</v>
      </c>
      <c r="L144" s="639"/>
      <c r="M144" s="639"/>
      <c r="N144" s="628">
        <f>IF('Información Force Account'!$I$1,K144*H144,K144*H144/2)</f>
        <v>0</v>
      </c>
      <c r="O144" s="628"/>
      <c r="P144" s="628"/>
      <c r="Q144" s="640">
        <f t="shared" si="82"/>
        <v>0</v>
      </c>
      <c r="R144" s="638"/>
      <c r="S144" s="638"/>
      <c r="T144" s="628">
        <f t="shared" si="83"/>
        <v>0</v>
      </c>
      <c r="U144" s="628"/>
      <c r="V144" s="628"/>
      <c r="W144" s="630">
        <f>AK126</f>
        <v>0</v>
      </c>
      <c r="X144" s="631"/>
      <c r="Y144" s="632"/>
      <c r="Z144" s="633">
        <f>IFERROR(VLOOKUP($C126,EQ_Cont,11,FALSE),"")</f>
        <v>0</v>
      </c>
      <c r="AA144" s="634">
        <v>0</v>
      </c>
      <c r="AB144" s="635">
        <v>0</v>
      </c>
      <c r="AC144" s="626">
        <f t="shared" si="84"/>
        <v>0</v>
      </c>
      <c r="AD144" s="627"/>
      <c r="AE144" s="376"/>
      <c r="AF144" s="626">
        <f t="shared" si="85"/>
        <v>0</v>
      </c>
      <c r="AG144" s="627"/>
      <c r="AH144" s="376"/>
      <c r="AI144" s="626">
        <f t="shared" si="86"/>
        <v>0</v>
      </c>
      <c r="AJ144" s="627"/>
      <c r="AK144" s="376"/>
      <c r="AM144" s="14"/>
    </row>
    <row r="145" spans="2:39" ht="12.5">
      <c r="B145" s="8">
        <v>9</v>
      </c>
      <c r="C145" s="215">
        <f>IFERROR(VLOOKUP($C128,EQ_Cont,9,FALSE),"")</f>
        <v>0</v>
      </c>
      <c r="D145" s="21">
        <f t="shared" si="79"/>
        <v>0</v>
      </c>
      <c r="E145" s="21">
        <f t="shared" si="80"/>
        <v>0</v>
      </c>
      <c r="F145" s="636">
        <f>IFERROR(VLOOKUP($C128,EQ_Cont,10,FALSE),"")</f>
        <v>0</v>
      </c>
      <c r="G145" s="637"/>
      <c r="H145" s="628">
        <f t="shared" si="81"/>
        <v>0</v>
      </c>
      <c r="I145" s="628"/>
      <c r="J145" s="628"/>
      <c r="K145" s="638">
        <f>AK129</f>
        <v>0</v>
      </c>
      <c r="L145" s="639"/>
      <c r="M145" s="639"/>
      <c r="N145" s="628">
        <f>IF('Información Force Account'!$I$1,K145*H145,K145*H145/2)</f>
        <v>0</v>
      </c>
      <c r="O145" s="628"/>
      <c r="P145" s="628"/>
      <c r="Q145" s="640">
        <f t="shared" si="82"/>
        <v>0</v>
      </c>
      <c r="R145" s="638"/>
      <c r="S145" s="638"/>
      <c r="T145" s="628">
        <f t="shared" si="83"/>
        <v>0</v>
      </c>
      <c r="U145" s="628"/>
      <c r="V145" s="628"/>
      <c r="W145" s="630">
        <f>AK128</f>
        <v>0</v>
      </c>
      <c r="X145" s="631"/>
      <c r="Y145" s="632"/>
      <c r="Z145" s="633">
        <f>IFERROR(VLOOKUP($C128,EQ_Cont,11,FALSE),"")</f>
        <v>0</v>
      </c>
      <c r="AA145" s="634">
        <v>0</v>
      </c>
      <c r="AB145" s="635">
        <v>0</v>
      </c>
      <c r="AC145" s="626">
        <f t="shared" si="84"/>
        <v>0</v>
      </c>
      <c r="AD145" s="627"/>
      <c r="AE145" s="376"/>
      <c r="AF145" s="626">
        <f t="shared" si="85"/>
        <v>0</v>
      </c>
      <c r="AG145" s="627"/>
      <c r="AH145" s="376"/>
      <c r="AI145" s="626">
        <f t="shared" si="86"/>
        <v>0</v>
      </c>
      <c r="AJ145" s="627"/>
      <c r="AK145" s="376"/>
      <c r="AM145" s="14"/>
    </row>
    <row r="146" spans="2:39" ht="12.5">
      <c r="B146" s="8">
        <v>10</v>
      </c>
      <c r="C146" s="215">
        <f>IFERROR(VLOOKUP($C130,EQ_Cont,9,FALSE),"")</f>
        <v>0</v>
      </c>
      <c r="D146" s="21">
        <f t="shared" si="79"/>
        <v>0</v>
      </c>
      <c r="E146" s="21">
        <f t="shared" si="80"/>
        <v>0</v>
      </c>
      <c r="F146" s="636">
        <f>IFERROR(VLOOKUP($C130,EQ_Cont,10,FALSE),"")</f>
        <v>0</v>
      </c>
      <c r="G146" s="637"/>
      <c r="H146" s="628">
        <f t="shared" si="81"/>
        <v>0</v>
      </c>
      <c r="I146" s="628"/>
      <c r="J146" s="628"/>
      <c r="K146" s="638">
        <f>AK131</f>
        <v>0</v>
      </c>
      <c r="L146" s="639"/>
      <c r="M146" s="639"/>
      <c r="N146" s="628">
        <f>IF('Información Force Account'!$I$1,K146*H146,K146*H146/2)</f>
        <v>0</v>
      </c>
      <c r="O146" s="628"/>
      <c r="P146" s="628"/>
      <c r="Q146" s="640">
        <f t="shared" si="82"/>
        <v>0</v>
      </c>
      <c r="R146" s="638"/>
      <c r="S146" s="638"/>
      <c r="T146" s="628">
        <f t="shared" si="83"/>
        <v>0</v>
      </c>
      <c r="U146" s="628"/>
      <c r="V146" s="628"/>
      <c r="W146" s="630">
        <f>AK130</f>
        <v>0</v>
      </c>
      <c r="X146" s="631"/>
      <c r="Y146" s="632"/>
      <c r="Z146" s="633">
        <f>IFERROR(VLOOKUP($C130,EQ_Cont,9,FALSE),"")</f>
        <v>0</v>
      </c>
      <c r="AA146" s="634">
        <v>0</v>
      </c>
      <c r="AB146" s="635">
        <v>0</v>
      </c>
      <c r="AC146" s="626">
        <f t="shared" si="84"/>
        <v>0</v>
      </c>
      <c r="AD146" s="627"/>
      <c r="AE146" s="376"/>
      <c r="AF146" s="626">
        <f t="shared" si="85"/>
        <v>0</v>
      </c>
      <c r="AG146" s="627"/>
      <c r="AH146" s="376"/>
      <c r="AI146" s="626">
        <f t="shared" si="86"/>
        <v>0</v>
      </c>
      <c r="AJ146" s="627"/>
      <c r="AK146" s="376"/>
      <c r="AM146" s="14"/>
    </row>
    <row r="147" spans="2:39" ht="12.5">
      <c r="F147" s="22"/>
      <c r="I147" s="23"/>
      <c r="J147" s="14"/>
      <c r="M147" s="24"/>
      <c r="N147" s="628">
        <f>SUM(N137:P146)</f>
        <v>0</v>
      </c>
      <c r="O147" s="628"/>
      <c r="P147" s="628"/>
      <c r="R147" s="23"/>
      <c r="T147" s="626">
        <f>SUM(T137:V146)</f>
        <v>0</v>
      </c>
      <c r="U147" s="627"/>
      <c r="V147" s="376"/>
      <c r="W147" s="2"/>
      <c r="X147" s="2"/>
      <c r="Y147" s="2"/>
      <c r="Z147" s="2"/>
      <c r="AA147" s="2"/>
      <c r="AB147" s="2"/>
      <c r="AC147" s="2"/>
      <c r="AD147" s="2"/>
      <c r="AE147" s="2"/>
      <c r="AF147" s="628">
        <f>SUM(AF137:AH146)</f>
        <v>0</v>
      </c>
      <c r="AG147" s="628"/>
      <c r="AH147" s="628"/>
      <c r="AI147" s="2"/>
      <c r="AJ147" s="2"/>
      <c r="AK147" s="2"/>
      <c r="AM147" s="14"/>
    </row>
    <row r="148" spans="2:39" ht="12.5">
      <c r="F148" s="22"/>
      <c r="I148" s="25"/>
      <c r="M148" s="26"/>
      <c r="N148" s="348" t="s">
        <v>195</v>
      </c>
      <c r="O148" s="348"/>
      <c r="P148" s="348"/>
      <c r="R148" s="25"/>
      <c r="T148" s="348" t="s">
        <v>196</v>
      </c>
      <c r="U148" s="348"/>
      <c r="V148" s="348"/>
      <c r="AF148" s="348" t="s">
        <v>197</v>
      </c>
      <c r="AG148" s="348"/>
      <c r="AH148" s="348"/>
      <c r="AM148" s="14"/>
    </row>
    <row r="149" spans="2:39" ht="12.75" customHeight="1"/>
    <row r="150" spans="2:39" ht="12.75" customHeight="1"/>
    <row r="151" spans="2:39" ht="12.75" customHeight="1"/>
    <row r="152" spans="2:39" ht="12.75" customHeight="1"/>
    <row r="153" spans="2:39" ht="12.75" customHeight="1"/>
    <row r="154" spans="2:39" ht="12.75" customHeight="1"/>
    <row r="155" spans="2:39" ht="12.75" customHeight="1"/>
    <row r="156" spans="2:39" ht="12.75" customHeight="1"/>
    <row r="157" spans="2:39" ht="12.75" customHeight="1"/>
    <row r="158" spans="2:39" ht="12.75" customHeight="1"/>
    <row r="159" spans="2:39" ht="12.75" customHeight="1"/>
    <row r="160" spans="2:39" ht="12.75" customHeight="1"/>
    <row r="161" ht="12.75" customHeight="1"/>
  </sheetData>
  <sheetProtection password="AE77" sheet="1" objects="1" scenarios="1"/>
  <mergeCells count="621">
    <mergeCell ref="B1:AK1"/>
    <mergeCell ref="B2:AK2"/>
    <mergeCell ref="B3:AG3"/>
    <mergeCell ref="B5:AK5"/>
    <mergeCell ref="AE7:AJ7"/>
    <mergeCell ref="Y6:Z6"/>
    <mergeCell ref="K6:N6"/>
    <mergeCell ref="O6:P6"/>
    <mergeCell ref="Q6:S6"/>
    <mergeCell ref="T6:U6"/>
    <mergeCell ref="V6:X6"/>
    <mergeCell ref="AE8:AJ8"/>
    <mergeCell ref="E8:J8"/>
    <mergeCell ref="B9:AK9"/>
    <mergeCell ref="C10:E10"/>
    <mergeCell ref="C11:E11"/>
    <mergeCell ref="E7:X7"/>
    <mergeCell ref="A12:A13"/>
    <mergeCell ref="B12:B13"/>
    <mergeCell ref="A14:A15"/>
    <mergeCell ref="B14:B15"/>
    <mergeCell ref="C12:E13"/>
    <mergeCell ref="C14:E15"/>
    <mergeCell ref="A16:A17"/>
    <mergeCell ref="B16:B17"/>
    <mergeCell ref="A18:A19"/>
    <mergeCell ref="B18:B19"/>
    <mergeCell ref="C16:E17"/>
    <mergeCell ref="C18:E19"/>
    <mergeCell ref="A20:A21"/>
    <mergeCell ref="B20:B21"/>
    <mergeCell ref="A22:A23"/>
    <mergeCell ref="B22:B23"/>
    <mergeCell ref="C20:E21"/>
    <mergeCell ref="C22:E23"/>
    <mergeCell ref="A24:A25"/>
    <mergeCell ref="B24:B25"/>
    <mergeCell ref="A26:A27"/>
    <mergeCell ref="B26:B27"/>
    <mergeCell ref="C24:E25"/>
    <mergeCell ref="C26:E27"/>
    <mergeCell ref="T33:V33"/>
    <mergeCell ref="A28:A29"/>
    <mergeCell ref="B28:B29"/>
    <mergeCell ref="A30:A31"/>
    <mergeCell ref="B30:B31"/>
    <mergeCell ref="C28:E29"/>
    <mergeCell ref="C30:E31"/>
    <mergeCell ref="F34:G34"/>
    <mergeCell ref="H34:J34"/>
    <mergeCell ref="K34:M34"/>
    <mergeCell ref="N34:P34"/>
    <mergeCell ref="Q34:S34"/>
    <mergeCell ref="F33:G33"/>
    <mergeCell ref="H33:J33"/>
    <mergeCell ref="K33:M33"/>
    <mergeCell ref="N33:P33"/>
    <mergeCell ref="Q33:S33"/>
    <mergeCell ref="AI34:AK34"/>
    <mergeCell ref="W33:Y33"/>
    <mergeCell ref="Z33:AB33"/>
    <mergeCell ref="AC33:AE33"/>
    <mergeCell ref="AF33:AH33"/>
    <mergeCell ref="AI33:AK33"/>
    <mergeCell ref="T35:V35"/>
    <mergeCell ref="T34:V34"/>
    <mergeCell ref="W34:Y34"/>
    <mergeCell ref="Z34:AB34"/>
    <mergeCell ref="AC34:AE34"/>
    <mergeCell ref="AF34:AH34"/>
    <mergeCell ref="W35:Y35"/>
    <mergeCell ref="Z35:AB35"/>
    <mergeCell ref="AC35:AE35"/>
    <mergeCell ref="AF35:AH35"/>
    <mergeCell ref="AI35:AK35"/>
    <mergeCell ref="F36:G36"/>
    <mergeCell ref="H36:J36"/>
    <mergeCell ref="K36:M36"/>
    <mergeCell ref="N36:P36"/>
    <mergeCell ref="Q36:S36"/>
    <mergeCell ref="F35:G35"/>
    <mergeCell ref="H35:J35"/>
    <mergeCell ref="K35:M35"/>
    <mergeCell ref="N35:P35"/>
    <mergeCell ref="Q35:S35"/>
    <mergeCell ref="T36:V36"/>
    <mergeCell ref="W37:Y37"/>
    <mergeCell ref="AC37:AE37"/>
    <mergeCell ref="AF37:AH37"/>
    <mergeCell ref="W36:Y36"/>
    <mergeCell ref="Z36:AB36"/>
    <mergeCell ref="AC36:AE36"/>
    <mergeCell ref="AF36:AH36"/>
    <mergeCell ref="AI36:AK36"/>
    <mergeCell ref="AI37:AK37"/>
    <mergeCell ref="F38:G38"/>
    <mergeCell ref="H38:J38"/>
    <mergeCell ref="K38:M38"/>
    <mergeCell ref="N38:P38"/>
    <mergeCell ref="Q38:S38"/>
    <mergeCell ref="F37:G37"/>
    <mergeCell ref="T38:V38"/>
    <mergeCell ref="W38:Y38"/>
    <mergeCell ref="AC38:AE38"/>
    <mergeCell ref="AF38:AH38"/>
    <mergeCell ref="AI38:AK38"/>
    <mergeCell ref="Z37:AB37"/>
    <mergeCell ref="Z38:AB38"/>
    <mergeCell ref="H37:J37"/>
    <mergeCell ref="K37:M37"/>
    <mergeCell ref="N37:P37"/>
    <mergeCell ref="Q37:S37"/>
    <mergeCell ref="T37:V37"/>
    <mergeCell ref="B52:AK52"/>
    <mergeCell ref="F39:G39"/>
    <mergeCell ref="H39:J39"/>
    <mergeCell ref="K39:M39"/>
    <mergeCell ref="N39:P39"/>
    <mergeCell ref="Q39:S39"/>
    <mergeCell ref="T39:V39"/>
    <mergeCell ref="B51:AK51"/>
    <mergeCell ref="W39:Y39"/>
    <mergeCell ref="AC39:AE39"/>
    <mergeCell ref="AF39:AH39"/>
    <mergeCell ref="AI39:AK39"/>
    <mergeCell ref="F40:G40"/>
    <mergeCell ref="H40:J40"/>
    <mergeCell ref="K40:M40"/>
    <mergeCell ref="N40:P40"/>
    <mergeCell ref="Q40:S40"/>
    <mergeCell ref="T41:V41"/>
    <mergeCell ref="T40:V40"/>
    <mergeCell ref="W40:Y40"/>
    <mergeCell ref="AC40:AE40"/>
    <mergeCell ref="N41:P41"/>
    <mergeCell ref="Q41:S41"/>
    <mergeCell ref="AF40:AH40"/>
    <mergeCell ref="AI41:AK41"/>
    <mergeCell ref="AF43:AH43"/>
    <mergeCell ref="AI43:AK43"/>
    <mergeCell ref="W45:Y45"/>
    <mergeCell ref="W44:Y44"/>
    <mergeCell ref="AC44:AE44"/>
    <mergeCell ref="AI40:AK40"/>
    <mergeCell ref="F42:G42"/>
    <mergeCell ref="H42:J42"/>
    <mergeCell ref="K42:M42"/>
    <mergeCell ref="N42:P42"/>
    <mergeCell ref="Q42:S42"/>
    <mergeCell ref="F41:G41"/>
    <mergeCell ref="H41:J41"/>
    <mergeCell ref="K41:M41"/>
    <mergeCell ref="AI42:AK42"/>
    <mergeCell ref="F44:G44"/>
    <mergeCell ref="H44:J44"/>
    <mergeCell ref="K44:M44"/>
    <mergeCell ref="N44:P44"/>
    <mergeCell ref="Q44:S44"/>
    <mergeCell ref="F43:G43"/>
    <mergeCell ref="H43:J43"/>
    <mergeCell ref="K43:M43"/>
    <mergeCell ref="H45:J45"/>
    <mergeCell ref="K45:M45"/>
    <mergeCell ref="N45:P45"/>
    <mergeCell ref="Q45:S45"/>
    <mergeCell ref="T45:V45"/>
    <mergeCell ref="T44:V44"/>
    <mergeCell ref="AF45:AH45"/>
    <mergeCell ref="AI45:AK45"/>
    <mergeCell ref="F46:G46"/>
    <mergeCell ref="H46:J46"/>
    <mergeCell ref="K46:M46"/>
    <mergeCell ref="N46:P46"/>
    <mergeCell ref="Q46:S46"/>
    <mergeCell ref="Z45:AB45"/>
    <mergeCell ref="T46:V46"/>
    <mergeCell ref="F45:G45"/>
    <mergeCell ref="W46:Y46"/>
    <mergeCell ref="AC46:AE46"/>
    <mergeCell ref="AF46:AH46"/>
    <mergeCell ref="AI46:AK46"/>
    <mergeCell ref="Z46:AB46"/>
    <mergeCell ref="AF44:AH44"/>
    <mergeCell ref="AI44:AK44"/>
    <mergeCell ref="Z44:AB44"/>
    <mergeCell ref="Z39:AB39"/>
    <mergeCell ref="Z40:AB40"/>
    <mergeCell ref="Z41:AB41"/>
    <mergeCell ref="AC45:AE45"/>
    <mergeCell ref="N47:P47"/>
    <mergeCell ref="T47:V47"/>
    <mergeCell ref="AF47:AH47"/>
    <mergeCell ref="N48:P48"/>
    <mergeCell ref="T48:V48"/>
    <mergeCell ref="AF48:AH48"/>
    <mergeCell ref="T43:V43"/>
    <mergeCell ref="T42:V42"/>
    <mergeCell ref="W42:Y42"/>
    <mergeCell ref="AC42:AE42"/>
    <mergeCell ref="AF42:AH42"/>
    <mergeCell ref="W41:Y41"/>
    <mergeCell ref="AC41:AE41"/>
    <mergeCell ref="AF41:AH41"/>
    <mergeCell ref="N43:P43"/>
    <mergeCell ref="Q43:S43"/>
    <mergeCell ref="Z42:AB42"/>
    <mergeCell ref="Z43:AB43"/>
    <mergeCell ref="W43:Y43"/>
    <mergeCell ref="AC43:AE43"/>
    <mergeCell ref="B53:AG53"/>
    <mergeCell ref="B55:AK55"/>
    <mergeCell ref="AE57:AJ57"/>
    <mergeCell ref="E58:J58"/>
    <mergeCell ref="AE58:AJ58"/>
    <mergeCell ref="E57:X57"/>
    <mergeCell ref="Y56:Z56"/>
    <mergeCell ref="K56:N56"/>
    <mergeCell ref="O56:P56"/>
    <mergeCell ref="Q56:S56"/>
    <mergeCell ref="T56:U56"/>
    <mergeCell ref="V56:X56"/>
    <mergeCell ref="B59:AK59"/>
    <mergeCell ref="C60:E60"/>
    <mergeCell ref="C61:E61"/>
    <mergeCell ref="A62:A63"/>
    <mergeCell ref="B62:B63"/>
    <mergeCell ref="C62:E63"/>
    <mergeCell ref="A64:A65"/>
    <mergeCell ref="B64:B65"/>
    <mergeCell ref="C64:E65"/>
    <mergeCell ref="A66:A67"/>
    <mergeCell ref="B66:B67"/>
    <mergeCell ref="C66:E67"/>
    <mergeCell ref="A68:A69"/>
    <mergeCell ref="B68:B69"/>
    <mergeCell ref="C68:E69"/>
    <mergeCell ref="A70:A71"/>
    <mergeCell ref="B70:B71"/>
    <mergeCell ref="C70:E71"/>
    <mergeCell ref="A72:A73"/>
    <mergeCell ref="B72:B73"/>
    <mergeCell ref="C72:E73"/>
    <mergeCell ref="A74:A75"/>
    <mergeCell ref="B74:B75"/>
    <mergeCell ref="C74:E75"/>
    <mergeCell ref="A76:A77"/>
    <mergeCell ref="B76:B77"/>
    <mergeCell ref="C76:E77"/>
    <mergeCell ref="A78:A79"/>
    <mergeCell ref="B78:B79"/>
    <mergeCell ref="C78:E79"/>
    <mergeCell ref="A80:A81"/>
    <mergeCell ref="B80:B81"/>
    <mergeCell ref="C80:E81"/>
    <mergeCell ref="F83:G83"/>
    <mergeCell ref="H83:J83"/>
    <mergeCell ref="K83:M83"/>
    <mergeCell ref="N83:P83"/>
    <mergeCell ref="Q83:S83"/>
    <mergeCell ref="T83:V83"/>
    <mergeCell ref="W83:Y83"/>
    <mergeCell ref="Z83:AB83"/>
    <mergeCell ref="AC83:AE83"/>
    <mergeCell ref="AF83:AH83"/>
    <mergeCell ref="AI83:AK83"/>
    <mergeCell ref="F84:G84"/>
    <mergeCell ref="H84:J84"/>
    <mergeCell ref="K84:M84"/>
    <mergeCell ref="N84:P84"/>
    <mergeCell ref="Q84:S84"/>
    <mergeCell ref="T84:V84"/>
    <mergeCell ref="W84:Y84"/>
    <mergeCell ref="Z84:AB84"/>
    <mergeCell ref="AC84:AE84"/>
    <mergeCell ref="AF84:AH84"/>
    <mergeCell ref="AI84:AK84"/>
    <mergeCell ref="AF85:AH85"/>
    <mergeCell ref="AI85:AK85"/>
    <mergeCell ref="F86:G86"/>
    <mergeCell ref="H86:J86"/>
    <mergeCell ref="K86:M86"/>
    <mergeCell ref="N86:P86"/>
    <mergeCell ref="Q86:S86"/>
    <mergeCell ref="T86:V86"/>
    <mergeCell ref="W86:Y86"/>
    <mergeCell ref="Z86:AB86"/>
    <mergeCell ref="AC86:AE86"/>
    <mergeCell ref="AF86:AH86"/>
    <mergeCell ref="AI86:AK86"/>
    <mergeCell ref="F85:G85"/>
    <mergeCell ref="H85:J85"/>
    <mergeCell ref="K85:M85"/>
    <mergeCell ref="N85:P85"/>
    <mergeCell ref="Q85:S85"/>
    <mergeCell ref="T85:V85"/>
    <mergeCell ref="W85:Y85"/>
    <mergeCell ref="Z85:AB85"/>
    <mergeCell ref="AC85:AE85"/>
    <mergeCell ref="AF87:AH87"/>
    <mergeCell ref="AI87:AK87"/>
    <mergeCell ref="F88:G88"/>
    <mergeCell ref="H88:J88"/>
    <mergeCell ref="K88:M88"/>
    <mergeCell ref="N88:P88"/>
    <mergeCell ref="Q88:S88"/>
    <mergeCell ref="T88:V88"/>
    <mergeCell ref="W88:Y88"/>
    <mergeCell ref="Z88:AB88"/>
    <mergeCell ref="AC88:AE88"/>
    <mergeCell ref="AF88:AH88"/>
    <mergeCell ref="AI88:AK88"/>
    <mergeCell ref="F87:G87"/>
    <mergeCell ref="H87:J87"/>
    <mergeCell ref="K87:M87"/>
    <mergeCell ref="N87:P87"/>
    <mergeCell ref="Q87:S87"/>
    <mergeCell ref="T87:V87"/>
    <mergeCell ref="W87:Y87"/>
    <mergeCell ref="Z87:AB87"/>
    <mergeCell ref="AC87:AE87"/>
    <mergeCell ref="AF89:AH89"/>
    <mergeCell ref="AI89:AK89"/>
    <mergeCell ref="F90:G90"/>
    <mergeCell ref="H90:J90"/>
    <mergeCell ref="K90:M90"/>
    <mergeCell ref="N90:P90"/>
    <mergeCell ref="Q90:S90"/>
    <mergeCell ref="T90:V90"/>
    <mergeCell ref="W90:Y90"/>
    <mergeCell ref="Z90:AB90"/>
    <mergeCell ref="AC90:AE90"/>
    <mergeCell ref="AF90:AH90"/>
    <mergeCell ref="AI90:AK90"/>
    <mergeCell ref="F89:G89"/>
    <mergeCell ref="H89:J89"/>
    <mergeCell ref="K89:M89"/>
    <mergeCell ref="N89:P89"/>
    <mergeCell ref="Q89:S89"/>
    <mergeCell ref="T89:V89"/>
    <mergeCell ref="W89:Y89"/>
    <mergeCell ref="Z89:AB89"/>
    <mergeCell ref="AC89:AE89"/>
    <mergeCell ref="AF91:AH91"/>
    <mergeCell ref="AI91:AK91"/>
    <mergeCell ref="F92:G92"/>
    <mergeCell ref="H92:J92"/>
    <mergeCell ref="K92:M92"/>
    <mergeCell ref="N92:P92"/>
    <mergeCell ref="Q92:S92"/>
    <mergeCell ref="T92:V92"/>
    <mergeCell ref="W92:Y92"/>
    <mergeCell ref="Z92:AB92"/>
    <mergeCell ref="AC92:AE92"/>
    <mergeCell ref="AF92:AH92"/>
    <mergeCell ref="AI92:AK92"/>
    <mergeCell ref="F91:G91"/>
    <mergeCell ref="H91:J91"/>
    <mergeCell ref="K91:M91"/>
    <mergeCell ref="N91:P91"/>
    <mergeCell ref="Q91:S91"/>
    <mergeCell ref="T91:V91"/>
    <mergeCell ref="W91:Y91"/>
    <mergeCell ref="Z91:AB91"/>
    <mergeCell ref="AC91:AE91"/>
    <mergeCell ref="AF93:AH93"/>
    <mergeCell ref="AI93:AK93"/>
    <mergeCell ref="F94:G94"/>
    <mergeCell ref="H94:J94"/>
    <mergeCell ref="K94:M94"/>
    <mergeCell ref="N94:P94"/>
    <mergeCell ref="Q94:S94"/>
    <mergeCell ref="T94:V94"/>
    <mergeCell ref="W94:Y94"/>
    <mergeCell ref="Z94:AB94"/>
    <mergeCell ref="AC94:AE94"/>
    <mergeCell ref="AF94:AH94"/>
    <mergeCell ref="AI94:AK94"/>
    <mergeCell ref="F93:G93"/>
    <mergeCell ref="H93:J93"/>
    <mergeCell ref="K93:M93"/>
    <mergeCell ref="N93:P93"/>
    <mergeCell ref="Q93:S93"/>
    <mergeCell ref="T93:V93"/>
    <mergeCell ref="W93:Y93"/>
    <mergeCell ref="Z93:AB93"/>
    <mergeCell ref="AC93:AE93"/>
    <mergeCell ref="AF95:AH95"/>
    <mergeCell ref="AI95:AK95"/>
    <mergeCell ref="F96:G96"/>
    <mergeCell ref="H96:J96"/>
    <mergeCell ref="K96:M96"/>
    <mergeCell ref="N96:P96"/>
    <mergeCell ref="Q96:S96"/>
    <mergeCell ref="T96:V96"/>
    <mergeCell ref="W96:Y96"/>
    <mergeCell ref="Z96:AB96"/>
    <mergeCell ref="AC96:AE96"/>
    <mergeCell ref="AF96:AH96"/>
    <mergeCell ref="AI96:AK96"/>
    <mergeCell ref="F95:G95"/>
    <mergeCell ref="H95:J95"/>
    <mergeCell ref="K95:M95"/>
    <mergeCell ref="N95:P95"/>
    <mergeCell ref="Q95:S95"/>
    <mergeCell ref="T95:V95"/>
    <mergeCell ref="W95:Y95"/>
    <mergeCell ref="Z95:AB95"/>
    <mergeCell ref="AC95:AE95"/>
    <mergeCell ref="N97:P97"/>
    <mergeCell ref="T97:V97"/>
    <mergeCell ref="AF97:AH97"/>
    <mergeCell ref="AE107:AJ107"/>
    <mergeCell ref="E108:J108"/>
    <mergeCell ref="AE108:AJ108"/>
    <mergeCell ref="E107:X107"/>
    <mergeCell ref="K106:N106"/>
    <mergeCell ref="O106:P106"/>
    <mergeCell ref="Q106:S106"/>
    <mergeCell ref="T106:U106"/>
    <mergeCell ref="Y106:Z106"/>
    <mergeCell ref="B105:AK105"/>
    <mergeCell ref="N98:P98"/>
    <mergeCell ref="T98:V98"/>
    <mergeCell ref="AF98:AH98"/>
    <mergeCell ref="B101:AK101"/>
    <mergeCell ref="B102:AK102"/>
    <mergeCell ref="B103:AG103"/>
    <mergeCell ref="B109:AK109"/>
    <mergeCell ref="C110:E110"/>
    <mergeCell ref="C111:E111"/>
    <mergeCell ref="A112:A113"/>
    <mergeCell ref="B112:B113"/>
    <mergeCell ref="C112:E113"/>
    <mergeCell ref="A114:A115"/>
    <mergeCell ref="B114:B115"/>
    <mergeCell ref="C114:E115"/>
    <mergeCell ref="A116:A117"/>
    <mergeCell ref="B116:B117"/>
    <mergeCell ref="C116:E117"/>
    <mergeCell ref="A118:A119"/>
    <mergeCell ref="B118:B119"/>
    <mergeCell ref="C118:E119"/>
    <mergeCell ref="A120:A121"/>
    <mergeCell ref="B120:B121"/>
    <mergeCell ref="C120:E121"/>
    <mergeCell ref="A122:A123"/>
    <mergeCell ref="B122:B123"/>
    <mergeCell ref="C122:E123"/>
    <mergeCell ref="A124:A125"/>
    <mergeCell ref="B124:B125"/>
    <mergeCell ref="C124:E125"/>
    <mergeCell ref="A126:A127"/>
    <mergeCell ref="B126:B127"/>
    <mergeCell ref="C126:E127"/>
    <mergeCell ref="A128:A129"/>
    <mergeCell ref="B128:B129"/>
    <mergeCell ref="C128:E129"/>
    <mergeCell ref="A130:A131"/>
    <mergeCell ref="B130:B131"/>
    <mergeCell ref="C130:E131"/>
    <mergeCell ref="F133:G133"/>
    <mergeCell ref="H133:J133"/>
    <mergeCell ref="K133:M133"/>
    <mergeCell ref="AI133:AK133"/>
    <mergeCell ref="F134:G134"/>
    <mergeCell ref="H134:J134"/>
    <mergeCell ref="K134:M134"/>
    <mergeCell ref="N134:P134"/>
    <mergeCell ref="Q134:S134"/>
    <mergeCell ref="T134:V134"/>
    <mergeCell ref="W134:Y134"/>
    <mergeCell ref="Z134:AB134"/>
    <mergeCell ref="AC134:AE134"/>
    <mergeCell ref="AF134:AH134"/>
    <mergeCell ref="AI134:AK134"/>
    <mergeCell ref="T135:V135"/>
    <mergeCell ref="W135:Y135"/>
    <mergeCell ref="AC135:AE135"/>
    <mergeCell ref="AF135:AH135"/>
    <mergeCell ref="N133:P133"/>
    <mergeCell ref="Q133:S133"/>
    <mergeCell ref="T133:V133"/>
    <mergeCell ref="W133:Y133"/>
    <mergeCell ref="Z133:AB133"/>
    <mergeCell ref="AC133:AE133"/>
    <mergeCell ref="AF133:AH133"/>
    <mergeCell ref="AI135:AK135"/>
    <mergeCell ref="F136:G136"/>
    <mergeCell ref="H136:J136"/>
    <mergeCell ref="K136:M136"/>
    <mergeCell ref="N136:P136"/>
    <mergeCell ref="Q136:S136"/>
    <mergeCell ref="T136:V136"/>
    <mergeCell ref="F137:G137"/>
    <mergeCell ref="H137:J137"/>
    <mergeCell ref="K137:M137"/>
    <mergeCell ref="N137:P137"/>
    <mergeCell ref="Q137:S137"/>
    <mergeCell ref="Z135:AB135"/>
    <mergeCell ref="AI137:AK137"/>
    <mergeCell ref="W136:Y136"/>
    <mergeCell ref="Z136:AB136"/>
    <mergeCell ref="AC136:AE136"/>
    <mergeCell ref="AF136:AH136"/>
    <mergeCell ref="AI136:AK136"/>
    <mergeCell ref="F135:G135"/>
    <mergeCell ref="H135:J135"/>
    <mergeCell ref="K135:M135"/>
    <mergeCell ref="N135:P135"/>
    <mergeCell ref="Q135:S135"/>
    <mergeCell ref="T137:V137"/>
    <mergeCell ref="W137:Y137"/>
    <mergeCell ref="Z137:AB137"/>
    <mergeCell ref="AC137:AE137"/>
    <mergeCell ref="AF137:AH137"/>
    <mergeCell ref="F139:G139"/>
    <mergeCell ref="H139:J139"/>
    <mergeCell ref="K139:M139"/>
    <mergeCell ref="N139:P139"/>
    <mergeCell ref="Q139:S139"/>
    <mergeCell ref="F138:G138"/>
    <mergeCell ref="H138:J138"/>
    <mergeCell ref="K138:M138"/>
    <mergeCell ref="N138:P138"/>
    <mergeCell ref="Q138:S138"/>
    <mergeCell ref="AI139:AK139"/>
    <mergeCell ref="W138:Y138"/>
    <mergeCell ref="Z138:AB138"/>
    <mergeCell ref="AC138:AE138"/>
    <mergeCell ref="AF138:AH138"/>
    <mergeCell ref="AI138:AK138"/>
    <mergeCell ref="T140:V140"/>
    <mergeCell ref="T139:V139"/>
    <mergeCell ref="W139:Y139"/>
    <mergeCell ref="Z139:AB139"/>
    <mergeCell ref="AC139:AE139"/>
    <mergeCell ref="AF139:AH139"/>
    <mergeCell ref="T138:V138"/>
    <mergeCell ref="F141:G141"/>
    <mergeCell ref="H141:J141"/>
    <mergeCell ref="K141:M141"/>
    <mergeCell ref="N141:P141"/>
    <mergeCell ref="Q141:S141"/>
    <mergeCell ref="F140:G140"/>
    <mergeCell ref="H140:J140"/>
    <mergeCell ref="K140:M140"/>
    <mergeCell ref="N140:P140"/>
    <mergeCell ref="Q140:S140"/>
    <mergeCell ref="AI141:AK141"/>
    <mergeCell ref="W140:Y140"/>
    <mergeCell ref="Z140:AB140"/>
    <mergeCell ref="AC140:AE140"/>
    <mergeCell ref="AF140:AH140"/>
    <mergeCell ref="AI140:AK140"/>
    <mergeCell ref="T142:V142"/>
    <mergeCell ref="T141:V141"/>
    <mergeCell ref="W141:Y141"/>
    <mergeCell ref="Z141:AB141"/>
    <mergeCell ref="AC141:AE141"/>
    <mergeCell ref="AF141:AH141"/>
    <mergeCell ref="AI143:AK143"/>
    <mergeCell ref="W142:Y142"/>
    <mergeCell ref="Z142:AB142"/>
    <mergeCell ref="AC142:AE142"/>
    <mergeCell ref="AF142:AH142"/>
    <mergeCell ref="AI142:AK142"/>
    <mergeCell ref="F143:G143"/>
    <mergeCell ref="H143:J143"/>
    <mergeCell ref="K143:M143"/>
    <mergeCell ref="N143:P143"/>
    <mergeCell ref="Q143:S143"/>
    <mergeCell ref="F142:G142"/>
    <mergeCell ref="H142:J142"/>
    <mergeCell ref="K142:M142"/>
    <mergeCell ref="N142:P142"/>
    <mergeCell ref="Q142:S142"/>
    <mergeCell ref="F145:G145"/>
    <mergeCell ref="H145:J145"/>
    <mergeCell ref="K145:M145"/>
    <mergeCell ref="N145:P145"/>
    <mergeCell ref="Q145:S145"/>
    <mergeCell ref="F144:G144"/>
    <mergeCell ref="H144:J144"/>
    <mergeCell ref="K144:M144"/>
    <mergeCell ref="N144:P144"/>
    <mergeCell ref="Q144:S144"/>
    <mergeCell ref="F146:G146"/>
    <mergeCell ref="H146:J146"/>
    <mergeCell ref="K146:M146"/>
    <mergeCell ref="N146:P146"/>
    <mergeCell ref="Q146:S146"/>
    <mergeCell ref="T146:V146"/>
    <mergeCell ref="AF148:AH148"/>
    <mergeCell ref="W146:Y146"/>
    <mergeCell ref="Z146:AB146"/>
    <mergeCell ref="AC146:AE146"/>
    <mergeCell ref="AF146:AH146"/>
    <mergeCell ref="AI146:AK146"/>
    <mergeCell ref="AF147:AH147"/>
    <mergeCell ref="N148:P148"/>
    <mergeCell ref="T148:V148"/>
    <mergeCell ref="N147:P147"/>
    <mergeCell ref="T147:V147"/>
    <mergeCell ref="T145:V145"/>
    <mergeCell ref="V106:X106"/>
    <mergeCell ref="W145:Y145"/>
    <mergeCell ref="T144:V144"/>
    <mergeCell ref="T143:V143"/>
    <mergeCell ref="W143:Y143"/>
    <mergeCell ref="Z145:AB145"/>
    <mergeCell ref="AC145:AE145"/>
    <mergeCell ref="AF145:AH145"/>
    <mergeCell ref="AI145:AK145"/>
    <mergeCell ref="W144:Y144"/>
    <mergeCell ref="Z144:AB144"/>
    <mergeCell ref="AC144:AE144"/>
    <mergeCell ref="AF144:AH144"/>
    <mergeCell ref="AI144:AK144"/>
    <mergeCell ref="Z143:AB143"/>
    <mergeCell ref="AC143:AE143"/>
    <mergeCell ref="AF143:AH143"/>
  </mergeCells>
  <phoneticPr fontId="0" type="noConversion"/>
  <conditionalFormatting sqref="F10:AJ10 F12:AK31 D47:AK47 F60:AJ60 F62:AK81 D97:AK97 F110:AJ110 F112:AK131 D147:AK147">
    <cfRule type="cellIs" dxfId="3" priority="8" stopIfTrue="1" operator="equal">
      <formula>0</formula>
    </cfRule>
  </conditionalFormatting>
  <conditionalFormatting sqref="C37:AK46 C87:AK96 C137:AK146">
    <cfRule type="cellIs" dxfId="2" priority="7" stopIfTrue="1" operator="equal">
      <formula>0</formula>
    </cfRule>
  </conditionalFormatting>
  <conditionalFormatting sqref="O6:P6 T6:U6 Y6:Z6">
    <cfRule type="cellIs" dxfId="1" priority="2" stopIfTrue="1" operator="equal">
      <formula>0</formula>
    </cfRule>
  </conditionalFormatting>
  <conditionalFormatting sqref="AE7:AJ8">
    <cfRule type="cellIs" dxfId="0" priority="1" stopIfTrue="1" operator="equal">
      <formula>0</formula>
    </cfRule>
  </conditionalFormatting>
  <printOptions horizontalCentered="1" verticalCentered="1"/>
  <pageMargins left="0" right="0" top="0" bottom="0" header="0" footer="0"/>
  <pageSetup paperSize="5" scale="75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Q22"/>
  <sheetViews>
    <sheetView showGridLines="0" showRowColHeaders="0" topLeftCell="AR1" workbookViewId="0">
      <selection activeCell="AQ1" sqref="A1:AQ1048576"/>
    </sheetView>
  </sheetViews>
  <sheetFormatPr defaultColWidth="8.90625" defaultRowHeight="12.5"/>
  <cols>
    <col min="1" max="4" width="12.6328125" style="243" hidden="1" customWidth="1"/>
    <col min="5" max="5" width="24.6328125" style="243" hidden="1" customWidth="1"/>
    <col min="6" max="8" width="12.6328125" style="243" hidden="1" customWidth="1"/>
    <col min="9" max="9" width="12.6328125" style="237" hidden="1" customWidth="1"/>
    <col min="10" max="10" width="12.6328125" style="245" hidden="1" customWidth="1"/>
    <col min="11" max="11" width="8.81640625" style="239" hidden="1" customWidth="1"/>
    <col min="12" max="17" width="12.6328125" style="230" hidden="1" customWidth="1"/>
    <col min="18" max="19" width="12.6328125" style="240" hidden="1" customWidth="1"/>
    <col min="20" max="20" width="12.6328125" style="230" hidden="1" customWidth="1"/>
    <col min="21" max="21" width="8.81640625" style="239" hidden="1" customWidth="1"/>
    <col min="22" max="30" width="12.6328125" style="230" hidden="1" customWidth="1"/>
    <col min="31" max="31" width="12.6328125" style="239" hidden="1" customWidth="1"/>
    <col min="32" max="32" width="8.81640625" style="239" hidden="1" customWidth="1"/>
    <col min="33" max="35" width="12.6328125" style="240" hidden="1" customWidth="1"/>
    <col min="36" max="36" width="12.6328125" style="239" hidden="1" customWidth="1"/>
    <col min="37" max="37" width="8.90625" style="229" hidden="1" customWidth="1"/>
    <col min="38" max="40" width="12.81640625" style="230" hidden="1" customWidth="1"/>
    <col min="41" max="41" width="0" style="229" hidden="1" customWidth="1"/>
    <col min="42" max="42" width="12.81640625" style="239" hidden="1" customWidth="1"/>
    <col min="43" max="43" width="0" style="229" hidden="1" customWidth="1"/>
    <col min="44" max="16384" width="8.90625" style="229"/>
  </cols>
  <sheetData>
    <row r="1" spans="1:43">
      <c r="D1" s="235"/>
      <c r="H1" s="244"/>
      <c r="J1" s="238">
        <f>COUNTA(Loc_PC)</f>
        <v>0</v>
      </c>
      <c r="T1" s="241">
        <f>COUNTA(Loc_EQ)</f>
        <v>0</v>
      </c>
      <c r="V1" s="235"/>
      <c r="W1" s="235"/>
      <c r="X1" s="235"/>
      <c r="AB1" s="242"/>
      <c r="AD1" s="242"/>
      <c r="AE1" s="241">
        <f>COUNTA(Loc_MS)</f>
        <v>0</v>
      </c>
      <c r="AJ1" s="241">
        <f>COUNTA(Pag_CO)</f>
        <v>0</v>
      </c>
      <c r="AM1" s="242"/>
      <c r="AN1" s="241">
        <f>COUNTA(MY_FA)</f>
        <v>0</v>
      </c>
      <c r="AQ1" s="313"/>
    </row>
    <row r="2" spans="1:43">
      <c r="A2" s="235"/>
      <c r="B2" s="235"/>
      <c r="C2" s="235"/>
      <c r="D2" s="235"/>
      <c r="E2" s="235"/>
      <c r="F2" s="235"/>
      <c r="G2" s="235"/>
      <c r="H2" s="236"/>
      <c r="V2" s="243"/>
      <c r="W2" s="243"/>
      <c r="X2" s="243"/>
      <c r="AB2" s="242"/>
      <c r="AD2" s="242"/>
      <c r="AM2" s="242"/>
    </row>
    <row r="3" spans="1:43">
      <c r="D3" s="235"/>
      <c r="H3" s="244"/>
      <c r="V3" s="243"/>
      <c r="W3" s="243"/>
      <c r="X3" s="243"/>
      <c r="AD3" s="242"/>
    </row>
    <row r="4" spans="1:43">
      <c r="H4" s="244"/>
      <c r="AD4" s="242"/>
    </row>
    <row r="5" spans="1:43">
      <c r="H5" s="244"/>
      <c r="AD5" s="242"/>
      <c r="AH5" s="246"/>
      <c r="AI5" s="246"/>
    </row>
    <row r="6" spans="1:43">
      <c r="H6" s="244"/>
    </row>
    <row r="7" spans="1:43">
      <c r="H7" s="244"/>
    </row>
    <row r="8" spans="1:43">
      <c r="D8" s="235"/>
      <c r="H8" s="244"/>
    </row>
    <row r="9" spans="1:43">
      <c r="H9" s="244"/>
    </row>
    <row r="10" spans="1:43">
      <c r="H10" s="244"/>
    </row>
    <row r="11" spans="1:43">
      <c r="H11" s="244"/>
    </row>
    <row r="12" spans="1:43">
      <c r="H12" s="244"/>
    </row>
    <row r="13" spans="1:43">
      <c r="H13" s="244"/>
    </row>
    <row r="14" spans="1:43">
      <c r="H14" s="244"/>
    </row>
    <row r="15" spans="1:43">
      <c r="H15" s="244"/>
    </row>
    <row r="16" spans="1:43">
      <c r="H16" s="244"/>
    </row>
    <row r="17" spans="8:8">
      <c r="H17" s="244"/>
    </row>
    <row r="18" spans="8:8">
      <c r="H18" s="244"/>
    </row>
    <row r="19" spans="8:8">
      <c r="H19" s="244"/>
    </row>
    <row r="20" spans="8:8">
      <c r="H20" s="244"/>
    </row>
    <row r="21" spans="8:8">
      <c r="H21" s="244"/>
    </row>
    <row r="22" spans="8:8">
      <c r="H22" s="244"/>
    </row>
  </sheetData>
  <sheetProtection password="AE77" sheet="1" objects="1" scenarios="1" sort="0"/>
  <sortState xmlns:xlrd2="http://schemas.microsoft.com/office/spreadsheetml/2017/richdata2" ref="AP1:AP22">
    <sortCondition ref="AP1"/>
  </sortState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39</vt:i4>
      </vt:variant>
    </vt:vector>
  </HeadingPairs>
  <TitlesOfParts>
    <vt:vector size="46" baseType="lpstr">
      <vt:lpstr>Información Force Account</vt:lpstr>
      <vt:lpstr>Empleados Contratista</vt:lpstr>
      <vt:lpstr>Equipo Contratista</vt:lpstr>
      <vt:lpstr>Resumen FA (Anual)</vt:lpstr>
      <vt:lpstr>Resumen FA (Mensual)</vt:lpstr>
      <vt:lpstr>Inf. Diario</vt:lpstr>
      <vt:lpstr>Equipo FA</vt:lpstr>
      <vt:lpstr>DB_EQ</vt:lpstr>
      <vt:lpstr>DB_MS</vt:lpstr>
      <vt:lpstr>DB_PC</vt:lpstr>
      <vt:lpstr>DBSize_CO</vt:lpstr>
      <vt:lpstr>DBSize_EQ</vt:lpstr>
      <vt:lpstr>DBSize_MS</vt:lpstr>
      <vt:lpstr>DBSize_MY</vt:lpstr>
      <vt:lpstr>DBSize_PC</vt:lpstr>
      <vt:lpstr>Desc_EQ</vt:lpstr>
      <vt:lpstr>Desc_Equipos</vt:lpstr>
      <vt:lpstr>Desc_MS</vt:lpstr>
      <vt:lpstr>EQ_Cont</vt:lpstr>
      <vt:lpstr>EQ_HAct</vt:lpstr>
      <vt:lpstr>EQ_HInac</vt:lpstr>
      <vt:lpstr>Equipos</vt:lpstr>
      <vt:lpstr>Fecha_Inf_EQ</vt:lpstr>
      <vt:lpstr>Fecha_Inf_MS</vt:lpstr>
      <vt:lpstr>Fecha_Inf_PC</vt:lpstr>
      <vt:lpstr>Loc_EQ</vt:lpstr>
      <vt:lpstr>Loc_MS</vt:lpstr>
      <vt:lpstr>Loc_PC</vt:lpstr>
      <vt:lpstr>Mes_FA_EQ</vt:lpstr>
      <vt:lpstr>Mes_FA_MS</vt:lpstr>
      <vt:lpstr>Mes_FA_PC</vt:lpstr>
      <vt:lpstr>MY_FA</vt:lpstr>
      <vt:lpstr>Nombre_Apellidos</vt:lpstr>
      <vt:lpstr>Nombre_y_Apellidos</vt:lpstr>
      <vt:lpstr>Pag_CO</vt:lpstr>
      <vt:lpstr>Pag_EQ</vt:lpstr>
      <vt:lpstr>Pag_Loc_EQ</vt:lpstr>
      <vt:lpstr>Pag_MS</vt:lpstr>
      <vt:lpstr>Pag_PC</vt:lpstr>
      <vt:lpstr>'Equipo FA'!Print_Area</vt:lpstr>
      <vt:lpstr>'Inf. Diario'!Print_Area</vt:lpstr>
      <vt:lpstr>'Resumen FA (Anual)'!Print_Area</vt:lpstr>
      <vt:lpstr>'Resumen FA (Mensual)'!Print_Area</vt:lpstr>
      <vt:lpstr>Total_MS</vt:lpstr>
      <vt:lpstr>Total_PC</vt:lpstr>
      <vt:lpstr>Union_PC</vt:lpstr>
    </vt:vector>
  </TitlesOfParts>
  <Company>Gobierno de Puerto Rico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Autoridad de Carreteras</dc:creator>
  <cp:lastModifiedBy>Samuel Corchado</cp:lastModifiedBy>
  <cp:lastPrinted>2017-11-30T02:38:38Z</cp:lastPrinted>
  <dcterms:created xsi:type="dcterms:W3CDTF">2003-04-29T20:02:35Z</dcterms:created>
  <dcterms:modified xsi:type="dcterms:W3CDTF">2022-01-21T02:02:20Z</dcterms:modified>
</cp:coreProperties>
</file>