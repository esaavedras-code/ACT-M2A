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0" lockWindows="0" workbookAlgorithmName="SHA-512" workbookHashValue="8JUod8ee7IZgtOM+7mUlg1voTeHUn02mAt62kEY8n4XIqRx7m81ahqACGz4JY8x31SdauZVNt+Etb79A0V/5sw==" workbookSaltValue="gQnq+VDUaZU0s7yZ1z+ZLw==" workbookSpinCount="100000"/>
  <bookViews>
    <workbookView visibility="visible" minimized="0" showHorizontalScroll="1" showVerticalScroll="1" showSheetTabs="1" xWindow="-28920" yWindow="-1950" windowWidth="29040" windowHeight="15720" tabRatio="600" firstSheet="0" activeTab="0" autoFilterDateGrouping="1"/>
  </bookViews>
  <sheets>
    <sheet xmlns:r="http://schemas.openxmlformats.org/officeDocument/2006/relationships" name="CML Report" sheetId="1" state="visible" r:id="rId1"/>
    <sheet xmlns:r="http://schemas.openxmlformats.org/officeDocument/2006/relationships" name="Data Analysis" sheetId="2" state="veryHidden" r:id="rId2"/>
  </sheets>
  <definedNames>
    <definedName name="_xlnm.Print_Titles" localSheetId="0">'CML Report'!$3:$20</definedName>
    <definedName name="_xlnm.Print_Area" localSheetId="0">'CML Report'!$B$3:$U$385</definedName>
  </definedNames>
  <calcPr calcId="191028" fullCalcOnLoad="1"/>
</workbook>
</file>

<file path=xl/styles.xml><?xml version="1.0" encoding="utf-8"?>
<styleSheet xmlns="http://schemas.openxmlformats.org/spreadsheetml/2006/main">
  <numFmts count="7">
    <numFmt numFmtId="164" formatCode="_(&quot;$&quot;* #,##0.00_);_(&quot;$&quot;* \(#,##0.00\);_(&quot;$&quot;* &quot;-&quot;??_);_(@_)"/>
    <numFmt numFmtId="165" formatCode="[$-409]d\-mmm\-yyyy;@"/>
    <numFmt numFmtId="166" formatCode="#,##0\ &quot;Days&quot;"/>
    <numFmt numFmtId="167" formatCode="\A\C\-000000"/>
    <numFmt numFmtId="168" formatCode="[$-409]d\-mmm\-yy;@"/>
    <numFmt numFmtId="169" formatCode="&quot;$&quot;#,##0.00"/>
    <numFmt numFmtId="170" formatCode="&quot;$&quot;#,##0.00_);[Red]\(&quot;$&quot;#,##0.00\)"/>
  </numFmts>
  <fonts count="33">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b val="1"/>
      <i val="1"/>
      <color theme="1"/>
      <sz val="16"/>
      <scheme val="minor"/>
    </font>
    <font>
      <name val="Tahoma"/>
      <family val="2"/>
      <b val="1"/>
      <color rgb="FF000000"/>
      <sz val="9"/>
    </font>
    <font>
      <name val="Tahoma"/>
      <family val="2"/>
      <color rgb="FF000000"/>
      <sz val="9"/>
    </font>
    <font>
      <name val="Calibri"/>
      <family val="2"/>
      <b val="1"/>
      <color theme="1"/>
      <sz val="11"/>
      <scheme val="minor"/>
    </font>
    <font>
      <name val="Calibri"/>
      <family val="2"/>
      <color theme="1"/>
      <sz val="10.5"/>
      <scheme val="minor"/>
    </font>
    <font>
      <name val="Calibri"/>
      <family val="2"/>
      <b val="1"/>
      <color theme="1"/>
      <sz val="10.5"/>
      <scheme val="minor"/>
    </font>
    <font>
      <name val="Calibri"/>
      <family val="2"/>
      <color theme="1"/>
      <sz val="10"/>
      <scheme val="minor"/>
    </font>
    <font>
      <name val="Calibri"/>
      <family val="2"/>
      <b val="1"/>
      <color theme="1"/>
      <sz val="10"/>
      <scheme val="minor"/>
    </font>
    <font>
      <name val="Calibri"/>
      <family val="2"/>
      <b val="1"/>
      <sz val="11"/>
      <scheme val="minor"/>
    </font>
    <font>
      <name val="Tahoma"/>
      <family val="2"/>
      <b val="1"/>
      <color indexed="81"/>
      <sz val="9"/>
    </font>
    <font>
      <name val="Tahoma"/>
      <family val="2"/>
      <color indexed="81"/>
      <sz val="9"/>
    </font>
    <font>
      <name val="Calibri"/>
      <family val="2"/>
      <color rgb="FF000000"/>
      <sz val="11"/>
    </font>
    <font>
      <name val="Calibri"/>
      <family val="2"/>
      <b val="1"/>
      <color rgb="FF000000"/>
      <sz val="11"/>
    </font>
    <font>
      <name val="Calibri"/>
      <family val="2"/>
      <b val="1"/>
      <color theme="1"/>
      <sz val="9"/>
      <scheme val="minor"/>
    </font>
    <font>
      <name val="Calibri"/>
      <family val="2"/>
      <b val="1"/>
      <color theme="1"/>
      <sz val="12"/>
      <u val="single"/>
      <scheme val="minor"/>
    </font>
    <font>
      <name val="Calibri"/>
      <family val="2"/>
      <b val="1"/>
      <sz val="10.5"/>
      <scheme val="minor"/>
    </font>
    <font>
      <name val="Calibri"/>
      <family val="2"/>
      <b val="1"/>
      <color theme="0"/>
      <sz val="11"/>
      <scheme val="minor"/>
    </font>
    <font>
      <name val="Calibri"/>
      <family val="2"/>
      <b val="1"/>
      <color rgb="FFFF0000"/>
      <sz val="11"/>
      <scheme val="minor"/>
    </font>
    <font>
      <name val="Calibri"/>
      <family val="2"/>
      <sz val="8"/>
      <scheme val="minor"/>
    </font>
    <font>
      <name val="Calibri"/>
      <family val="2"/>
      <b val="1"/>
      <color theme="4"/>
      <sz val="11"/>
      <scheme val="minor"/>
    </font>
    <font>
      <name val="Calibri"/>
      <family val="2"/>
      <b val="1"/>
      <color theme="4"/>
      <sz val="10.5"/>
      <scheme val="minor"/>
    </font>
  </fonts>
  <fills count="19">
    <fill>
      <patternFill/>
    </fill>
    <fill>
      <patternFill patternType="gray125"/>
    </fill>
    <fill>
      <patternFill patternType="solid">
        <fgColor theme="2"/>
        <bgColor indexed="64"/>
      </patternFill>
    </fill>
    <fill>
      <patternFill patternType="solid">
        <fgColor theme="0" tint="-0.0499893185216834"/>
        <bgColor indexed="64"/>
      </patternFill>
    </fill>
    <fill>
      <patternFill patternType="solid">
        <fgColor theme="0"/>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5" tint="0.3999755851924192"/>
        <bgColor indexed="64"/>
      </patternFill>
    </fill>
    <fill>
      <patternFill patternType="solid">
        <fgColor theme="7" tint="0.7999816888943144"/>
        <bgColor indexed="64"/>
      </patternFill>
    </fill>
    <fill>
      <patternFill patternType="solid">
        <fgColor theme="7" tint="0.3999755851924192"/>
        <bgColor indexed="64"/>
      </patternFill>
    </fill>
    <fill>
      <patternFill patternType="solid">
        <fgColor theme="9" tint="0.5999938962981048"/>
        <bgColor indexed="64"/>
      </patternFill>
    </fill>
    <fill>
      <patternFill patternType="solid">
        <fgColor theme="9" tint="0.3999755851924192"/>
        <bgColor indexed="64"/>
      </patternFill>
    </fill>
    <fill>
      <patternFill patternType="solid">
        <fgColor theme="2" tint="-0.09997863704336681"/>
        <bgColor indexed="64"/>
      </patternFill>
    </fill>
    <fill>
      <patternFill patternType="solid">
        <fgColor theme="9" tint="0.7999816888943144"/>
        <bgColor indexed="64"/>
      </patternFill>
    </fill>
    <fill>
      <patternFill patternType="solid">
        <fgColor theme="1"/>
        <bgColor indexed="64"/>
      </patternFill>
    </fill>
    <fill>
      <patternFill patternType="solid">
        <fgColor rgb="FFFF0000"/>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10" fillId="0" borderId="0"/>
    <xf numFmtId="44" fontId="10" fillId="0" borderId="0"/>
    <xf numFmtId="9" fontId="10" fillId="0" borderId="0"/>
  </cellStyleXfs>
  <cellXfs count="353">
    <xf numFmtId="0" fontId="0" fillId="0" borderId="0" pivotButton="0" quotePrefix="0" xfId="0"/>
    <xf numFmtId="9" fontId="0" fillId="0" borderId="0" applyAlignment="1" pivotButton="0" quotePrefix="0" xfId="2">
      <alignment horizontal="center" vertical="center"/>
    </xf>
    <xf numFmtId="10" fontId="15" fillId="0" borderId="0" applyAlignment="1" pivotButton="0" quotePrefix="0" xfId="2">
      <alignment horizontal="center" vertical="center"/>
    </xf>
    <xf numFmtId="0" fontId="0" fillId="0" borderId="0" applyAlignment="1" pivotButton="0" quotePrefix="0" xfId="0">
      <alignment horizontal="center" vertical="center"/>
    </xf>
    <xf numFmtId="14" fontId="0" fillId="0" borderId="0" applyAlignment="1" pivotButton="0" quotePrefix="0" xfId="0">
      <alignment horizontal="center" vertical="center"/>
    </xf>
    <xf numFmtId="9" fontId="0" fillId="0" borderId="0" applyAlignment="1" pivotButton="0" quotePrefix="0" xfId="2">
      <alignment horizontal="center" vertical="center"/>
    </xf>
    <xf numFmtId="164" fontId="0" fillId="0" borderId="0" applyAlignment="1" pivotButton="0" quotePrefix="0" xfId="1">
      <alignment horizontal="center" vertical="center"/>
    </xf>
    <xf numFmtId="1" fontId="0" fillId="0" borderId="0" applyAlignment="1" pivotButton="0" quotePrefix="0" xfId="0">
      <alignment horizontal="center" vertical="center"/>
    </xf>
    <xf numFmtId="0" fontId="11" fillId="8" borderId="2"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xf>
    <xf numFmtId="0" fontId="15" fillId="0" borderId="0" applyAlignment="1" pivotButton="0" quotePrefix="0" xfId="0">
      <alignment horizontal="center"/>
    </xf>
    <xf numFmtId="165" fontId="0" fillId="0" borderId="0" applyAlignment="1" pivotButton="0" quotePrefix="0" xfId="0">
      <alignment horizontal="center" vertical="center"/>
    </xf>
    <xf numFmtId="166" fontId="0" fillId="0" borderId="0" applyAlignment="1" pivotButton="0" quotePrefix="0" xfId="0">
      <alignment horizontal="center" vertical="center"/>
    </xf>
    <xf numFmtId="15" fontId="0" fillId="0" borderId="0" applyAlignment="1" pivotButton="0" quotePrefix="0" xfId="0">
      <alignment horizontal="center" vertical="center"/>
    </xf>
    <xf numFmtId="10" fontId="0" fillId="0" borderId="0" applyAlignment="1" pivotButton="0" quotePrefix="0" xfId="0">
      <alignment horizontal="center" vertical="center"/>
    </xf>
    <xf numFmtId="0" fontId="15" fillId="0" borderId="0" pivotButton="0" quotePrefix="0" xfId="0"/>
    <xf numFmtId="167" fontId="0" fillId="0" borderId="0" applyAlignment="1" pivotButton="0" quotePrefix="0" xfId="0">
      <alignment vertical="center"/>
    </xf>
    <xf numFmtId="168" fontId="0" fillId="0" borderId="0" applyAlignment="1" pivotButton="0" quotePrefix="0" xfId="0">
      <alignment horizontal="right"/>
    </xf>
    <xf numFmtId="0" fontId="16" fillId="0" borderId="0" applyAlignment="1" pivotButton="0" quotePrefix="0" xfId="0">
      <alignment horizontal="left" vertical="top" wrapText="1"/>
    </xf>
    <xf numFmtId="0" fontId="15" fillId="0" borderId="0" applyAlignment="1" pivotButton="0" quotePrefix="0" xfId="0">
      <alignment horizontal="center" vertical="top" wrapText="1"/>
    </xf>
    <xf numFmtId="169" fontId="0" fillId="0" borderId="0" pivotButton="0" quotePrefix="0" xfId="0"/>
    <xf numFmtId="0" fontId="8" fillId="3" borderId="1" applyAlignment="1" pivotButton="0" quotePrefix="0" xfId="0">
      <alignment horizontal="center" vertical="center"/>
    </xf>
    <xf numFmtId="169" fontId="8" fillId="0" borderId="0" applyAlignment="1" pivotButton="0" quotePrefix="0" xfId="0">
      <alignment horizontal="center" vertical="center"/>
    </xf>
    <xf numFmtId="169" fontId="15" fillId="0" borderId="0" applyAlignment="1" pivotButton="0" quotePrefix="0" xfId="0">
      <alignment horizontal="center" vertical="center"/>
    </xf>
    <xf numFmtId="169" fontId="15" fillId="0" borderId="0" applyAlignment="1" pivotButton="0" quotePrefix="0" xfId="0">
      <alignment vertical="center"/>
    </xf>
    <xf numFmtId="164" fontId="0" fillId="0" borderId="0" pivotButton="0" quotePrefix="0" xfId="0"/>
    <xf numFmtId="0" fontId="18" fillId="0" borderId="0" applyAlignment="1" pivotButton="0" quotePrefix="0" xfId="0">
      <alignment horizontal="center" vertical="center" wrapText="1"/>
    </xf>
    <xf numFmtId="0" fontId="0" fillId="0" borderId="0" applyAlignment="1" pivotButton="0" quotePrefix="0" xfId="0">
      <alignment horizontal="center"/>
    </xf>
    <xf numFmtId="0" fontId="19" fillId="0" borderId="0" applyAlignment="1" pivotButton="0" quotePrefix="0" xfId="0">
      <alignment horizontal="center" vertical="center"/>
    </xf>
    <xf numFmtId="169" fontId="18" fillId="0" borderId="0" applyAlignment="1" pivotButton="0" quotePrefix="0" xfId="0">
      <alignment horizontal="center"/>
    </xf>
    <xf numFmtId="0" fontId="15" fillId="13" borderId="1" applyAlignment="1" pivotButton="0" quotePrefix="0" xfId="0">
      <alignment horizontal="center" vertical="center"/>
    </xf>
    <xf numFmtId="170" fontId="15" fillId="2" borderId="1" applyAlignment="1" pivotButton="0" quotePrefix="0" xfId="0">
      <alignment horizontal="center" vertical="center"/>
    </xf>
    <xf numFmtId="0" fontId="11" fillId="0" borderId="0" pivotButton="0" quotePrefix="0" xfId="0"/>
    <xf numFmtId="170" fontId="11" fillId="0" borderId="0" pivotButton="0" quotePrefix="0" xfId="0"/>
    <xf numFmtId="169" fontId="11" fillId="0" borderId="0" pivotButton="0" quotePrefix="0" xfId="0"/>
    <xf numFmtId="49" fontId="11" fillId="0" borderId="0" applyAlignment="1" pivotButton="0" quotePrefix="0" xfId="0">
      <alignment vertical="center" wrapText="1"/>
    </xf>
    <xf numFmtId="0" fontId="15" fillId="0" borderId="11" applyAlignment="1" pivotButton="0" quotePrefix="0" xfId="0">
      <alignment horizontal="center" vertical="center"/>
    </xf>
    <xf numFmtId="170" fontId="15" fillId="0" borderId="1" applyAlignment="1" pivotButton="0" quotePrefix="0" xfId="0">
      <alignment horizontal="center" vertical="center"/>
    </xf>
    <xf numFmtId="0" fontId="17" fillId="3" borderId="1" applyAlignment="1" pivotButton="0" quotePrefix="0" xfId="0">
      <alignment horizontal="center" vertical="center" wrapText="1"/>
    </xf>
    <xf numFmtId="10" fontId="0" fillId="0" borderId="0" applyAlignment="1" pivotButton="0" quotePrefix="0" xfId="2">
      <alignment horizontal="center" vertical="center"/>
    </xf>
    <xf numFmtId="170" fontId="15" fillId="16" borderId="1" applyAlignment="1" pivotButton="0" quotePrefix="0" xfId="0">
      <alignment horizontal="center" vertical="center"/>
    </xf>
    <xf numFmtId="170" fontId="25" fillId="2" borderId="1" applyAlignment="1" pivotButton="0" quotePrefix="0" xfId="0">
      <alignment horizontal="center" vertical="center" wrapText="1"/>
    </xf>
    <xf numFmtId="170" fontId="18" fillId="8" borderId="1" applyAlignment="1" pivotButton="0" quotePrefix="0" xfId="0">
      <alignment horizontal="center" vertical="center"/>
    </xf>
    <xf numFmtId="170" fontId="8" fillId="9" borderId="1" applyAlignment="1" pivotButton="0" quotePrefix="0" xfId="0">
      <alignment horizontal="center" vertical="center"/>
    </xf>
    <xf numFmtId="170" fontId="8" fillId="11" borderId="1" applyAlignment="1" pivotButton="0" quotePrefix="0" xfId="0">
      <alignment horizontal="center" vertical="center"/>
    </xf>
    <xf numFmtId="170" fontId="15" fillId="9" borderId="1" applyAlignment="1" pivotButton="0" quotePrefix="0" xfId="0">
      <alignment horizontal="center" vertical="center"/>
    </xf>
    <xf numFmtId="170" fontId="15" fillId="11" borderId="1" applyAlignment="1" pivotButton="0" quotePrefix="0" xfId="2">
      <alignment horizontal="center" vertical="center"/>
    </xf>
    <xf numFmtId="10" fontId="18" fillId="0" borderId="0" applyAlignment="1" pivotButton="0" quotePrefix="0" xfId="1">
      <alignment vertical="center"/>
    </xf>
    <xf numFmtId="0" fontId="0" fillId="0" borderId="0" applyAlignment="1" pivotButton="0" quotePrefix="0" xfId="0">
      <alignment vertical="center"/>
    </xf>
    <xf numFmtId="170" fontId="18" fillId="0" borderId="0" applyAlignment="1" pivotButton="0" quotePrefix="0" xfId="0">
      <alignment vertical="center"/>
    </xf>
    <xf numFmtId="166" fontId="0" fillId="0" borderId="0" applyAlignment="1" pivotButton="0" quotePrefix="0" xfId="0">
      <alignment vertical="center"/>
    </xf>
    <xf numFmtId="0" fontId="11" fillId="0" borderId="0" applyAlignment="1" pivotButton="0" quotePrefix="0" xfId="0">
      <alignment vertical="center"/>
    </xf>
    <xf numFmtId="170" fontId="11" fillId="0" borderId="0" applyAlignment="1" pivotButton="0" quotePrefix="0" xfId="0">
      <alignment vertical="center"/>
    </xf>
    <xf numFmtId="170" fontId="11" fillId="0" borderId="0" applyAlignment="1" pivotButton="0" quotePrefix="0" xfId="1">
      <alignment vertical="center"/>
    </xf>
    <xf numFmtId="166" fontId="11" fillId="0" borderId="0" applyAlignment="1" pivotButton="0" quotePrefix="0" xfId="0">
      <alignment horizontal="center" vertical="center"/>
    </xf>
    <xf numFmtId="49"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5" fillId="0" borderId="1" applyAlignment="1" pivotButton="0" quotePrefix="0" xfId="0">
      <alignment horizontal="center" vertical="center" wrapText="1"/>
    </xf>
    <xf numFmtId="165" fontId="0" fillId="0" borderId="0" applyAlignment="1" pivotButton="0" quotePrefix="0" xfId="0">
      <alignment horizontal="left" vertical="center"/>
    </xf>
    <xf numFmtId="1" fontId="18" fillId="0" borderId="1" applyAlignment="1" applyProtection="1" pivotButton="0" quotePrefix="0" xfId="0">
      <alignment horizontal="center" vertical="center"/>
      <protection locked="0" hidden="0"/>
    </xf>
    <xf numFmtId="10" fontId="18" fillId="0" borderId="11" applyAlignment="1" applyProtection="1" pivotButton="0" quotePrefix="0" xfId="1">
      <alignment horizontal="center" vertical="center"/>
      <protection locked="0" hidden="0"/>
    </xf>
    <xf numFmtId="166" fontId="18" fillId="0" borderId="1" applyAlignment="1" applyProtection="1" pivotButton="0" quotePrefix="0" xfId="0">
      <alignment horizontal="center" vertical="center"/>
      <protection locked="0" hidden="0"/>
    </xf>
    <xf numFmtId="0" fontId="15" fillId="0" borderId="0" applyAlignment="1" pivotButton="0" quotePrefix="0" xfId="0">
      <alignment horizontal="left" vertical="top" wrapText="1"/>
    </xf>
    <xf numFmtId="0" fontId="27" fillId="0" borderId="1"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166" fontId="15" fillId="3" borderId="1" applyAlignment="1" pivotButton="0" quotePrefix="0" xfId="0">
      <alignment horizontal="center" vertical="center"/>
    </xf>
    <xf numFmtId="170" fontId="15" fillId="3" borderId="1" applyAlignment="1" pivotButton="0" quotePrefix="0" xfId="1">
      <alignment horizontal="center" vertical="center"/>
    </xf>
    <xf numFmtId="170" fontId="11" fillId="0" borderId="0" applyAlignment="1" pivotButton="0" quotePrefix="0" xfId="0">
      <alignment horizontal="center" vertical="center"/>
    </xf>
    <xf numFmtId="170" fontId="15" fillId="11" borderId="1" applyAlignment="1" pivotButton="0" quotePrefix="0" xfId="1">
      <alignment horizontal="center" vertical="center"/>
    </xf>
    <xf numFmtId="170" fontId="18" fillId="8" borderId="1" applyAlignment="1" pivotButton="0" quotePrefix="0" xfId="1">
      <alignment horizontal="center" vertical="center"/>
    </xf>
    <xf numFmtId="170" fontId="15" fillId="11" borderId="1" applyAlignment="1" pivotButton="0" quotePrefix="0" xfId="0">
      <alignment horizontal="center" vertical="center"/>
    </xf>
    <xf numFmtId="0" fontId="15" fillId="0" borderId="0" applyAlignment="1" pivotButton="0" quotePrefix="0" xfId="0">
      <alignment vertical="center"/>
    </xf>
    <xf numFmtId="0" fontId="0" fillId="0" borderId="0" applyAlignment="1" pivotButton="0" quotePrefix="0" xfId="0">
      <alignment horizontal="right" vertical="top"/>
    </xf>
    <xf numFmtId="0" fontId="15" fillId="0" borderId="0" applyAlignment="1" pivotButton="0" quotePrefix="0" xfId="0">
      <alignment horizontal="left" vertical="center"/>
    </xf>
    <xf numFmtId="0" fontId="15" fillId="0" borderId="1" applyAlignment="1" pivotButton="0" quotePrefix="0" xfId="0">
      <alignment horizontal="center" vertical="center"/>
    </xf>
    <xf numFmtId="0" fontId="18" fillId="2" borderId="1" applyAlignment="1" pivotButton="0" quotePrefix="0" xfId="0">
      <alignment horizontal="center" vertical="center" wrapText="1"/>
    </xf>
    <xf numFmtId="167" fontId="11" fillId="0" borderId="0" applyAlignment="1" pivotButton="0" quotePrefix="0" xfId="0">
      <alignment vertical="center" wrapText="1"/>
    </xf>
    <xf numFmtId="167" fontId="11" fillId="0" borderId="0" applyAlignment="1" pivotButton="0" quotePrefix="0" xfId="0">
      <alignment vertical="center"/>
    </xf>
    <xf numFmtId="170" fontId="18" fillId="0" borderId="0" applyAlignment="1" pivotButton="0" quotePrefix="0" xfId="1">
      <alignment horizontal="center" vertical="center"/>
    </xf>
    <xf numFmtId="170" fontId="18" fillId="0" borderId="0" applyAlignment="1" pivotButton="0" quotePrefix="0" xfId="0">
      <alignment horizontal="center" vertical="center"/>
    </xf>
    <xf numFmtId="169" fontId="15" fillId="0" borderId="3" applyAlignment="1" pivotButton="0" quotePrefix="0" xfId="0">
      <alignment horizontal="left" vertical="center"/>
    </xf>
    <xf numFmtId="0" fontId="15" fillId="0" borderId="3" applyAlignment="1" pivotButton="0" quotePrefix="0" xfId="0">
      <alignment vertical="center"/>
    </xf>
    <xf numFmtId="169" fontId="15" fillId="0" borderId="3" applyAlignment="1" pivotButton="0" quotePrefix="0" xfId="0">
      <alignment horizontal="center" vertical="center"/>
    </xf>
    <xf numFmtId="170" fontId="7" fillId="4" borderId="1" applyAlignment="1" applyProtection="1" pivotButton="0" quotePrefix="0" xfId="0">
      <alignment horizontal="center" vertical="center"/>
      <protection locked="0" hidden="0"/>
    </xf>
    <xf numFmtId="169" fontId="6" fillId="4" borderId="1" applyAlignment="1" applyProtection="1" pivotButton="0" quotePrefix="0" xfId="0">
      <alignment horizontal="center" vertical="center"/>
      <protection locked="0" hidden="0"/>
    </xf>
    <xf numFmtId="170" fontId="6" fillId="4" borderId="1" applyAlignment="1" applyProtection="1" pivotButton="0" quotePrefix="0" xfId="0">
      <alignment horizontal="center" vertical="center"/>
      <protection locked="0" hidden="0"/>
    </xf>
    <xf numFmtId="0" fontId="15" fillId="0" borderId="0" applyAlignment="1" pivotButton="0" quotePrefix="0" xfId="0">
      <alignment horizontal="center" vertical="center" wrapText="1"/>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1" fontId="18" fillId="0" borderId="0" applyAlignment="1" pivotButton="0" quotePrefix="0" xfId="0">
      <alignment horizontal="center" vertical="center"/>
    </xf>
    <xf numFmtId="10" fontId="18" fillId="0" borderId="0" applyAlignment="1" pivotButton="0" quotePrefix="0" xfId="1">
      <alignment horizontal="center" vertical="center"/>
    </xf>
    <xf numFmtId="166" fontId="18" fillId="0" borderId="0" applyAlignment="1" pivotButton="0" quotePrefix="0" xfId="0">
      <alignment horizontal="center" vertical="center"/>
    </xf>
    <xf numFmtId="169" fontId="4" fillId="4" borderId="1" applyAlignment="1" applyProtection="1" pivotButton="0" quotePrefix="0" xfId="0">
      <alignment horizontal="center" vertical="center"/>
      <protection locked="0" hidden="0"/>
    </xf>
    <xf numFmtId="170" fontId="4" fillId="4" borderId="1" applyAlignment="1" applyProtection="1" pivotButton="0" quotePrefix="0" xfId="0">
      <alignment horizontal="center" vertical="center"/>
      <protection locked="0" hidden="0"/>
    </xf>
    <xf numFmtId="169" fontId="1" fillId="4" borderId="1" applyAlignment="1" applyProtection="1" pivotButton="0" quotePrefix="0" xfId="0">
      <alignment horizontal="center" vertical="center"/>
      <protection locked="0" hidden="0"/>
    </xf>
    <xf numFmtId="170" fontId="18" fillId="0" borderId="11" applyAlignment="1" applyProtection="1" pivotButton="0" quotePrefix="0" xfId="0">
      <alignment horizontal="center" vertical="center"/>
      <protection locked="0" hidden="0"/>
    </xf>
    <xf numFmtId="170" fontId="18" fillId="0" borderId="3" applyAlignment="1" applyProtection="1" pivotButton="0" quotePrefix="0" xfId="0">
      <alignment horizontal="center" vertical="center"/>
      <protection locked="0" hidden="0"/>
    </xf>
    <xf numFmtId="170" fontId="18" fillId="0" borderId="12" applyAlignment="1" applyProtection="1" pivotButton="0" quotePrefix="0" xfId="0">
      <alignment horizontal="center" vertical="center"/>
      <protection locked="0" hidden="0"/>
    </xf>
    <xf numFmtId="170" fontId="18" fillId="8" borderId="1" applyAlignment="1" pivotButton="0" quotePrefix="0" xfId="1">
      <alignment horizontal="center" vertical="center"/>
    </xf>
    <xf numFmtId="0" fontId="0" fillId="0" borderId="1" applyAlignment="1" applyProtection="1" pivotButton="0" quotePrefix="0" xfId="0">
      <alignment horizontal="center" vertical="center"/>
      <protection locked="0" hidden="0"/>
    </xf>
    <xf numFmtId="170" fontId="18" fillId="0" borderId="11" applyAlignment="1" applyProtection="1" pivotButton="0" quotePrefix="0" xfId="1">
      <alignment horizontal="center" vertical="center"/>
      <protection locked="0" hidden="0"/>
    </xf>
    <xf numFmtId="170" fontId="18" fillId="0" borderId="3" applyAlignment="1" applyProtection="1" pivotButton="0" quotePrefix="0" xfId="1">
      <alignment horizontal="center" vertical="center"/>
      <protection locked="0" hidden="0"/>
    </xf>
    <xf numFmtId="170" fontId="18" fillId="0" borderId="12" applyAlignment="1" applyProtection="1" pivotButton="0" quotePrefix="0" xfId="1">
      <alignment horizontal="center" vertical="center"/>
      <protection locked="0" hidden="0"/>
    </xf>
    <xf numFmtId="0" fontId="9" fillId="3" borderId="1" applyAlignment="1" pivotButton="0" quotePrefix="0" xfId="0">
      <alignment horizontal="center" vertical="center"/>
    </xf>
    <xf numFmtId="170" fontId="9" fillId="3" borderId="1" applyAlignment="1" pivotButton="0" quotePrefix="0" xfId="0">
      <alignment horizontal="center" vertical="center"/>
    </xf>
    <xf numFmtId="170" fontId="7" fillId="0" borderId="11" applyAlignment="1" applyProtection="1" pivotButton="0" quotePrefix="0" xfId="0">
      <alignment horizontal="center" vertical="center"/>
      <protection locked="0" hidden="0"/>
    </xf>
    <xf numFmtId="170" fontId="7" fillId="0" borderId="3" applyAlignment="1" applyProtection="1" pivotButton="0" quotePrefix="0" xfId="0">
      <alignment horizontal="center" vertical="center"/>
      <protection locked="0" hidden="0"/>
    </xf>
    <xf numFmtId="170" fontId="7" fillId="0" borderId="12" applyAlignment="1" applyProtection="1" pivotButton="0" quotePrefix="0" xfId="0">
      <alignment horizontal="center" vertical="center"/>
      <protection locked="0" hidden="0"/>
    </xf>
    <xf numFmtId="170" fontId="9" fillId="0" borderId="11" applyAlignment="1" applyProtection="1" pivotButton="0" quotePrefix="0" xfId="0">
      <alignment horizontal="center" vertical="center"/>
      <protection locked="0" hidden="0"/>
    </xf>
    <xf numFmtId="170" fontId="9" fillId="0" borderId="3" applyAlignment="1" applyProtection="1" pivotButton="0" quotePrefix="0" xfId="0">
      <alignment horizontal="center" vertical="center"/>
      <protection locked="0" hidden="0"/>
    </xf>
    <xf numFmtId="170" fontId="9" fillId="0" borderId="12" applyAlignment="1" applyProtection="1" pivotButton="0" quotePrefix="0" xfId="0">
      <alignment horizontal="center" vertical="center"/>
      <protection locked="0" hidden="0"/>
    </xf>
    <xf numFmtId="170" fontId="9" fillId="0" borderId="1" applyAlignment="1" applyProtection="1" pivotButton="0" quotePrefix="0" xfId="0">
      <alignment horizontal="center" vertical="center"/>
      <protection locked="0" hidden="0"/>
    </xf>
    <xf numFmtId="170" fontId="6" fillId="0" borderId="11" applyAlignment="1" applyProtection="1" pivotButton="0" quotePrefix="0" xfId="0">
      <alignment horizontal="center" vertical="center"/>
      <protection locked="0" hidden="0"/>
    </xf>
    <xf numFmtId="170" fontId="6" fillId="0" borderId="3" applyAlignment="1" applyProtection="1" pivotButton="0" quotePrefix="0" xfId="0">
      <alignment horizontal="center" vertical="center"/>
      <protection locked="0" hidden="0"/>
    </xf>
    <xf numFmtId="170" fontId="6" fillId="0" borderId="12" applyAlignment="1" applyProtection="1" pivotButton="0" quotePrefix="0" xfId="0">
      <alignment horizontal="center" vertical="center"/>
      <protection locked="0" hidden="0"/>
    </xf>
    <xf numFmtId="170" fontId="6" fillId="0" borderId="1" applyAlignment="1" applyProtection="1" pivotButton="0" quotePrefix="0" xfId="0">
      <alignment horizontal="center" vertical="center"/>
      <protection locked="0" hidden="0"/>
    </xf>
    <xf numFmtId="0" fontId="9" fillId="3" borderId="11" applyAlignment="1" pivotButton="0" quotePrefix="0" xfId="0">
      <alignment horizontal="center" vertical="center"/>
    </xf>
    <xf numFmtId="0" fontId="9" fillId="3" borderId="3" applyAlignment="1" pivotButton="0" quotePrefix="0" xfId="0">
      <alignment horizontal="center" vertical="center"/>
    </xf>
    <xf numFmtId="0" fontId="9" fillId="3" borderId="12" applyAlignment="1" pivotButton="0" quotePrefix="0" xfId="0">
      <alignment horizontal="center" vertical="center"/>
    </xf>
    <xf numFmtId="170" fontId="7" fillId="0" borderId="1" applyAlignment="1" applyProtection="1" pivotButton="0" quotePrefix="0" xfId="0">
      <alignment horizontal="center" vertical="center"/>
      <protection locked="0" hidden="0"/>
    </xf>
    <xf numFmtId="170" fontId="4" fillId="0" borderId="11" applyAlignment="1" applyProtection="1" pivotButton="0" quotePrefix="0" xfId="0">
      <alignment horizontal="center" vertical="center"/>
      <protection locked="0" hidden="0"/>
    </xf>
    <xf numFmtId="170" fontId="4" fillId="0" borderId="3" applyAlignment="1" applyProtection="1" pivotButton="0" quotePrefix="0" xfId="0">
      <alignment horizontal="center" vertical="center"/>
      <protection locked="0" hidden="0"/>
    </xf>
    <xf numFmtId="170" fontId="4" fillId="0" borderId="12" applyAlignment="1" applyProtection="1" pivotButton="0" quotePrefix="0" xfId="0">
      <alignment horizontal="center" vertical="center"/>
      <protection locked="0" hidden="0"/>
    </xf>
    <xf numFmtId="170" fontId="4" fillId="0" borderId="1" applyAlignment="1" applyProtection="1" pivotButton="0" quotePrefix="0" xfId="0">
      <alignment horizontal="center" vertical="center"/>
      <protection locked="0" hidden="0"/>
    </xf>
    <xf numFmtId="169" fontId="4" fillId="4" borderId="1" applyAlignment="1" applyProtection="1" pivotButton="0" quotePrefix="0" xfId="0">
      <alignment horizontal="center" vertical="center"/>
      <protection locked="0" hidden="0"/>
    </xf>
    <xf numFmtId="170" fontId="4" fillId="4" borderId="1" applyAlignment="1" applyProtection="1" pivotButton="0" quotePrefix="0" xfId="0">
      <alignment horizontal="center" vertical="center"/>
      <protection locked="0" hidden="0"/>
    </xf>
    <xf numFmtId="169" fontId="6" fillId="4" borderId="1" applyAlignment="1" applyProtection="1" pivotButton="0" quotePrefix="0" xfId="0">
      <alignment horizontal="center" vertical="center"/>
      <protection locked="0" hidden="0"/>
    </xf>
    <xf numFmtId="170" fontId="6" fillId="4" borderId="1" applyAlignment="1" applyProtection="1" pivotButton="0" quotePrefix="0" xfId="0">
      <alignment horizontal="center" vertical="center"/>
      <protection locked="0" hidden="0"/>
    </xf>
    <xf numFmtId="10" fontId="8" fillId="9" borderId="1" applyAlignment="1" pivotButton="0" quotePrefix="0" xfId="2">
      <alignment horizontal="center" vertical="center"/>
    </xf>
    <xf numFmtId="170" fontId="7" fillId="4" borderId="1" applyAlignment="1" applyProtection="1" pivotButton="0" quotePrefix="0" xfId="0">
      <alignment horizontal="center" vertical="center"/>
      <protection locked="0" hidden="0"/>
    </xf>
    <xf numFmtId="0" fontId="15" fillId="9" borderId="1" applyAlignment="1" pivotButton="0" quotePrefix="0" xfId="0">
      <alignment horizontal="center" vertical="center"/>
    </xf>
    <xf numFmtId="0" fontId="15" fillId="9" borderId="1" applyAlignment="1" pivotButton="0" quotePrefix="0" xfId="0">
      <alignment horizontal="center" vertical="center" wrapText="1"/>
    </xf>
    <xf numFmtId="0" fontId="15" fillId="3" borderId="1" applyAlignment="1" pivotButton="0" quotePrefix="0" xfId="0">
      <alignment horizontal="center" vertical="center"/>
    </xf>
    <xf numFmtId="0" fontId="15" fillId="10" borderId="1" applyAlignment="1" pivotButton="0" quotePrefix="0" xfId="0">
      <alignment horizontal="center" vertical="center"/>
    </xf>
    <xf numFmtId="10" fontId="10" fillId="15" borderId="2" applyAlignment="1" pivotButton="0" quotePrefix="0" xfId="2">
      <alignment horizontal="center" vertical="center"/>
    </xf>
    <xf numFmtId="0" fontId="18" fillId="2" borderId="1" applyAlignment="1" pivotButton="0" quotePrefix="0" xfId="0">
      <alignment horizontal="center" vertical="center" wrapText="1"/>
    </xf>
    <xf numFmtId="0" fontId="15" fillId="9" borderId="11" applyAlignment="1" pivotButton="0" quotePrefix="0" xfId="0">
      <alignment horizontal="center" vertical="center"/>
    </xf>
    <xf numFmtId="0" fontId="15" fillId="9" borderId="3" applyAlignment="1" pivotButton="0" quotePrefix="0" xfId="0">
      <alignment horizontal="center" vertical="center"/>
    </xf>
    <xf numFmtId="0" fontId="15" fillId="9" borderId="12" applyAlignment="1" pivotButton="0" quotePrefix="0" xfId="0">
      <alignment horizontal="center" vertical="center"/>
    </xf>
    <xf numFmtId="10" fontId="0" fillId="0" borderId="3" applyAlignment="1" applyProtection="1" pivotButton="0" quotePrefix="0" xfId="2">
      <alignment horizontal="center" vertical="center"/>
      <protection locked="0" hidden="0"/>
    </xf>
    <xf numFmtId="1" fontId="0" fillId="0" borderId="2" applyAlignment="1" applyProtection="1" pivotButton="0" quotePrefix="0" xfId="0">
      <alignment horizontal="center" vertical="center"/>
      <protection locked="0" hidden="0"/>
    </xf>
    <xf numFmtId="165" fontId="0" fillId="0" borderId="3" applyAlignment="1" applyProtection="1" pivotButton="0" quotePrefix="0" xfId="0">
      <alignment horizontal="center" vertical="center"/>
      <protection locked="0" hidden="0"/>
    </xf>
    <xf numFmtId="0" fontId="15" fillId="0" borderId="0" applyAlignment="1" pivotButton="0" quotePrefix="0" xfId="0">
      <alignment horizontal="left" vertical="center"/>
    </xf>
    <xf numFmtId="0" fontId="29" fillId="0" borderId="1" applyAlignment="1" pivotButton="0" quotePrefix="0" xfId="0">
      <alignment horizontal="center" vertical="center" wrapText="1"/>
    </xf>
    <xf numFmtId="0" fontId="15" fillId="0" borderId="1" applyAlignment="1" pivotButton="0" quotePrefix="0" xfId="0">
      <alignment horizontal="center" vertical="center"/>
    </xf>
    <xf numFmtId="170" fontId="8" fillId="17" borderId="1" applyAlignment="1" pivotButton="0" quotePrefix="0" xfId="0">
      <alignment horizontal="center" vertical="center"/>
    </xf>
    <xf numFmtId="170" fontId="15" fillId="10" borderId="1" applyAlignment="1" pivotButton="0" quotePrefix="0" xfId="0">
      <alignment horizontal="center" vertical="center"/>
    </xf>
    <xf numFmtId="170" fontId="15" fillId="12" borderId="1" applyAlignment="1" pivotButton="0" quotePrefix="0" xfId="0">
      <alignment horizontal="center" vertical="center"/>
    </xf>
    <xf numFmtId="169" fontId="15" fillId="6" borderId="1" applyAlignment="1" pivotButton="0" quotePrefix="0" xfId="0">
      <alignment horizontal="center" vertical="center"/>
    </xf>
    <xf numFmtId="0" fontId="15" fillId="7" borderId="13" applyAlignment="1" pivotButton="0" quotePrefix="0" xfId="0">
      <alignment vertical="center"/>
    </xf>
    <xf numFmtId="169" fontId="15" fillId="7" borderId="13" applyAlignment="1" pivotButton="0" quotePrefix="0" xfId="0">
      <alignment horizontal="center" vertical="center"/>
    </xf>
    <xf numFmtId="170" fontId="15" fillId="11" borderId="1" applyAlignment="1" pivotButton="0" quotePrefix="0" xfId="0">
      <alignment horizontal="center" vertical="center"/>
    </xf>
    <xf numFmtId="0" fontId="15" fillId="0" borderId="0" applyAlignment="1" pivotButton="0" quotePrefix="0" xfId="0">
      <alignment vertical="center"/>
    </xf>
    <xf numFmtId="0" fontId="15" fillId="12" borderId="1" applyAlignment="1" pivotButton="0" quotePrefix="0" xfId="0">
      <alignment horizontal="center" vertical="center"/>
    </xf>
    <xf numFmtId="0" fontId="15" fillId="0" borderId="0" applyAlignment="1" pivotButton="0" quotePrefix="0" xfId="0">
      <alignment horizontal="center" vertical="center" wrapText="1"/>
    </xf>
    <xf numFmtId="0" fontId="15" fillId="0" borderId="8" applyAlignment="1" pivotButton="0" quotePrefix="0" xfId="0">
      <alignment horizontal="center" vertical="center" wrapText="1"/>
    </xf>
    <xf numFmtId="0" fontId="32" fillId="0" borderId="0" applyAlignment="1" pivotButton="0" quotePrefix="0" xfId="0">
      <alignment horizontal="left" vertical="center" wrapText="1"/>
    </xf>
    <xf numFmtId="0" fontId="15" fillId="0" borderId="0" applyAlignment="1" pivotButton="0" quotePrefix="0" xfId="0">
      <alignment horizontal="center" vertical="center"/>
    </xf>
    <xf numFmtId="170" fontId="15" fillId="3" borderId="1" applyAlignment="1" pivotButton="0" quotePrefix="0" xfId="2">
      <alignment horizontal="center" vertical="center"/>
    </xf>
    <xf numFmtId="170" fontId="15" fillId="3" borderId="1" applyAlignment="1" pivotButton="0" quotePrefix="0" xfId="0">
      <alignment horizontal="center" vertical="center"/>
    </xf>
    <xf numFmtId="0" fontId="18" fillId="2" borderId="13"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5" applyAlignment="1" pivotButton="0" quotePrefix="0" xfId="0">
      <alignment horizontal="center" vertical="center" wrapText="1"/>
    </xf>
    <xf numFmtId="0" fontId="18" fillId="2" borderId="6" applyAlignment="1" pivotButton="0" quotePrefix="0" xfId="0">
      <alignment horizontal="center" vertical="center" wrapText="1"/>
    </xf>
    <xf numFmtId="0" fontId="18" fillId="2" borderId="9" applyAlignment="1" pivotButton="0" quotePrefix="0" xfId="0">
      <alignment horizontal="center" vertical="center" wrapText="1"/>
    </xf>
    <xf numFmtId="0" fontId="18" fillId="2" borderId="2" applyAlignment="1" pivotButton="0" quotePrefix="0" xfId="0">
      <alignment horizontal="center" vertical="center" wrapText="1"/>
    </xf>
    <xf numFmtId="0" fontId="18" fillId="2" borderId="10" applyAlignment="1" pivotButton="0" quotePrefix="0" xfId="0">
      <alignment horizontal="center" vertical="center" wrapText="1"/>
    </xf>
    <xf numFmtId="0" fontId="15" fillId="6" borderId="1" applyAlignment="1" pivotButton="0" quotePrefix="0" xfId="0">
      <alignment vertical="center"/>
    </xf>
    <xf numFmtId="165" fontId="0" fillId="15" borderId="3" applyAlignment="1" pivotButton="0" quotePrefix="0" xfId="0">
      <alignment horizontal="center" vertical="center"/>
    </xf>
    <xf numFmtId="0" fontId="15" fillId="0" borderId="0" applyAlignment="1" pivotButton="0" quotePrefix="0" xfId="0">
      <alignment vertical="top"/>
    </xf>
    <xf numFmtId="0" fontId="16" fillId="0" borderId="4" applyAlignment="1" applyProtection="1" pivotButton="0" quotePrefix="0" xfId="0">
      <alignment horizontal="left" vertical="top" wrapText="1"/>
      <protection locked="0" hidden="0"/>
    </xf>
    <xf numFmtId="0" fontId="16" fillId="0" borderId="5" applyAlignment="1" applyProtection="1" pivotButton="0" quotePrefix="0" xfId="0">
      <alignment horizontal="left" vertical="top" wrapText="1"/>
      <protection locked="0" hidden="0"/>
    </xf>
    <xf numFmtId="0" fontId="16" fillId="0" borderId="6" applyAlignment="1" applyProtection="1" pivotButton="0" quotePrefix="0" xfId="0">
      <alignment horizontal="left" vertical="top" wrapText="1"/>
      <protection locked="0" hidden="0"/>
    </xf>
    <xf numFmtId="0" fontId="16" fillId="0" borderId="7"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protection locked="0" hidden="0"/>
    </xf>
    <xf numFmtId="0" fontId="16" fillId="0" borderId="8" applyAlignment="1" applyProtection="1" pivotButton="0" quotePrefix="0" xfId="0">
      <alignment horizontal="left" vertical="top" wrapText="1"/>
      <protection locked="0" hidden="0"/>
    </xf>
    <xf numFmtId="0" fontId="16" fillId="0" borderId="9" applyAlignment="1" applyProtection="1" pivotButton="0" quotePrefix="0" xfId="0">
      <alignment horizontal="left" vertical="top" wrapText="1"/>
      <protection locked="0" hidden="0"/>
    </xf>
    <xf numFmtId="0" fontId="16" fillId="0" borderId="2" applyAlignment="1" applyProtection="1" pivotButton="0" quotePrefix="0" xfId="0">
      <alignment horizontal="left" vertical="top" wrapText="1"/>
      <protection locked="0" hidden="0"/>
    </xf>
    <xf numFmtId="0" fontId="16" fillId="0" borderId="10" applyAlignment="1" applyProtection="1" pivotButton="0" quotePrefix="0" xfId="0">
      <alignment horizontal="left" vertical="top" wrapText="1"/>
      <protection locked="0" hidden="0"/>
    </xf>
    <xf numFmtId="0" fontId="0" fillId="0" borderId="0" applyAlignment="1" pivotButton="0" quotePrefix="0" xfId="0">
      <alignment horizontal="right" vertical="top"/>
    </xf>
    <xf numFmtId="0" fontId="15" fillId="11" borderId="1" applyAlignment="1" pivotButton="0" quotePrefix="0" xfId="0">
      <alignment horizontal="center" vertical="center" wrapText="1"/>
    </xf>
    <xf numFmtId="0" fontId="15" fillId="3" borderId="1" applyAlignment="1" pivotButton="0" quotePrefix="0" xfId="0">
      <alignment horizontal="center" vertical="center" wrapText="1"/>
    </xf>
    <xf numFmtId="0" fontId="27" fillId="3" borderId="11" applyAlignment="1" pivotButton="0" quotePrefix="0" xfId="0">
      <alignment horizontal="left" vertical="center" wrapText="1"/>
    </xf>
    <xf numFmtId="0" fontId="27" fillId="3" borderId="3" applyAlignment="1" pivotButton="0" quotePrefix="0" xfId="0">
      <alignment horizontal="left" vertical="center" wrapText="1"/>
    </xf>
    <xf numFmtId="0" fontId="27" fillId="3" borderId="12" applyAlignment="1" pivotButton="0" quotePrefix="0" xfId="0">
      <alignment horizontal="left" vertical="center" wrapText="1"/>
    </xf>
    <xf numFmtId="0" fontId="12" fillId="9" borderId="1" applyAlignment="1" pivotButton="0" quotePrefix="0" xfId="0">
      <alignment horizontal="center"/>
    </xf>
    <xf numFmtId="0" fontId="15" fillId="9" borderId="1" applyAlignment="1" pivotButton="0" quotePrefix="0" xfId="0">
      <alignment horizontal="center"/>
    </xf>
    <xf numFmtId="0" fontId="15" fillId="9" borderId="11" applyAlignment="1" pivotButton="0" quotePrefix="0" xfId="0">
      <alignment horizontal="center"/>
    </xf>
    <xf numFmtId="0" fontId="15" fillId="9" borderId="12" applyAlignment="1" pivotButton="0" quotePrefix="0" xfId="0">
      <alignment horizontal="center"/>
    </xf>
    <xf numFmtId="167" fontId="0" fillId="0" borderId="2" applyAlignment="1" applyProtection="1" pivotButton="0" quotePrefix="0" xfId="0">
      <alignment horizontal="left" vertical="center"/>
      <protection locked="0" hidden="0"/>
    </xf>
    <xf numFmtId="165" fontId="0" fillId="0" borderId="2" applyAlignment="1" applyProtection="1" pivotButton="0" quotePrefix="0" xfId="0">
      <alignment horizontal="center" vertical="center"/>
      <protection locked="0" hidden="0"/>
    </xf>
    <xf numFmtId="165" fontId="0" fillId="0" borderId="3" applyAlignment="1" applyProtection="1" pivotButton="0" quotePrefix="0" xfId="0">
      <alignment horizontal="left" vertical="center"/>
      <protection locked="0" hidden="0"/>
    </xf>
    <xf numFmtId="167" fontId="2" fillId="0" borderId="2" applyAlignment="1" applyProtection="1" pivotButton="0" quotePrefix="0" xfId="0">
      <alignment horizontal="left" vertical="center"/>
      <protection locked="0" hidden="0"/>
    </xf>
    <xf numFmtId="167" fontId="5" fillId="0" borderId="2" applyAlignment="1" applyProtection="1" pivotButton="0" quotePrefix="0" xfId="0">
      <alignment horizontal="left" vertical="center"/>
      <protection locked="0" hidden="0"/>
    </xf>
    <xf numFmtId="167" fontId="0" fillId="0" borderId="3" applyAlignment="1" applyProtection="1" pivotButton="0" quotePrefix="0" xfId="0">
      <alignment horizontal="left" vertical="center"/>
      <protection locked="0" hidden="0"/>
    </xf>
    <xf numFmtId="167" fontId="0" fillId="0" borderId="12" applyAlignment="1" applyProtection="1" pivotButton="0" quotePrefix="0" xfId="0">
      <alignment horizontal="left" vertical="center"/>
      <protection locked="0" hidden="0"/>
    </xf>
    <xf numFmtId="166" fontId="0" fillId="0" borderId="3" applyAlignment="1" applyProtection="1" pivotButton="0" quotePrefix="0" xfId="0">
      <alignment horizontal="center" vertical="center"/>
      <protection locked="0" hidden="0"/>
    </xf>
    <xf numFmtId="10" fontId="0" fillId="15" borderId="3" applyAlignment="1" pivotButton="0" quotePrefix="0" xfId="2">
      <alignment horizontal="center" vertical="center"/>
    </xf>
    <xf numFmtId="10" fontId="0" fillId="15" borderId="2" applyAlignment="1" pivotButton="0" quotePrefix="0" xfId="0">
      <alignment horizontal="center" vertical="center"/>
    </xf>
    <xf numFmtId="166" fontId="0" fillId="15" borderId="3" applyAlignment="1" pivotButton="0" quotePrefix="0" xfId="0">
      <alignment horizontal="center" vertical="center"/>
    </xf>
    <xf numFmtId="167" fontId="15" fillId="0" borderId="1" applyAlignment="1" pivotButton="0" quotePrefix="0" xfId="0">
      <alignment horizontal="center" vertical="center" wrapText="1"/>
    </xf>
    <xf numFmtId="0" fontId="28" fillId="18" borderId="1" applyAlignment="1" pivotButton="0" quotePrefix="0" xfId="0">
      <alignment horizontal="center" vertical="center" wrapText="1"/>
    </xf>
    <xf numFmtId="0" fontId="31" fillId="3" borderId="1" applyAlignment="1" pivotButton="0" quotePrefix="0" xfId="0">
      <alignment horizontal="center" vertical="center" wrapText="1"/>
    </xf>
    <xf numFmtId="169" fontId="19" fillId="0" borderId="0" applyAlignment="1" pivotButton="0" quotePrefix="0" xfId="0">
      <alignment horizontal="center"/>
    </xf>
    <xf numFmtId="170" fontId="15" fillId="9" borderId="11" applyAlignment="1" pivotButton="0" quotePrefix="0" xfId="0">
      <alignment horizontal="center" vertical="center"/>
    </xf>
    <xf numFmtId="170" fontId="15" fillId="9" borderId="3" applyAlignment="1" pivotButton="0" quotePrefix="0" xfId="0">
      <alignment horizontal="center" vertical="center"/>
    </xf>
    <xf numFmtId="170" fontId="15" fillId="9" borderId="12" applyAlignment="1" pivotButton="0" quotePrefix="0" xfId="0">
      <alignment horizontal="center" vertical="center"/>
    </xf>
    <xf numFmtId="170" fontId="20" fillId="12" borderId="1" applyAlignment="1" pivotButton="0" quotePrefix="0" xfId="0">
      <alignment horizontal="center" vertical="center"/>
    </xf>
    <xf numFmtId="49" fontId="11" fillId="3" borderId="1" applyAlignment="1" pivotButton="0" quotePrefix="0" xfId="0">
      <alignment horizontal="center" vertical="center" wrapText="1"/>
    </xf>
    <xf numFmtId="0" fontId="15" fillId="5" borderId="1" applyAlignment="1" pivotButton="0" quotePrefix="0" xfId="0">
      <alignment horizontal="center" vertical="center"/>
    </xf>
    <xf numFmtId="170" fontId="15" fillId="5" borderId="1" applyAlignment="1" pivotButton="0" quotePrefix="0" xfId="0">
      <alignment horizontal="center" vertical="center"/>
    </xf>
    <xf numFmtId="0" fontId="15" fillId="10" borderId="1" applyAlignment="1" pivotButton="0" quotePrefix="0" xfId="0">
      <alignment horizontal="center" vertical="center" wrapText="1"/>
    </xf>
    <xf numFmtId="0" fontId="15" fillId="5" borderId="1" applyAlignment="1" pivotButton="0" quotePrefix="0" xfId="0">
      <alignment horizontal="center" vertical="center" wrapText="1"/>
    </xf>
    <xf numFmtId="170" fontId="15" fillId="14" borderId="1" applyAlignment="1" pivotButton="0" quotePrefix="0" xfId="0">
      <alignment horizontal="center" vertical="center"/>
    </xf>
    <xf numFmtId="0" fontId="15" fillId="14" borderId="1" applyAlignment="1" pivotButton="0" quotePrefix="0" xfId="0">
      <alignment horizontal="center" vertical="center"/>
    </xf>
    <xf numFmtId="49" fontId="11" fillId="2" borderId="1" applyAlignment="1" pivotButton="0" quotePrefix="0" xfId="0">
      <alignment horizontal="center" vertical="center" wrapText="1"/>
    </xf>
    <xf numFmtId="170" fontId="15" fillId="3" borderId="1" applyAlignment="1" pivotButton="0" quotePrefix="0" xfId="1">
      <alignment horizontal="center" vertical="center"/>
    </xf>
    <xf numFmtId="0" fontId="3" fillId="3" borderId="1" applyAlignment="1" pivotButton="0" quotePrefix="0" xfId="0">
      <alignment horizontal="center" vertical="center"/>
    </xf>
    <xf numFmtId="170" fontId="15" fillId="3" borderId="11" applyAlignment="1" pivotButton="0" quotePrefix="0" xfId="1">
      <alignment horizontal="center" vertical="center"/>
    </xf>
    <xf numFmtId="170" fontId="15" fillId="3" borderId="12" applyAlignment="1" pivotButton="0" quotePrefix="0" xfId="1">
      <alignment horizontal="center" vertical="center"/>
    </xf>
    <xf numFmtId="0" fontId="11" fillId="3" borderId="1" applyAlignment="1" pivotButton="0" quotePrefix="0" xfId="0">
      <alignment horizontal="center" vertical="center" wrapText="1"/>
    </xf>
    <xf numFmtId="49" fontId="11" fillId="2" borderId="11" applyAlignment="1" pivotButton="0" quotePrefix="0" xfId="0">
      <alignment horizontal="center" vertical="center" wrapText="1"/>
    </xf>
    <xf numFmtId="49" fontId="11" fillId="2" borderId="3" applyAlignment="1" pivotButton="0" quotePrefix="0" xfId="0">
      <alignment horizontal="center" vertical="center" wrapText="1"/>
    </xf>
    <xf numFmtId="49" fontId="11" fillId="2" borderId="12" applyAlignment="1" pivotButton="0" quotePrefix="0" xfId="0">
      <alignment horizontal="center" vertical="center" wrapText="1"/>
    </xf>
    <xf numFmtId="0" fontId="11" fillId="3" borderId="11" applyAlignment="1" pivotButton="0" quotePrefix="0" xfId="0">
      <alignment horizontal="center" vertical="center" wrapText="1"/>
    </xf>
    <xf numFmtId="0" fontId="11" fillId="3" borderId="3" applyAlignment="1" pivotButton="0" quotePrefix="0" xfId="0">
      <alignment horizontal="center" vertical="center" wrapText="1"/>
    </xf>
    <xf numFmtId="0" fontId="11" fillId="3" borderId="12" applyAlignment="1" pivotButton="0" quotePrefix="0" xfId="0">
      <alignment horizontal="center" vertical="center" wrapText="1"/>
    </xf>
    <xf numFmtId="0" fontId="0" fillId="0" borderId="2" applyAlignment="1" pivotButton="0" quotePrefix="0" xfId="0">
      <alignment horizontal="right"/>
    </xf>
    <xf numFmtId="169" fontId="15" fillId="6" borderId="4" applyAlignment="1" pivotButton="0" quotePrefix="0" xfId="0">
      <alignment horizontal="left" vertical="center"/>
    </xf>
    <xf numFmtId="169" fontId="15" fillId="6" borderId="5" applyAlignment="1" pivotButton="0" quotePrefix="0" xfId="0">
      <alignment horizontal="left" vertical="center"/>
    </xf>
    <xf numFmtId="169" fontId="15" fillId="6" borderId="6" applyAlignment="1" pivotButton="0" quotePrefix="0" xfId="0">
      <alignment horizontal="left" vertical="center"/>
    </xf>
    <xf numFmtId="169" fontId="15" fillId="7" borderId="4" applyAlignment="1" pivotButton="0" quotePrefix="0" xfId="0">
      <alignment horizontal="left" vertical="center"/>
    </xf>
    <xf numFmtId="169" fontId="15" fillId="7" borderId="5" applyAlignment="1" pivotButton="0" quotePrefix="0" xfId="0">
      <alignment horizontal="left" vertical="center"/>
    </xf>
    <xf numFmtId="169" fontId="15" fillId="7" borderId="6" applyAlignment="1" pivotButton="0" quotePrefix="0" xfId="0">
      <alignment horizontal="left" vertical="center"/>
    </xf>
    <xf numFmtId="0" fontId="15" fillId="3" borderId="11" applyAlignment="1" pivotButton="0" quotePrefix="0" xfId="0">
      <alignment horizontal="left" vertical="center" wrapText="1"/>
    </xf>
    <xf numFmtId="0" fontId="15" fillId="3" borderId="3" applyAlignment="1" pivotButton="0" quotePrefix="0" xfId="0">
      <alignment horizontal="left" vertical="center" wrapText="1"/>
    </xf>
    <xf numFmtId="0" fontId="15" fillId="3" borderId="12" applyAlignment="1" pivotButton="0" quotePrefix="0" xfId="0">
      <alignment horizontal="left" vertical="center" wrapText="1"/>
    </xf>
    <xf numFmtId="170" fontId="15" fillId="3" borderId="4" applyAlignment="1" pivotButton="0" quotePrefix="0" xfId="1">
      <alignment horizontal="center" vertical="center"/>
    </xf>
    <xf numFmtId="170" fontId="15" fillId="3" borderId="6" applyAlignment="1" pivotButton="0" quotePrefix="0" xfId="1">
      <alignment horizontal="center" vertical="center"/>
    </xf>
    <xf numFmtId="170" fontId="15" fillId="3" borderId="9" applyAlignment="1" pivotButton="0" quotePrefix="0" xfId="1">
      <alignment horizontal="center" vertical="center"/>
    </xf>
    <xf numFmtId="170" fontId="15" fillId="3" borderId="10" applyAlignment="1" pivotButton="0" quotePrefix="0" xfId="1">
      <alignment horizontal="center" vertical="center"/>
    </xf>
    <xf numFmtId="169" fontId="11" fillId="0" borderId="0" applyAlignment="1" pivotButton="0" quotePrefix="0" xfId="0">
      <alignment horizontal="center" vertical="center"/>
    </xf>
    <xf numFmtId="170" fontId="15" fillId="9" borderId="11" applyAlignment="1" pivotButton="0" quotePrefix="0" xfId="1">
      <alignment horizontal="center" vertical="center"/>
    </xf>
    <xf numFmtId="170" fontId="15" fillId="9" borderId="3" applyAlignment="1" pivotButton="0" quotePrefix="0" xfId="1">
      <alignment horizontal="center" vertical="center"/>
    </xf>
    <xf numFmtId="170" fontId="15" fillId="9" borderId="12" applyAlignment="1" pivotButton="0" quotePrefix="0" xfId="1">
      <alignment horizontal="center" vertical="center"/>
    </xf>
    <xf numFmtId="170" fontId="15" fillId="11" borderId="1" applyAlignment="1" pivotButton="0" quotePrefix="0" xfId="1">
      <alignment horizontal="center" vertical="center"/>
    </xf>
    <xf numFmtId="170" fontId="15" fillId="16" borderId="11" applyAlignment="1" pivotButton="0" quotePrefix="0" xfId="1">
      <alignment horizontal="center" vertical="center"/>
    </xf>
    <xf numFmtId="170" fontId="15" fillId="16" borderId="12" applyAlignment="1" pivotButton="0" quotePrefix="0" xfId="1">
      <alignment horizontal="center" vertical="center"/>
    </xf>
    <xf numFmtId="49" fontId="11" fillId="2" borderId="4" applyAlignment="1" pivotButton="0" quotePrefix="0" xfId="0">
      <alignment horizontal="center" vertical="center" wrapText="1"/>
    </xf>
    <xf numFmtId="49" fontId="11" fillId="2" borderId="5" applyAlignment="1" pivotButton="0" quotePrefix="0" xfId="0">
      <alignment horizontal="center" vertical="center" wrapText="1"/>
    </xf>
    <xf numFmtId="49" fontId="11" fillId="2" borderId="6" applyAlignment="1" pivotButton="0" quotePrefix="0" xfId="0">
      <alignment horizontal="center" vertical="center" wrapText="1"/>
    </xf>
    <xf numFmtId="49" fontId="11" fillId="2" borderId="9" applyAlignment="1" pivotButton="0" quotePrefix="0" xfId="0">
      <alignment horizontal="center" vertical="center" wrapText="1"/>
    </xf>
    <xf numFmtId="49" fontId="11" fillId="2" borderId="2" applyAlignment="1" pivotButton="0" quotePrefix="0" xfId="0">
      <alignment horizontal="center" vertical="center" wrapText="1"/>
    </xf>
    <xf numFmtId="49" fontId="11" fillId="2" borderId="10" applyAlignment="1" pivotButton="0" quotePrefix="0" xfId="0">
      <alignment horizontal="center" vertical="center" wrapText="1"/>
    </xf>
    <xf numFmtId="170" fontId="11" fillId="0" borderId="0" applyAlignment="1" pivotButton="0" quotePrefix="0" xfId="0">
      <alignment horizontal="center" vertical="center"/>
    </xf>
    <xf numFmtId="0" fontId="18" fillId="12" borderId="1" applyAlignment="1" pivotButton="0" quotePrefix="0" xfId="0">
      <alignment horizontal="center" vertical="center" wrapText="1"/>
    </xf>
    <xf numFmtId="0" fontId="18" fillId="14" borderId="11" applyAlignment="1" pivotButton="0" quotePrefix="0" xfId="0">
      <alignment horizontal="center" vertical="center" wrapText="1"/>
    </xf>
    <xf numFmtId="0" fontId="18" fillId="14" borderId="12" applyAlignment="1" pivotButton="0" quotePrefix="0" xfId="0">
      <alignment horizontal="center" vertical="center" wrapText="1"/>
    </xf>
    <xf numFmtId="0" fontId="18" fillId="10"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12" pivotButton="0" quotePrefix="0" xfId="0"/>
    <xf numFmtId="167" fontId="11" fillId="0" borderId="0" applyAlignment="1" pivotButton="0" quotePrefix="0" xfId="0">
      <alignment vertical="center" wrapText="1"/>
    </xf>
    <xf numFmtId="167" fontId="0" fillId="0" borderId="2" applyAlignment="1" applyProtection="1" pivotButton="0" quotePrefix="0" xfId="0">
      <alignment horizontal="left" vertical="center"/>
      <protection locked="0" hidden="0"/>
    </xf>
    <xf numFmtId="0" fontId="0" fillId="0" borderId="2" applyProtection="1" pivotButton="0" quotePrefix="0" xfId="0">
      <protection locked="0" hidden="0"/>
    </xf>
    <xf numFmtId="167" fontId="15" fillId="0" borderId="1"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3" applyProtection="1" pivotButton="0" quotePrefix="0" xfId="0">
      <protection locked="0" hidden="0"/>
    </xf>
    <xf numFmtId="167" fontId="2" fillId="0" borderId="2" applyAlignment="1" applyProtection="1" pivotButton="0" quotePrefix="0" xfId="0">
      <alignment horizontal="left" vertical="center"/>
      <protection locked="0" hidden="0"/>
    </xf>
    <xf numFmtId="167" fontId="0" fillId="0" borderId="12" applyAlignment="1" applyProtection="1" pivotButton="0" quotePrefix="0" xfId="0">
      <alignment horizontal="left" vertical="center"/>
      <protection locked="0" hidden="0"/>
    </xf>
    <xf numFmtId="0" fontId="0" fillId="0" borderId="12" applyProtection="1" pivotButton="0" quotePrefix="0" xfId="0">
      <protection locked="0" hidden="0"/>
    </xf>
    <xf numFmtId="167" fontId="0" fillId="0" borderId="0" applyAlignment="1" pivotButton="0" quotePrefix="0" xfId="0">
      <alignment vertical="center"/>
    </xf>
    <xf numFmtId="167" fontId="11" fillId="0" borderId="0" applyAlignment="1" pivotButton="0" quotePrefix="0" xfId="0">
      <alignment vertical="center"/>
    </xf>
    <xf numFmtId="168" fontId="0" fillId="0" borderId="0" applyAlignment="1" pivotButton="0" quotePrefix="0" xfId="0">
      <alignment horizontal="right"/>
    </xf>
    <xf numFmtId="0" fontId="16" fillId="0" borderId="1" applyAlignment="1" applyProtection="1" pivotButton="0" quotePrefix="0" xfId="0">
      <alignment horizontal="left" vertical="top"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0"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27" fillId="3" borderId="1" applyAlignment="1" pivotButton="0" quotePrefix="0" xfId="0">
      <alignment horizontal="left" vertical="center" wrapText="1"/>
    </xf>
    <xf numFmtId="0" fontId="0" fillId="0" borderId="8" pivotButton="0" quotePrefix="0" xfId="0"/>
    <xf numFmtId="0" fontId="0" fillId="0" borderId="15" pivotButton="0" quotePrefix="0" xfId="0"/>
    <xf numFmtId="0" fontId="0" fillId="0" borderId="7" pivotButton="0" quotePrefix="0" xfId="0"/>
    <xf numFmtId="0" fontId="0" fillId="0" borderId="14" pivotButton="0" quotePrefix="0" xfId="0"/>
    <xf numFmtId="169" fontId="0" fillId="0" borderId="0" pivotButton="0" quotePrefix="0" xfId="0"/>
    <xf numFmtId="169" fontId="4" fillId="4" borderId="1" applyAlignment="1" applyProtection="1" pivotButton="0" quotePrefix="0" xfId="0">
      <alignment horizontal="center" vertical="center"/>
      <protection locked="0" hidden="0"/>
    </xf>
    <xf numFmtId="169" fontId="1" fillId="4" borderId="1" applyAlignment="1" applyProtection="1" pivotButton="0" quotePrefix="0" xfId="0">
      <alignment horizontal="center" vertical="center"/>
      <protection locked="0" hidden="0"/>
    </xf>
    <xf numFmtId="170" fontId="8" fillId="9" borderId="1" applyAlignment="1" pivotButton="0" quotePrefix="0" xfId="0">
      <alignment horizontal="center" vertical="center"/>
    </xf>
    <xf numFmtId="170" fontId="8" fillId="11" borderId="1" applyAlignment="1" pivotButton="0" quotePrefix="0" xfId="0">
      <alignment horizontal="center" vertical="center"/>
    </xf>
    <xf numFmtId="170" fontId="4" fillId="4" borderId="1" applyAlignment="1" applyProtection="1" pivotButton="0" quotePrefix="0" xfId="0">
      <alignment horizontal="center" vertical="center"/>
      <protection locked="0" hidden="0"/>
    </xf>
    <xf numFmtId="169" fontId="8" fillId="0" borderId="0" applyAlignment="1" pivotButton="0" quotePrefix="0" xfId="0">
      <alignment horizontal="center" vertical="center"/>
    </xf>
    <xf numFmtId="169" fontId="6" fillId="4" borderId="1" applyAlignment="1" applyProtection="1" pivotButton="0" quotePrefix="0" xfId="0">
      <alignment horizontal="center" vertical="center"/>
      <protection locked="0" hidden="0"/>
    </xf>
    <xf numFmtId="170" fontId="6" fillId="4" borderId="1" applyAlignment="1" applyProtection="1" pivotButton="0" quotePrefix="0" xfId="0">
      <alignment horizontal="center" vertical="center"/>
      <protection locked="0" hidden="0"/>
    </xf>
    <xf numFmtId="170" fontId="7" fillId="4" borderId="1" applyAlignment="1" applyProtection="1" pivotButton="0" quotePrefix="0" xfId="0">
      <alignment horizontal="center" vertical="center"/>
      <protection locked="0" hidden="0"/>
    </xf>
    <xf numFmtId="170" fontId="15" fillId="3" borderId="1" applyAlignment="1" pivotButton="0" quotePrefix="0" xfId="2">
      <alignment horizontal="center" vertical="center"/>
    </xf>
    <xf numFmtId="170" fontId="15" fillId="3" borderId="1" applyAlignment="1" pivotButton="0" quotePrefix="0" xfId="0">
      <alignment horizontal="center" vertical="center"/>
    </xf>
    <xf numFmtId="170" fontId="15" fillId="9" borderId="1" applyAlignment="1" pivotButton="0" quotePrefix="0" xfId="0">
      <alignment horizontal="center" vertical="center"/>
    </xf>
    <xf numFmtId="170" fontId="15" fillId="11" borderId="1" applyAlignment="1" pivotButton="0" quotePrefix="0" xfId="2">
      <alignment horizontal="center" vertical="center"/>
    </xf>
    <xf numFmtId="170" fontId="15" fillId="11" borderId="1" applyAlignment="1" pivotButton="0" quotePrefix="0" xfId="0">
      <alignment horizontal="center" vertical="center"/>
    </xf>
    <xf numFmtId="169" fontId="15" fillId="0" borderId="0" applyAlignment="1" pivotButton="0" quotePrefix="0" xfId="0">
      <alignment horizontal="center" vertical="center"/>
    </xf>
    <xf numFmtId="170" fontId="8" fillId="17" borderId="1" applyAlignment="1" pivotButton="0" quotePrefix="0" xfId="0">
      <alignment horizontal="center" vertical="center"/>
    </xf>
    <xf numFmtId="170" fontId="15" fillId="10" borderId="1" applyAlignment="1" pivotButton="0" quotePrefix="0" xfId="0">
      <alignment horizontal="center" vertical="center"/>
    </xf>
    <xf numFmtId="170" fontId="15" fillId="12" borderId="1" applyAlignment="1" pivotButton="0" quotePrefix="0" xfId="0">
      <alignment horizontal="center" vertical="center"/>
    </xf>
    <xf numFmtId="169" fontId="15" fillId="6" borderId="1" applyAlignment="1" pivotButton="0" quotePrefix="0" xfId="0">
      <alignment horizontal="center" vertical="center"/>
    </xf>
    <xf numFmtId="169" fontId="15" fillId="6" borderId="13" applyAlignment="1" pivotButton="0" quotePrefix="0" xfId="0">
      <alignment horizontal="left" vertical="center"/>
    </xf>
    <xf numFmtId="169" fontId="15" fillId="0" borderId="0" applyAlignment="1" pivotButton="0" quotePrefix="0" xfId="0">
      <alignment vertical="center"/>
    </xf>
    <xf numFmtId="169" fontId="15" fillId="7" borderId="13" applyAlignment="1" pivotButton="0" quotePrefix="0" xfId="0">
      <alignment horizontal="center" vertical="center"/>
    </xf>
    <xf numFmtId="169" fontId="15" fillId="7" borderId="13" applyAlignment="1" pivotButton="0" quotePrefix="0" xfId="0">
      <alignment horizontal="left" vertical="center"/>
    </xf>
    <xf numFmtId="169" fontId="15" fillId="0" borderId="3" applyAlignment="1" pivotButton="0" quotePrefix="0" xfId="0">
      <alignment horizontal="center" vertical="center"/>
    </xf>
    <xf numFmtId="169" fontId="15" fillId="0" borderId="3" applyAlignment="1" pivotButton="0" quotePrefix="0" xfId="0">
      <alignment horizontal="left" vertical="center"/>
    </xf>
    <xf numFmtId="0" fontId="15" fillId="3" borderId="1" applyAlignment="1" pivotButton="0" quotePrefix="0" xfId="0">
      <alignment horizontal="left" vertical="center" wrapText="1"/>
    </xf>
    <xf numFmtId="164" fontId="0" fillId="0" borderId="0" pivotButton="0" quotePrefix="0" xfId="0"/>
    <xf numFmtId="170" fontId="18" fillId="0" borderId="1" applyAlignment="1" applyProtection="1" pivotButton="0" quotePrefix="0" xfId="1">
      <alignment horizontal="center" vertical="center"/>
      <protection locked="0" hidden="0"/>
    </xf>
    <xf numFmtId="170" fontId="18" fillId="8" borderId="1" applyAlignment="1" pivotButton="0" quotePrefix="0" xfId="1">
      <alignment horizontal="center" vertical="center"/>
    </xf>
    <xf numFmtId="170" fontId="18" fillId="8" borderId="1" applyAlignment="1" pivotButton="0" quotePrefix="0" xfId="0">
      <alignment horizontal="center" vertical="center"/>
    </xf>
    <xf numFmtId="169" fontId="18" fillId="0" borderId="0" applyAlignment="1" pivotButton="0" quotePrefix="0" xfId="0">
      <alignment horizontal="center"/>
    </xf>
    <xf numFmtId="170" fontId="18" fillId="0" borderId="1" applyAlignment="1" applyProtection="1" pivotButton="0" quotePrefix="0" xfId="0">
      <alignment horizontal="center" vertical="center"/>
      <protection locked="0" hidden="0"/>
    </xf>
    <xf numFmtId="170" fontId="18" fillId="0" borderId="0" applyAlignment="1" pivotButton="0" quotePrefix="0" xfId="0">
      <alignment horizontal="center" vertical="center"/>
    </xf>
    <xf numFmtId="170" fontId="18" fillId="0" borderId="0" applyAlignment="1" pivotButton="0" quotePrefix="0" xfId="1">
      <alignment horizontal="center" vertical="center"/>
    </xf>
    <xf numFmtId="170" fontId="20" fillId="12" borderId="1" applyAlignment="1" pivotButton="0" quotePrefix="0" xfId="0">
      <alignment horizontal="center" vertical="center"/>
    </xf>
    <xf numFmtId="170" fontId="15" fillId="2" borderId="1" applyAlignment="1" pivotButton="0" quotePrefix="0" xfId="0">
      <alignment horizontal="center" vertical="center"/>
    </xf>
    <xf numFmtId="170" fontId="25" fillId="2" borderId="1" applyAlignment="1" pivotButton="0" quotePrefix="0" xfId="0">
      <alignment horizontal="center" vertical="center" wrapText="1"/>
    </xf>
    <xf numFmtId="170" fontId="18" fillId="0" borderId="0" applyAlignment="1" pivotButton="0" quotePrefix="0" xfId="0">
      <alignment vertical="center"/>
    </xf>
    <xf numFmtId="169" fontId="19" fillId="0" borderId="0" applyAlignment="1" pivotButton="0" quotePrefix="0" xfId="0">
      <alignment horizontal="center"/>
    </xf>
    <xf numFmtId="170" fontId="11" fillId="0" borderId="0" applyAlignment="1" pivotButton="0" quotePrefix="0" xfId="0">
      <alignment horizontal="center" vertical="center"/>
    </xf>
    <xf numFmtId="170" fontId="15" fillId="16" borderId="1" applyAlignment="1" pivotButton="0" quotePrefix="0" xfId="0">
      <alignment horizontal="center" vertical="center"/>
    </xf>
    <xf numFmtId="170" fontId="15" fillId="11" borderId="1" applyAlignment="1" pivotButton="0" quotePrefix="0" xfId="1">
      <alignment horizontal="center" vertical="center"/>
    </xf>
    <xf numFmtId="170" fontId="15" fillId="3" borderId="1" applyAlignment="1" pivotButton="0" quotePrefix="0" xfId="1">
      <alignment horizontal="center" vertical="center"/>
    </xf>
    <xf numFmtId="170" fontId="11" fillId="0" borderId="0" applyAlignment="1" pivotButton="0" quotePrefix="0" xfId="0">
      <alignment vertical="center"/>
    </xf>
    <xf numFmtId="169" fontId="11" fillId="0" borderId="0" pivotButton="0" quotePrefix="0" xfId="0"/>
    <xf numFmtId="170" fontId="11" fillId="0" borderId="0" applyAlignment="1" pivotButton="0" quotePrefix="0" xfId="1">
      <alignment vertical="center"/>
    </xf>
    <xf numFmtId="169" fontId="11" fillId="0" borderId="0" applyAlignment="1" pivotButton="0" quotePrefix="0" xfId="0">
      <alignment horizontal="center" vertical="center"/>
    </xf>
    <xf numFmtId="170" fontId="11" fillId="0" borderId="0" pivotButton="0" quotePrefix="0" xfId="0"/>
    <xf numFmtId="170" fontId="15" fillId="9" borderId="1" applyAlignment="1" pivotButton="0" quotePrefix="0" xfId="1">
      <alignment horizontal="center" vertical="center"/>
    </xf>
    <xf numFmtId="170" fontId="15" fillId="16" borderId="1" applyAlignment="1" pivotButton="0" quotePrefix="0" xfId="1">
      <alignment horizontal="center" vertical="center"/>
    </xf>
    <xf numFmtId="170" fontId="15" fillId="0" borderId="1" applyAlignment="1" pivotButton="0" quotePrefix="0" xfId="0">
      <alignment horizontal="center" vertical="center"/>
    </xf>
    <xf numFmtId="0" fontId="18" fillId="14" borderId="1" applyAlignment="1" pivotButton="0" quotePrefix="0" xfId="0">
      <alignment horizontal="center" vertical="center" wrapText="1"/>
    </xf>
    <xf numFmtId="170" fontId="9" fillId="3" borderId="1" applyAlignment="1" pivotButton="0" quotePrefix="0" xfId="0">
      <alignment horizontal="center" vertical="center"/>
    </xf>
    <xf numFmtId="170" fontId="4" fillId="0" borderId="1" applyAlignment="1" applyProtection="1" pivotButton="0" quotePrefix="0" xfId="0">
      <alignment horizontal="center" vertical="center"/>
      <protection locked="0" hidden="0"/>
    </xf>
    <xf numFmtId="170" fontId="7" fillId="0" borderId="1" applyAlignment="1" applyProtection="1" pivotButton="0" quotePrefix="0" xfId="0">
      <alignment horizontal="center" vertical="center"/>
      <protection locked="0" hidden="0"/>
    </xf>
    <xf numFmtId="170" fontId="9" fillId="0" borderId="1" applyAlignment="1" applyProtection="1" pivotButton="0" quotePrefix="0" xfId="0">
      <alignment horizontal="center" vertical="center"/>
      <protection locked="0" hidden="0"/>
    </xf>
    <xf numFmtId="170" fontId="6" fillId="0" borderId="1" applyAlignment="1" applyProtection="1" pivotButton="0" quotePrefix="0" xfId="0">
      <alignment horizontal="center" vertical="center"/>
      <protection locked="0" hidden="0"/>
    </xf>
    <xf numFmtId="170" fontId="15" fillId="5" borderId="1" applyAlignment="1" pivotButton="0" quotePrefix="0" xfId="0">
      <alignment horizontal="center" vertical="center"/>
    </xf>
    <xf numFmtId="170" fontId="15" fillId="14" borderId="1" applyAlignment="1" pivotButton="0" quotePrefix="0" xfId="0">
      <alignment horizontal="center" vertical="center"/>
    </xf>
    <xf numFmtId="164" fontId="0" fillId="0" borderId="0" applyAlignment="1" pivotButton="0" quotePrefix="0" xfId="1">
      <alignment horizontal="center" vertical="center"/>
    </xf>
  </cellXfs>
  <cellStyles count="3">
    <cellStyle name="Normal" xfId="0" builtinId="0"/>
    <cellStyle name="Currency" xfId="1" builtinId="4"/>
    <cellStyle name="Percent" xfId="2" builtinId="5"/>
  </cellStyles>
  <dxfs count="14">
    <dxf>
      <font>
        <b val="1"/>
        <color theme="0"/>
      </font>
      <fill>
        <patternFill>
          <bgColor rgb="FFFF0000"/>
        </patternFill>
      </fill>
    </dxf>
    <dxf>
      <font>
        <b val="1"/>
        <color theme="0"/>
      </font>
      <fill>
        <patternFill>
          <bgColor rgb="FFFF0000"/>
        </patternFill>
      </fill>
    </dxf>
    <dxf>
      <font>
        <b val="1"/>
        <color theme="4"/>
      </font>
      <fill>
        <patternFill>
          <bgColor theme="0" tint="-0.0499893185216834"/>
        </patternFill>
      </fill>
      <border>
        <left style="thin">
          <color auto="1"/>
        </left>
        <right style="thin">
          <color auto="1"/>
        </right>
        <top style="thin">
          <color auto="1"/>
        </top>
        <bottom style="thin">
          <color auto="1"/>
        </bottom>
        <vertical/>
        <horizontal/>
      </border>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Rivera Ortiz, Juan Carlos (FHWA)</author>
    <author>Maria Ayala</author>
  </authors>
  <commentList>
    <comment ref="T8" authorId="0" shapeId="0">
      <text>
        <t xml:space="preserve">Nota:
Incluir la fecha de comienzo del contrato en el siguiente formato: MM/DD/YYYY.
</t>
      </text>
    </comment>
    <comment ref="T9" authorId="0" shapeId="0">
      <text>
        <t xml:space="preserve">Nota: 
Incluir el número original de días para completar el proyecto.
</t>
      </text>
    </comment>
    <comment ref="T13" authorId="0" shapeId="0">
      <text>
        <t xml:space="preserve">Nota:
Si el fondo del encasillado es rojo, la modificación es considerada un cambio mayor (SOP).
</t>
      </text>
    </comment>
    <comment ref="E14" authorId="0" shapeId="0">
      <text>
        <t xml:space="preserve">Nota:
Fecha del informe mensual o del documento (CHO o EWO) donde se incluye el Modification Log. Incluir en el siguiente formato: MM/DD/YYYY
</t>
      </text>
    </comment>
    <comment ref="T14" authorId="0" shapeId="0">
      <text>
        <t xml:space="preserve">Nota:
Este % del proyecto es a la fecha del informe.
</t>
      </text>
    </comment>
    <comment ref="T15" authorId="0" shapeId="0">
      <text>
        <t>Nota:
Si el fondo del encasillado es rojo, la modificación es considerada un cambio mayor (SOP).</t>
      </text>
    </comment>
    <comment ref="T16" authorId="0" shapeId="0">
      <text>
        <t xml:space="preserve">Nota:
El % de trabajo realizado en el campo.
</t>
      </text>
    </comment>
    <comment ref="E17" authorId="0" shapeId="0">
      <text>
        <t xml:space="preserve">Nota:
Número de CHOs en el proyecto incluyendo el documento a ser incluido en este informe.
</t>
      </text>
    </comment>
    <comment ref="T17" authorId="0" shapeId="0">
      <text>
        <t xml:space="preserve">Nota:
Terminación real del proyecto.  Fecha que el administrador estima terminará el proyecto. Entre en el siguiente formato: MM/DD/YYYY
</t>
      </text>
    </comment>
    <comment ref="E18" authorId="0" shapeId="0">
      <text>
        <t xml:space="preserve">Nota:
Número de EWOs en el proyecto incluyendo el documento a ser incluido en este informe.
</t>
      </text>
    </comment>
    <comment ref="T18" authorId="0" shapeId="0">
      <text>
        <t>Nota:
Incluir fecha de terminación administrativa del contrato en la Oficina del Contralor. 
Celda con fondo rojo representa que la fecha es menor a la fecha actual.</t>
      </text>
    </comment>
    <comment ref="T19" authorId="0" shapeId="0">
      <text>
        <t>Nota:
Incluir fecha de terminación administrativa del contrato en el sistema financiero de FHWA, conocido como FMIS (Financial Management Information System). 
Celda con fondo rojo representa que la fecha es menor a la fecha actual.</t>
      </text>
    </comment>
    <comment ref="E22" authorId="0" shapeId="0">
      <text>
        <t xml:space="preserve">Nota:
Descripción general de los trabajos o "scope" del proyecto.
</t>
      </text>
    </comment>
    <comment ref="B31" authorId="1" shapeId="0">
      <text>
        <t>Nota:
Para completar esta tabla se utiliza el "Project Agreement".  La información se escribe directamente, no hay que hacer ningún cómputo.
Si el proyecto es estatal, solamente se llenan las columnas de State Funds.</t>
      </text>
    </comment>
    <comment ref="E33" authorId="0" shapeId="0">
      <text>
        <t xml:space="preserve">Nota:
Entre el valor de fondos federales participativos que se encuentra en el documento "Project Agreement" al final de cada unidad. Este valor representa todas las partidas elegibles para fondos federales.
</t>
      </text>
    </comment>
    <comment ref="G33" authorId="0" shapeId="0">
      <text>
        <t xml:space="preserve">Nota:
Entre el valor de la contigencia que se encuentra en el documento "Project Agreement" al final de cada unidad. </t>
      </text>
    </comment>
    <comment ref="I33" authorId="1" shapeId="0">
      <text>
        <t>Nota:
Entre el valor de fondos para "payroll, mileage and diets" que se encuentra en el documento "Project Agreement"al final de cada unidad. Los proyectos mas recientes no tienen este valor.</t>
      </text>
    </comment>
    <comment ref="K33" authorId="1" shapeId="0">
      <text>
        <t>Nota:
En el "Project Agreement", la penúltima página tiene una tabla de "SUMMARY OF COST".  La información viene de esa tabla, en la columna que lleva el mismo nombre.</t>
      </text>
    </comment>
    <comment ref="L33" authorId="0" shapeId="0">
      <text>
        <t xml:space="preserve">Nota:
Este campo se calcula automáticamente con la información incluida en las columnas anteriores.
</t>
      </text>
    </comment>
    <comment ref="M33" authorId="0" shapeId="0">
      <text>
        <t>Nota:
Este campo se calcula automáticamente con la información incluida en las columnas anteriores.</t>
      </text>
    </comment>
    <comment ref="N33" authorId="0" shapeId="0">
      <text>
        <t>Nota:
Este campo se calcula automáticamente con la información incluida en las columnas anteriores.</t>
      </text>
    </comment>
    <comment ref="O33" authorId="0" shapeId="0">
      <text>
        <t xml:space="preserve">Nota:
Este campo se calcula automáticamente con la información incluida en las columnas anteriores.
</t>
      </text>
    </comment>
    <comment ref="P33" authorId="0" shapeId="0">
      <text>
        <t>Nota:
Este campo se calcula automáticamente con la información incluida en las columnas anteriores.</t>
      </text>
    </comment>
    <comment ref="Q33" authorId="0" shapeId="0">
      <text>
        <t>Nota:
Entre el valor de fondos estateles (no participativos) que se encuentra en el documento "Project Agreement" al final de cada unidad.</t>
      </text>
    </comment>
    <comment ref="R33" authorId="0" shapeId="0">
      <text>
        <t xml:space="preserve">Nota:
Entre el valor de la contigencia para los fondos estatales (no participativos) que se encuentra en el documento "Project Agreement" al final de cada unidad. </t>
      </text>
    </comment>
    <comment ref="T33" authorId="0" shapeId="0">
      <text>
        <t xml:space="preserve">Nota:
Entre el valor de fondos para "payroll, mileage and diets" que se encuentra en el documento "Project Agreement"al final de cada unidad, respecto a los fondos estatales (no participativos). Los proyectos mas recientes no tienen este valor.
</t>
      </text>
    </comment>
    <comment ref="G68" authorId="0" shapeId="0">
      <text>
        <t>Nota:
Incluir el % de participación federal, según las partidas de pago en la modificación.</t>
      </text>
    </comment>
    <comment ref="H68" authorId="0" shapeId="0">
      <text>
        <t>Nota:
Este campo se calcula automáticamente con la información incluida en las columnas anteriores.</t>
      </text>
    </comment>
    <comment ref="K68" authorId="0" shapeId="0">
      <text>
        <t xml:space="preserve">Nota:
Este campo se calcula automáticamente con la información incluida en las columnas anteriores.
</t>
      </text>
    </comment>
    <comment ref="L68" authorId="0" shapeId="0">
      <text>
        <t xml:space="preserve">Nota:
Este campo se calcula automáticamente con la información incluida en las columnas anteriores.
</t>
      </text>
    </comment>
    <comment ref="M68" authorId="0" shapeId="0">
      <text>
        <t xml:space="preserve">Nota:
Este campo se calcula automáticamente con la información incluida en las columnas anteriores.
</t>
      </text>
    </comment>
    <comment ref="O68" authorId="0" shapeId="0">
      <text>
        <t xml:space="preserve">Nota:
Este campo se calcula automáticamente con la información incluida en las columnas anteriores. Para uso de la Oficina de Enlace Federal y Presupuesto.
</t>
      </text>
    </comment>
    <comment ref="P68" authorId="0" shapeId="0">
      <text>
        <t xml:space="preserve">Nota:
Este campo se calcula automáticamente con la información incluida en las columnas anteriores. Para uso de la Oficina de Enlace Federal y Presupuesto.
</t>
      </text>
    </comment>
    <comment ref="Q68" authorId="0" shapeId="0">
      <text>
        <t xml:space="preserve">Nota:
Incluir comentarios sobre las modificaciones al proyecto.
</t>
      </text>
    </comment>
    <comment ref="L226" authorId="1" shapeId="0">
      <text>
        <t>Nota:
Esta es la cantidad que excede la contingencia federal.</t>
      </text>
    </comment>
    <comment ref="O226" authorId="0" shapeId="0">
      <text>
        <t xml:space="preserve">Nota:
Esta es la cantidad que excede la contingencia para toll credits.
</t>
      </text>
    </comment>
    <comment ref="Q226" authorId="1" shapeId="0">
      <text>
        <t xml:space="preserve">Nota:
Esta es la cantidad que excede la contingencia estatal, es necesario añadir fondos estatales. </t>
      </text>
    </comment>
    <comment ref="E227" authorId="0" shapeId="0">
      <text>
        <t xml:space="preserve">Nota:
Si el encasillado está en rojo, el proyecto requiere de fondos adicionales.
</t>
      </text>
    </comment>
    <comment ref="E228" authorId="0" shapeId="0">
      <text>
        <t xml:space="preserve">Nota:
Si el encasillado está en rojo, el proyecto requiere de fondos adicionales.
</t>
      </text>
    </comment>
    <comment ref="E229" authorId="0" shapeId="0">
      <text>
        <t xml:space="preserve">Nota:
Si el encasillado está en rojo, el proyecto requiere de fondos adicionales.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fitToPage="1"/>
  </sheetPr>
  <dimension ref="B3:AF387"/>
  <sheetViews>
    <sheetView showGridLines="0" tabSelected="1" topLeftCell="A29" zoomScaleNormal="100" workbookViewId="0">
      <selection activeCell="I37" sqref="I37:J37"/>
    </sheetView>
  </sheetViews>
  <sheetFormatPr baseColWidth="8" defaultColWidth="0" defaultRowHeight="15.6" zeroHeight="1"/>
  <cols>
    <col width="21.19921875" customWidth="1" min="1" max="1"/>
    <col width="8.5" customWidth="1" min="2" max="3"/>
    <col width="2.296875" customWidth="1" min="4" max="4"/>
    <col width="5.8984375" customWidth="1" min="5" max="5"/>
    <col width="7.296875" customWidth="1" min="6" max="6"/>
    <col width="10.09765625" customWidth="1" min="7" max="7"/>
    <col width="5.8984375" customWidth="1" min="8" max="8"/>
    <col width="6.796875" customWidth="1" min="9" max="9"/>
    <col width="6.8984375" customWidth="1" min="10" max="10"/>
    <col width="14.09765625" customWidth="1" min="11" max="11"/>
    <col width="13.09765625" customWidth="1" min="12" max="12"/>
    <col width="13.19921875" customWidth="1" min="13" max="13"/>
    <col width="13.296875" customWidth="1" min="14" max="14"/>
    <col width="14.3984375" customWidth="1" min="15" max="15"/>
    <col width="12.796875" customWidth="1" min="16" max="16"/>
    <col width="14.3984375" customWidth="1" min="17" max="17"/>
    <col width="8" customWidth="1" min="18" max="19"/>
    <col width="7.59765625" customWidth="1" min="20" max="20"/>
    <col width="8.5" customWidth="1" min="21" max="21"/>
    <col width="12.296875" customWidth="1" min="22" max="22"/>
    <col hidden="1" width="10.5" customWidth="1" min="23" max="23"/>
    <col hidden="1" width="11.796875" customWidth="1" min="24" max="24"/>
    <col hidden="1" width="10.09765625" customWidth="1" min="25" max="25"/>
    <col hidden="1" width="11.19921875" customWidth="1" min="26" max="26"/>
    <col hidden="1" width="12.5" customWidth="1" min="27" max="27"/>
    <col hidden="1" width="9.5" customWidth="1" min="28" max="28"/>
    <col hidden="1" width="17.5" customWidth="1" min="29" max="29"/>
    <col hidden="1" width="10.3984375" customWidth="1" min="30" max="30"/>
    <col hidden="1" width="14.09765625" customWidth="1" min="31" max="31"/>
    <col width="14.09765625" customWidth="1" min="32" max="32"/>
    <col hidden="1" width="13" customWidth="1" min="33" max="40"/>
    <col hidden="1" width="18.09765625" customWidth="1" min="41" max="41"/>
    <col hidden="1" width="13" customWidth="1" min="42" max="49"/>
    <col hidden="1" width="9" customWidth="1" min="50" max="16384"/>
  </cols>
  <sheetData>
    <row r="3">
      <c r="S3" s="229" t="inlineStr">
        <is>
          <t>Ver: 11.29.2021</t>
        </is>
      </c>
      <c r="T3" s="261" t="n"/>
      <c r="U3" s="261" t="n"/>
    </row>
    <row r="4" ht="21" customHeight="1">
      <c r="B4" s="187" t="inlineStr">
        <is>
          <t>Construction Contract Modification Log</t>
        </is>
      </c>
      <c r="C4" s="262" t="n"/>
      <c r="D4" s="262" t="n"/>
      <c r="E4" s="262" t="n"/>
      <c r="F4" s="262" t="n"/>
      <c r="G4" s="262" t="n"/>
      <c r="H4" s="262" t="n"/>
      <c r="I4" s="262" t="n"/>
      <c r="J4" s="262" t="n"/>
      <c r="K4" s="262" t="n"/>
      <c r="L4" s="262" t="n"/>
      <c r="M4" s="262" t="n"/>
      <c r="N4" s="262" t="n"/>
      <c r="O4" s="262" t="n"/>
      <c r="P4" s="262" t="n"/>
      <c r="Q4" s="262" t="n"/>
      <c r="R4" s="262" t="n"/>
      <c r="S4" s="262" t="n"/>
      <c r="T4" s="262" t="n"/>
      <c r="U4" s="263" t="n"/>
      <c r="V4" s="10" t="n"/>
    </row>
    <row r="5" ht="6" customHeight="1"/>
    <row r="6" ht="15.75" customHeight="1">
      <c r="B6" s="188" t="inlineStr">
        <is>
          <t>General Information:</t>
        </is>
      </c>
      <c r="C6" s="262" t="n"/>
      <c r="D6" s="262" t="n"/>
      <c r="E6" s="262" t="n"/>
      <c r="F6" s="262" t="n"/>
      <c r="G6" s="262" t="n"/>
      <c r="H6" s="262" t="n"/>
      <c r="I6" s="262" t="n"/>
      <c r="J6" s="262" t="n"/>
      <c r="K6" s="262" t="n"/>
      <c r="L6" s="263" t="n"/>
      <c r="M6" s="188" t="inlineStr">
        <is>
          <t>Legend:</t>
        </is>
      </c>
      <c r="N6" s="262" t="n"/>
      <c r="O6" s="263" t="n"/>
      <c r="P6" s="190" t="inlineStr">
        <is>
          <t>Contract Time Information:</t>
        </is>
      </c>
      <c r="Q6" s="262" t="n"/>
      <c r="R6" s="262" t="n"/>
      <c r="S6" s="262" t="n"/>
      <c r="T6" s="262" t="n"/>
      <c r="U6" s="263" t="n"/>
      <c r="V6" s="11" t="n"/>
    </row>
    <row r="7" ht="6.75" customHeight="1">
      <c r="M7" s="264" t="n"/>
      <c r="N7" s="264" t="n"/>
      <c r="O7" s="264" t="n"/>
    </row>
    <row r="8" ht="18.75" customHeight="1">
      <c r="B8" s="153" t="inlineStr">
        <is>
          <t>Project Number:</t>
        </is>
      </c>
      <c r="E8" s="265" t="inlineStr">
        <is>
          <t>AC-017630</t>
        </is>
      </c>
      <c r="F8" s="266" t="n"/>
      <c r="G8" s="266" t="n"/>
      <c r="H8" s="266" t="n"/>
      <c r="I8" s="266" t="n"/>
      <c r="J8" s="266" t="n"/>
      <c r="K8" s="266" t="n"/>
      <c r="L8" s="266" t="n"/>
      <c r="M8" s="267" t="inlineStr">
        <is>
          <t>White cells, project administrator will provide project information (input cells).</t>
        </is>
      </c>
      <c r="N8" s="268" t="n"/>
      <c r="O8" s="269" t="n"/>
      <c r="P8" s="143" t="inlineStr">
        <is>
          <t>Contract Beginning Date:</t>
        </is>
      </c>
      <c r="T8" s="192" t="n">
        <v>44348</v>
      </c>
      <c r="U8" s="266" t="n"/>
      <c r="V8" s="12" t="n"/>
    </row>
    <row r="9" ht="18.75" customHeight="1">
      <c r="B9" s="153" t="inlineStr">
        <is>
          <t>Federal Number:</t>
        </is>
      </c>
      <c r="E9" s="265" t="inlineStr">
        <is>
          <t>ZP-176(3)</t>
        </is>
      </c>
      <c r="F9" s="266" t="n"/>
      <c r="G9" s="266" t="n"/>
      <c r="H9" s="266" t="n"/>
      <c r="I9" s="266" t="n"/>
      <c r="J9" s="266" t="n"/>
      <c r="K9" s="266" t="n"/>
      <c r="L9" s="266" t="n"/>
      <c r="M9" s="270" t="n"/>
      <c r="N9" s="261" t="n"/>
      <c r="O9" s="271" t="n"/>
      <c r="P9" s="153" t="inlineStr">
        <is>
          <t>Original Contract Time:</t>
        </is>
      </c>
      <c r="T9" s="198" t="n">
        <v>420</v>
      </c>
      <c r="U9" s="272" t="n"/>
      <c r="V9" s="13" t="n"/>
    </row>
    <row r="10" ht="18.75" customHeight="1">
      <c r="B10" s="153" t="inlineStr">
        <is>
          <t>Oracle Number:</t>
        </is>
      </c>
      <c r="C10" s="153" t="n"/>
      <c r="D10" s="153" t="n"/>
      <c r="E10" s="265" t="inlineStr">
        <is>
          <t>F000176030</t>
        </is>
      </c>
      <c r="F10" s="266" t="n"/>
      <c r="G10" s="266" t="n"/>
      <c r="H10" s="266" t="n"/>
      <c r="I10" s="266" t="n"/>
      <c r="J10" s="266" t="n"/>
      <c r="K10" s="266" t="n"/>
      <c r="L10" s="266" t="n"/>
      <c r="M10" s="182" t="inlineStr">
        <is>
          <t>Color cells, the excel file will make calculations (formula cells).</t>
        </is>
      </c>
      <c r="N10" s="268" t="n"/>
      <c r="O10" s="269" t="n"/>
      <c r="P10" s="153" t="inlineStr">
        <is>
          <t>Original Termination Date:</t>
        </is>
      </c>
      <c r="T10" s="170">
        <f>IF(T8&gt;0,(T8+T9-1)," ")</f>
        <v/>
      </c>
      <c r="U10" s="262" t="n"/>
      <c r="V10" s="12" t="n"/>
    </row>
    <row r="11" ht="18.75" customHeight="1">
      <c r="B11" s="153" t="inlineStr">
        <is>
          <t>Project Tittle:</t>
        </is>
      </c>
      <c r="C11" s="153" t="n"/>
      <c r="D11" s="153" t="n"/>
      <c r="E11" s="273" t="inlineStr">
        <is>
          <t>Highway Safety Improvements Highway PR-176, km 0.00 to 4.00 San Juan, PR</t>
        </is>
      </c>
      <c r="F11" s="266" t="n"/>
      <c r="G11" s="266" t="n"/>
      <c r="H11" s="266" t="n"/>
      <c r="I11" s="266" t="n"/>
      <c r="J11" s="266" t="n"/>
      <c r="K11" s="266" t="n"/>
      <c r="L11" s="266" t="n"/>
      <c r="M11" s="270" t="n"/>
      <c r="N11" s="261" t="n"/>
      <c r="O11" s="271" t="n"/>
      <c r="P11" s="153" t="inlineStr">
        <is>
          <t>Total Time Extensions (Days):</t>
        </is>
      </c>
      <c r="T11" s="201">
        <f>N223</f>
        <v/>
      </c>
      <c r="U11" s="262" t="n"/>
      <c r="V11" s="13" t="n"/>
    </row>
    <row r="12" ht="18.75" customHeight="1">
      <c r="B12" s="153" t="inlineStr">
        <is>
          <t xml:space="preserve">Contractor : </t>
        </is>
      </c>
      <c r="C12" s="153" t="n"/>
      <c r="D12" s="153" t="n"/>
      <c r="E12" s="274" t="inlineStr">
        <is>
          <t>Puerto Rico Asphalt, LLC</t>
        </is>
      </c>
      <c r="F12" s="272" t="n"/>
      <c r="G12" s="272" t="n"/>
      <c r="H12" s="272" t="n"/>
      <c r="I12" s="272" t="n"/>
      <c r="J12" s="272" t="n"/>
      <c r="K12" s="272" t="n"/>
      <c r="L12" s="275" t="n"/>
      <c r="M12" s="204" t="inlineStr">
        <is>
          <t>Gray cells &amp; Blue Font Color, attention is required (see comment in the cells).</t>
        </is>
      </c>
      <c r="N12" s="268" t="n"/>
      <c r="O12" s="269" t="n"/>
      <c r="P12" s="153" t="inlineStr">
        <is>
          <t>Revised Termination Date:</t>
        </is>
      </c>
      <c r="T12" s="170">
        <f>IF(T11&gt;0,(T10+T11),T10)</f>
        <v/>
      </c>
      <c r="U12" s="262" t="n"/>
      <c r="V12" s="14" t="n"/>
    </row>
    <row r="13" ht="18.75" customHeight="1">
      <c r="B13" s="153" t="inlineStr">
        <is>
          <t>Project Manager:</t>
        </is>
      </c>
      <c r="C13" s="153" t="n"/>
      <c r="D13" s="153" t="n"/>
      <c r="E13" s="265" t="inlineStr">
        <is>
          <t>Ing. Luis R. Pastor Reyes</t>
        </is>
      </c>
      <c r="F13" s="266" t="n"/>
      <c r="G13" s="266" t="n"/>
      <c r="H13" s="266" t="n"/>
      <c r="I13" s="266" t="n"/>
      <c r="J13" s="266" t="n"/>
      <c r="K13" s="266" t="n"/>
      <c r="L13" s="266" t="n"/>
      <c r="M13" s="270" t="n"/>
      <c r="N13" s="261" t="n"/>
      <c r="O13" s="271" t="n"/>
      <c r="P13" s="153" t="inlineStr">
        <is>
          <t>Change in Contract Time (%):</t>
        </is>
      </c>
      <c r="T13" s="200">
        <f>IF(T8&gt;0,((T11)/T9),0)</f>
        <v/>
      </c>
      <c r="U13" s="261" t="n"/>
      <c r="V13" s="15" t="n"/>
    </row>
    <row r="14" ht="18.75" customHeight="1">
      <c r="B14" s="153" t="inlineStr">
        <is>
          <t>Date:</t>
        </is>
      </c>
      <c r="C14" s="153" t="n"/>
      <c r="D14" s="153" t="n"/>
      <c r="E14" s="193" t="n">
        <v>45428</v>
      </c>
      <c r="F14" s="272" t="n"/>
      <c r="G14" s="272" t="n"/>
      <c r="H14" s="272" t="n"/>
      <c r="I14" s="272" t="n"/>
      <c r="J14" s="272" t="n"/>
      <c r="K14" s="272" t="n"/>
      <c r="L14" s="272" t="n"/>
      <c r="M14" s="203" t="inlineStr">
        <is>
          <t>Red Cells, possible action by PRHTA (red flag).</t>
        </is>
      </c>
      <c r="N14" s="262" t="n"/>
      <c r="O14" s="263" t="n"/>
      <c r="P14" s="153" t="inlineStr">
        <is>
          <t>Time Completed to Date (%):</t>
        </is>
      </c>
      <c r="T14" s="199">
        <f>IF(I16="YES",IF(W14&gt;1,1,W14),W14)</f>
        <v/>
      </c>
      <c r="U14" s="262" t="n"/>
      <c r="V14" s="5" t="n"/>
      <c r="W14" s="40">
        <f>IF(E14&gt;0,((E14-T8)/(T12-T8)),0)</f>
        <v/>
      </c>
    </row>
    <row r="15" ht="18.75" customHeight="1">
      <c r="J15" s="59" t="n"/>
      <c r="K15" s="59" t="n"/>
      <c r="L15" s="59" t="n"/>
      <c r="M15" s="144" t="inlineStr">
        <is>
          <t>Red Font Color are for negative numbers or quantities.</t>
        </is>
      </c>
      <c r="N15" s="268" t="n"/>
      <c r="O15" s="269" t="n"/>
      <c r="P15" s="143" t="inlineStr">
        <is>
          <t>Change in Contract Amount (%):</t>
        </is>
      </c>
      <c r="Q15" s="143" t="n"/>
      <c r="R15" s="143" t="n"/>
      <c r="S15" s="143" t="n"/>
      <c r="T15" s="135">
        <f>IF(E225&gt;0,(E225/E62),0)</f>
        <v/>
      </c>
      <c r="U15" s="261" t="n"/>
      <c r="V15" s="5" t="n"/>
      <c r="W15" s="40" t="n"/>
    </row>
    <row r="16" ht="18.75" customHeight="1">
      <c r="B16" s="143" t="inlineStr">
        <is>
          <t>Has the project reached substantial completion?</t>
        </is>
      </c>
      <c r="H16" s="39" t="inlineStr">
        <is>
          <t>Y/N?</t>
        </is>
      </c>
      <c r="I16" s="65" t="inlineStr">
        <is>
          <t>NO</t>
        </is>
      </c>
      <c r="M16" s="270" t="n"/>
      <c r="N16" s="261" t="n"/>
      <c r="O16" s="271" t="n"/>
      <c r="P16" s="143" t="inlineStr">
        <is>
          <t>% Work Performed to Date:</t>
        </is>
      </c>
      <c r="Q16" s="143" t="n"/>
      <c r="R16" s="143" t="n"/>
      <c r="S16" s="143" t="n"/>
      <c r="T16" s="140" t="n">
        <v>0.4</v>
      </c>
      <c r="U16" s="272" t="n"/>
      <c r="V16" s="2" t="n"/>
    </row>
    <row r="17" ht="18.75" customHeight="1">
      <c r="B17" s="16" t="inlineStr">
        <is>
          <t>No. of CHO documents:</t>
        </is>
      </c>
      <c r="C17" s="16" t="n"/>
      <c r="D17" s="16" t="n"/>
      <c r="E17" s="141" t="n">
        <v>4</v>
      </c>
      <c r="F17" s="266" t="n"/>
      <c r="G17" s="276" t="n"/>
      <c r="H17" s="276" t="n"/>
      <c r="J17" s="276" t="n"/>
      <c r="L17" s="277" t="n"/>
      <c r="M17" s="277" t="n"/>
      <c r="N17" s="277" t="n"/>
      <c r="P17" s="153" t="inlineStr">
        <is>
          <t>Estimated Completion Date:</t>
        </is>
      </c>
      <c r="Q17" s="153" t="n"/>
      <c r="R17" s="153" t="n"/>
      <c r="S17" s="153" t="n"/>
      <c r="T17" s="142" t="n">
        <v>44767</v>
      </c>
      <c r="U17" s="272" t="n"/>
      <c r="V17" s="5" t="n"/>
    </row>
    <row r="18" ht="18.75" customHeight="1">
      <c r="B18" s="16" t="inlineStr">
        <is>
          <t>No. of EWO documents:</t>
        </is>
      </c>
      <c r="C18" s="16" t="n"/>
      <c r="D18" s="16" t="n"/>
      <c r="E18" s="141" t="n">
        <v>6</v>
      </c>
      <c r="F18" s="266" t="n"/>
      <c r="G18" s="276" t="n"/>
      <c r="H18" s="276" t="n"/>
      <c r="I18" s="276" t="n"/>
      <c r="J18" s="276" t="n"/>
      <c r="K18" s="276" t="n"/>
      <c r="L18" s="276" t="n"/>
      <c r="P18" s="143" t="inlineStr">
        <is>
          <t>Administrative Date of Comptroller Office  (Contralor):</t>
        </is>
      </c>
      <c r="T18" s="142" t="n">
        <v>45542</v>
      </c>
      <c r="U18" s="272" t="n"/>
      <c r="V18" s="5" t="n"/>
      <c r="W18">
        <f>T18-E14</f>
        <v/>
      </c>
    </row>
    <row r="19" ht="18.75" customHeight="1">
      <c r="B19" s="16" t="n"/>
      <c r="C19" s="16" t="n"/>
      <c r="D19" s="16" t="n"/>
      <c r="E19" s="7" t="n"/>
      <c r="F19" s="7" t="n"/>
      <c r="G19" s="276" t="n"/>
      <c r="H19" s="276" t="n"/>
      <c r="I19" s="276" t="n"/>
      <c r="J19" s="276" t="n"/>
      <c r="K19" s="276" t="n"/>
      <c r="L19" s="276" t="n"/>
      <c r="P19" s="143" t="inlineStr">
        <is>
          <t>Project End Date (FMIS):</t>
        </is>
      </c>
      <c r="T19" s="142" t="n">
        <v>45145</v>
      </c>
      <c r="U19" s="272" t="n"/>
      <c r="V19" s="5" t="n"/>
      <c r="W19">
        <f>T19-E14</f>
        <v/>
      </c>
    </row>
    <row r="20" ht="18.75" customHeight="1">
      <c r="B20" s="16" t="n"/>
      <c r="C20" s="16" t="n"/>
      <c r="D20" s="16" t="n"/>
      <c r="E20" s="7" t="n"/>
      <c r="F20" s="7" t="n"/>
      <c r="G20" s="276" t="n"/>
      <c r="H20" s="276" t="n"/>
      <c r="I20" s="276" t="n"/>
      <c r="J20" s="276" t="n"/>
      <c r="K20" s="276" t="n"/>
      <c r="L20" s="276" t="n"/>
      <c r="P20" s="143" t="n"/>
      <c r="Q20" s="143" t="n"/>
      <c r="R20" s="143" t="n"/>
      <c r="S20" s="143" t="n"/>
      <c r="T20" s="12" t="n"/>
      <c r="U20" s="12" t="n"/>
      <c r="V20" s="5" t="n"/>
    </row>
    <row r="21" ht="6.75" customHeight="1">
      <c r="B21" s="16" t="n"/>
      <c r="C21" s="16" t="n"/>
      <c r="D21" s="16" t="n"/>
      <c r="L21" s="278" t="n"/>
      <c r="M21" s="278" t="n"/>
      <c r="N21" s="278" t="n"/>
      <c r="O21" s="278" t="n"/>
      <c r="P21" s="278" t="n"/>
      <c r="Q21" s="278" t="n"/>
    </row>
    <row r="22" ht="26.25" customHeight="1">
      <c r="B22" s="171" t="inlineStr">
        <is>
          <t>Project Description:</t>
        </is>
      </c>
      <c r="E22" s="279" t="inlineStr">
        <is>
          <t>This project is located on Highway PR-176 from kilometer 0.00 to 4.00 for total length of 4 km. The Pavement Rehabiltation and Safety Improvement Project for PR-176, commences at its intersection with PR-1 and continue along the exixting highway up to the intersection with PR-199 in the municipality of San Juan. The proposed works consist of the improvements to the exixting roadside safety elements at highway PR-176. The works to be performed also include: maintenance and protection of traffic, cold milling and placement of bituminous pavement, the aplication thermoplastic pavement marking, installation of traffic signs, removal, storage and delivered of exixting guard rail, furnishing and installation of Wbeam guard rail single face and double face, contruction of new transition  modules traffic signals and other miscellaneous works as shown on plans.</t>
        </is>
      </c>
      <c r="F22" s="280" t="n"/>
      <c r="G22" s="280" t="n"/>
      <c r="H22" s="280" t="n"/>
      <c r="I22" s="280" t="n"/>
      <c r="J22" s="280" t="n"/>
      <c r="K22" s="280" t="n"/>
      <c r="L22" s="280" t="n"/>
      <c r="M22" s="280" t="n"/>
      <c r="N22" s="280" t="n"/>
      <c r="O22" s="280" t="n"/>
      <c r="P22" s="280" t="n"/>
      <c r="Q22" s="280" t="n"/>
      <c r="R22" s="280" t="n"/>
      <c r="S22" s="280" t="n"/>
      <c r="T22" s="280" t="n"/>
      <c r="U22" s="281" t="n"/>
      <c r="V22" s="19" t="n"/>
    </row>
    <row r="23" ht="26.25" customHeight="1">
      <c r="B23" s="181" t="n"/>
      <c r="E23" s="282" t="n"/>
      <c r="F23" s="283" t="n"/>
      <c r="G23" s="283" t="n"/>
      <c r="H23" s="283" t="n"/>
      <c r="I23" s="283" t="n"/>
      <c r="J23" s="283" t="n"/>
      <c r="K23" s="283" t="n"/>
      <c r="L23" s="283" t="n"/>
      <c r="M23" s="283" t="n"/>
      <c r="N23" s="283" t="n"/>
      <c r="O23" s="283" t="n"/>
      <c r="P23" s="283" t="n"/>
      <c r="Q23" s="283" t="n"/>
      <c r="R23" s="283" t="n"/>
      <c r="S23" s="283" t="n"/>
      <c r="T23" s="283" t="n"/>
      <c r="U23" s="284" t="n"/>
      <c r="V23" s="19" t="n"/>
    </row>
    <row r="24" ht="26.25" customHeight="1">
      <c r="B24" s="181" t="n"/>
      <c r="E24" s="282" t="n"/>
      <c r="F24" s="283" t="n"/>
      <c r="G24" s="283" t="n"/>
      <c r="H24" s="283" t="n"/>
      <c r="I24" s="283" t="n"/>
      <c r="J24" s="283" t="n"/>
      <c r="K24" s="283" t="n"/>
      <c r="L24" s="283" t="n"/>
      <c r="M24" s="283" t="n"/>
      <c r="N24" s="283" t="n"/>
      <c r="O24" s="283" t="n"/>
      <c r="P24" s="283" t="n"/>
      <c r="Q24" s="283" t="n"/>
      <c r="R24" s="283" t="n"/>
      <c r="S24" s="283" t="n"/>
      <c r="T24" s="283" t="n"/>
      <c r="U24" s="284" t="n"/>
      <c r="V24" s="19" t="n"/>
    </row>
    <row r="25" ht="26.25" customHeight="1">
      <c r="B25" s="181" t="n"/>
      <c r="E25" s="285" t="n"/>
      <c r="F25" s="266" t="n"/>
      <c r="G25" s="266" t="n"/>
      <c r="H25" s="266" t="n"/>
      <c r="I25" s="266" t="n"/>
      <c r="J25" s="266" t="n"/>
      <c r="K25" s="266" t="n"/>
      <c r="L25" s="266" t="n"/>
      <c r="M25" s="266" t="n"/>
      <c r="N25" s="266" t="n"/>
      <c r="O25" s="266" t="n"/>
      <c r="P25" s="266" t="n"/>
      <c r="Q25" s="266" t="n"/>
      <c r="R25" s="266" t="n"/>
      <c r="S25" s="266" t="n"/>
      <c r="T25" s="266" t="n"/>
      <c r="U25" s="286" t="n"/>
      <c r="V25" s="19" t="n"/>
    </row>
    <row r="26" ht="9.75" customHeight="1">
      <c r="B26" s="181" t="n"/>
      <c r="C26" s="181" t="n"/>
      <c r="D26" s="181" t="n"/>
      <c r="E26" s="19" t="n"/>
      <c r="F26" s="19" t="n"/>
      <c r="G26" s="19" t="n"/>
      <c r="H26" s="19" t="n"/>
      <c r="I26" s="19" t="n"/>
      <c r="J26" s="19" t="n"/>
      <c r="K26" s="19" t="n"/>
      <c r="L26" s="19" t="n"/>
      <c r="M26" s="19" t="n"/>
      <c r="N26" s="19" t="n"/>
      <c r="O26" s="19" t="n"/>
      <c r="P26" s="19" t="n"/>
      <c r="Q26" s="19" t="n"/>
      <c r="R26" s="19" t="n"/>
      <c r="S26" s="19" t="n"/>
      <c r="T26" s="19" t="n"/>
      <c r="U26" s="19" t="n"/>
      <c r="V26" s="19" t="n"/>
    </row>
    <row r="27">
      <c r="B27" s="181" t="n"/>
      <c r="C27" s="181" t="n"/>
      <c r="D27" s="181" t="n"/>
      <c r="E27" s="19" t="n"/>
      <c r="F27" s="19" t="n"/>
      <c r="G27" s="19" t="n"/>
      <c r="I27" s="19" t="n"/>
      <c r="J27" s="19" t="n"/>
      <c r="K27" s="63" t="inlineStr">
        <is>
          <t>NOTES:</t>
        </is>
      </c>
      <c r="L27" s="19" t="n"/>
      <c r="M27" s="19" t="n"/>
      <c r="N27" s="19" t="n"/>
      <c r="O27" s="19" t="n"/>
      <c r="P27" s="19" t="n"/>
      <c r="Q27" s="19" t="n"/>
      <c r="R27" s="19" t="n"/>
      <c r="S27" s="19" t="n"/>
      <c r="T27" s="19" t="n"/>
      <c r="U27" s="19" t="n"/>
      <c r="V27" s="19" t="n"/>
    </row>
    <row r="28" ht="18" customHeight="1">
      <c r="B28" s="158" t="inlineStr">
        <is>
          <t>Is this project eligible for toll credits?</t>
        </is>
      </c>
      <c r="H28" s="39" t="inlineStr">
        <is>
          <t>Y/N?</t>
        </is>
      </c>
      <c r="I28" s="64" t="inlineStr">
        <is>
          <t>YES</t>
        </is>
      </c>
      <c r="K28" s="287" t="inlineStr">
        <is>
          <t>1- Examples of projects that are not eligible for toll credits (answer to the question is NO): ER Projects and Old Projects without Toll Credits.</t>
        </is>
      </c>
      <c r="L28" s="262" t="n"/>
      <c r="M28" s="262" t="n"/>
      <c r="N28" s="262" t="n"/>
      <c r="O28" s="262" t="n"/>
      <c r="P28" s="262" t="n"/>
      <c r="Q28" s="262" t="n"/>
      <c r="R28" s="262" t="n"/>
      <c r="S28" s="262" t="n"/>
      <c r="T28" s="262" t="n"/>
      <c r="U28" s="263" t="n"/>
      <c r="V28" s="19" t="n"/>
    </row>
    <row r="29" ht="18" customHeight="1">
      <c r="B29" s="156" t="inlineStr">
        <is>
          <t>Does the project have pay items with ER funds?</t>
        </is>
      </c>
      <c r="G29" s="288" t="n"/>
      <c r="H29" s="39" t="inlineStr">
        <is>
          <t>Y/N?</t>
        </is>
      </c>
      <c r="I29" s="65" t="inlineStr">
        <is>
          <t>NO</t>
        </is>
      </c>
      <c r="K29" s="157">
        <f>IF(I29="NO","",IF(I29="","","2- Reminder: The project manager will develop separate ROAs for CHO or EWO with ER funded pay items from regular federally funded modifications."))</f>
        <v/>
      </c>
      <c r="V29" s="19" t="n"/>
    </row>
    <row r="30" ht="14.25" customHeight="1">
      <c r="B30" s="181" t="n"/>
    </row>
    <row r="31">
      <c r="B31" s="131" t="inlineStr">
        <is>
          <t>Original Project Funds Information</t>
        </is>
      </c>
      <c r="C31" s="262" t="n"/>
      <c r="D31" s="262" t="n"/>
      <c r="E31" s="262" t="n"/>
      <c r="F31" s="262" t="n"/>
      <c r="G31" s="262" t="n"/>
      <c r="H31" s="262" t="n"/>
      <c r="I31" s="262" t="n"/>
      <c r="J31" s="262" t="n"/>
      <c r="K31" s="262" t="n"/>
      <c r="L31" s="262" t="n"/>
      <c r="M31" s="262" t="n"/>
      <c r="N31" s="262" t="n"/>
      <c r="O31" s="262" t="n"/>
      <c r="P31" s="262" t="n"/>
      <c r="Q31" s="262" t="n"/>
      <c r="R31" s="262" t="n"/>
      <c r="S31" s="262" t="n"/>
      <c r="T31" s="262" t="n"/>
      <c r="U31" s="263" t="n"/>
      <c r="V31" s="11" t="n"/>
    </row>
    <row r="32" ht="15" customHeight="1">
      <c r="B32" s="133" t="inlineStr">
        <is>
          <t>Units</t>
        </is>
      </c>
      <c r="C32" s="132" t="inlineStr">
        <is>
          <t>Federal Share                         %</t>
        </is>
      </c>
      <c r="D32" s="269" t="n"/>
      <c r="E32" s="133" t="inlineStr">
        <is>
          <t>INPUT PROJECT AGREEMENT</t>
        </is>
      </c>
      <c r="F32" s="262" t="n"/>
      <c r="G32" s="262" t="n"/>
      <c r="H32" s="262" t="n"/>
      <c r="I32" s="262" t="n"/>
      <c r="J32" s="263" t="n"/>
      <c r="K32" s="134" t="inlineStr">
        <is>
          <t>FEDERAL FUNDS</t>
        </is>
      </c>
      <c r="L32" s="262" t="n"/>
      <c r="M32" s="262" t="n"/>
      <c r="N32" s="263" t="n"/>
      <c r="O32" s="154" t="inlineStr">
        <is>
          <t>STATE FUNDS</t>
        </is>
      </c>
      <c r="P32" s="262" t="n"/>
      <c r="Q32" s="262" t="n"/>
      <c r="R32" s="262" t="n"/>
      <c r="S32" s="262" t="n"/>
      <c r="T32" s="262" t="n"/>
      <c r="U32" s="263" t="n"/>
      <c r="V32" s="11" t="n"/>
    </row>
    <row r="33" ht="17.25" customHeight="1">
      <c r="B33" s="289" t="n"/>
      <c r="C33" s="290" t="n"/>
      <c r="D33" s="288" t="n"/>
      <c r="E33" s="183" t="inlineStr">
        <is>
          <t xml:space="preserve">Participating </t>
        </is>
      </c>
      <c r="F33" s="269" t="n"/>
      <c r="G33" s="183" t="inlineStr">
        <is>
          <t>Contingencies (Participating)</t>
        </is>
      </c>
      <c r="H33" s="269" t="n"/>
      <c r="I33" s="183" t="inlineStr">
        <is>
          <t>Payroll, Mileage and Diets</t>
        </is>
      </c>
      <c r="J33" s="269" t="n"/>
      <c r="K33" s="132" t="inlineStr">
        <is>
          <t>F.A. Funds Requested</t>
        </is>
      </c>
      <c r="L33" s="132" t="inlineStr">
        <is>
          <t>Contingencies (Federal Funds)</t>
        </is>
      </c>
      <c r="M33" s="132" t="inlineStr">
        <is>
          <t xml:space="preserve">Calculation of Toll Credits </t>
        </is>
      </c>
      <c r="N33" s="132" t="inlineStr">
        <is>
          <t>Contingencies (Toll Credits)</t>
        </is>
      </c>
      <c r="O33" s="182" t="inlineStr">
        <is>
          <t>State Share of Federal Funds</t>
        </is>
      </c>
      <c r="P33" s="182" t="inlineStr">
        <is>
          <t>Contingencies (State Share)</t>
        </is>
      </c>
      <c r="Q33" s="182" t="inlineStr">
        <is>
          <t>Not Participating (State Funds)</t>
        </is>
      </c>
      <c r="R33" s="182" t="inlineStr">
        <is>
          <t>Contingencies 
(Not Participating)</t>
        </is>
      </c>
      <c r="S33" s="269" t="n"/>
      <c r="T33" s="182" t="inlineStr">
        <is>
          <t>Payroll, Mileage and Diets</t>
        </is>
      </c>
      <c r="U33" s="269" t="n"/>
      <c r="V33" s="20" t="n"/>
    </row>
    <row r="34" ht="17.25" customHeight="1">
      <c r="B34" s="291" t="n"/>
      <c r="C34" s="270" t="n"/>
      <c r="D34" s="271" t="n"/>
      <c r="E34" s="270" t="n"/>
      <c r="F34" s="271" t="n"/>
      <c r="G34" s="270" t="n"/>
      <c r="H34" s="271" t="n"/>
      <c r="I34" s="270" t="n"/>
      <c r="J34" s="271" t="n"/>
      <c r="K34" s="291" t="n"/>
      <c r="L34" s="291" t="n"/>
      <c r="M34" s="291" t="n"/>
      <c r="N34" s="291" t="n"/>
      <c r="O34" s="291" t="n"/>
      <c r="P34" s="291" t="n"/>
      <c r="Q34" s="291" t="n"/>
      <c r="R34" s="270" t="n"/>
      <c r="S34" s="271" t="n"/>
      <c r="T34" s="270" t="n"/>
      <c r="U34" s="271" t="n"/>
      <c r="V34" s="20" t="n"/>
      <c r="W34" s="292" t="n"/>
      <c r="X34" s="292" t="n"/>
    </row>
    <row r="35">
      <c r="B35" s="22" t="inlineStr">
        <is>
          <t>Unit 1</t>
        </is>
      </c>
      <c r="C35" s="129">
        <f>IF(K35&gt;0,(K35)/(E35+G35+I35),"N/A")</f>
        <v/>
      </c>
      <c r="D35" s="263" t="n"/>
      <c r="E35" s="293" t="n">
        <v>1937696</v>
      </c>
      <c r="F35" s="275" t="n"/>
      <c r="G35" s="293" t="n">
        <v>193769.6</v>
      </c>
      <c r="H35" s="275" t="n"/>
      <c r="I35" s="293" t="n"/>
      <c r="J35" s="275" t="n"/>
      <c r="K35" s="294" t="n">
        <v>1710501.14</v>
      </c>
      <c r="L35" s="295">
        <f>ROUND(IF(C35="N/A",0,G35*C35),2)</f>
        <v/>
      </c>
      <c r="M35" s="295">
        <f>ROUND(IF($I$28="YES",IF(C35="N/A",0,(E35+G35+I35)*(1-C35)),0),2)</f>
        <v/>
      </c>
      <c r="N35" s="295">
        <f>ROUND(IF($I$28="YES",IF(C35="N/A",0,G35*(1-C35)),0),2)</f>
        <v/>
      </c>
      <c r="O35" s="296">
        <f>ROUND(IF($I$28="NO",IF(C35="N/A",0,(E35+G35+I35)*(1-C35)),0),2)</f>
        <v/>
      </c>
      <c r="P35" s="296">
        <f>ROUND(IF($I$28="NO",IF(C35="N/A",0,G35*(1-C35)),0),2)</f>
        <v/>
      </c>
      <c r="Q35" s="297" t="n">
        <v>58670</v>
      </c>
      <c r="R35" s="297" t="n">
        <v>5867</v>
      </c>
      <c r="S35" s="275" t="n"/>
      <c r="T35" s="297" t="n"/>
      <c r="U35" s="275" t="n"/>
      <c r="V35" s="298" t="n"/>
      <c r="W35" s="292" t="n"/>
      <c r="X35" s="292" t="n"/>
    </row>
    <row r="36">
      <c r="B36" s="22" t="inlineStr">
        <is>
          <t>Unit 2</t>
        </is>
      </c>
      <c r="C36" s="129">
        <f>IF(K36&gt;0,(K36)/(E36+G36+I36),"N/A")</f>
        <v/>
      </c>
      <c r="D36" s="263" t="n"/>
      <c r="E36" s="293" t="n">
        <v>44161</v>
      </c>
      <c r="F36" s="275" t="n"/>
      <c r="G36" s="293" t="n">
        <v>4416.1</v>
      </c>
      <c r="H36" s="275" t="n"/>
      <c r="I36" s="293" t="n"/>
      <c r="J36" s="275" t="n"/>
      <c r="K36" s="294" t="n">
        <v>48577.1</v>
      </c>
      <c r="L36" s="295">
        <f>ROUND(IF(C36="N/A",0,G36*C36),2)</f>
        <v/>
      </c>
      <c r="M36" s="295">
        <f>ROUND(IF($I$28="YES",IF(C36="N/A",0,(E36+G36+I36)*(1-C36)),0),2)</f>
        <v/>
      </c>
      <c r="N36" s="295">
        <f>ROUND(IF($I$28="YES",IF(C36="N/A",0,G36*(1-C36)),0),2)</f>
        <v/>
      </c>
      <c r="O36" s="296">
        <f>ROUND(IF($I$28="NO",IF(C36="N/A",0,(E36+G36+I36)*(1-C36)),0),2)</f>
        <v/>
      </c>
      <c r="P36" s="296">
        <f>ROUND(IF($I$28="NO",IF(C36="N/A",0,G36*(1-C36)),0),2)</f>
        <v/>
      </c>
      <c r="Q36" s="297" t="n">
        <v>0</v>
      </c>
      <c r="R36" s="297" t="n">
        <v>0</v>
      </c>
      <c r="S36" s="275" t="n"/>
      <c r="T36" s="297" t="n"/>
      <c r="U36" s="275" t="n"/>
      <c r="V36" s="298" t="n"/>
      <c r="W36" s="292" t="n"/>
      <c r="X36" s="292" t="n"/>
    </row>
    <row r="37">
      <c r="B37" s="22" t="inlineStr">
        <is>
          <t>Unit 3</t>
        </is>
      </c>
      <c r="C37" s="129">
        <f>IF(K37&gt;0,(K37)/(E37+G37+I37),"N/A")</f>
        <v/>
      </c>
      <c r="D37" s="263" t="n"/>
      <c r="E37" s="293" t="n">
        <v>218354</v>
      </c>
      <c r="F37" s="275" t="n"/>
      <c r="G37" s="293" t="n">
        <v>21835.4</v>
      </c>
      <c r="H37" s="275" t="n"/>
      <c r="I37" s="293" t="n"/>
      <c r="J37" s="275" t="n"/>
      <c r="K37" s="294" t="n">
        <v>240189.4</v>
      </c>
      <c r="L37" s="295">
        <f>ROUND(IF(C37="N/A",0,G37*C37),2)</f>
        <v/>
      </c>
      <c r="M37" s="295">
        <f>ROUND(IF($I$28="YES",IF(C37="N/A",0,(E37+G37+I37)*(1-C37)),0),2)</f>
        <v/>
      </c>
      <c r="N37" s="295">
        <f>ROUND(IF($I$28="YES",IF(C37="N/A",0,G37*(1-C37)),0),2)</f>
        <v/>
      </c>
      <c r="O37" s="296">
        <f>ROUND(IF($I$28="NO",IF(C37="N/A",0,(E37+G37+I37)*(1-C37)),0),2)</f>
        <v/>
      </c>
      <c r="P37" s="296">
        <f>ROUND(IF($I$28="NO",IF(C37="N/A",0,G37*(1-C37)),0),2)</f>
        <v/>
      </c>
      <c r="Q37" s="297" t="n">
        <v>0</v>
      </c>
      <c r="R37" s="297" t="n">
        <v>0</v>
      </c>
      <c r="S37" s="275" t="n"/>
      <c r="T37" s="297" t="n"/>
      <c r="U37" s="275" t="n"/>
      <c r="V37" s="298" t="n"/>
      <c r="W37" s="292" t="n"/>
      <c r="X37" s="292" t="n"/>
    </row>
    <row r="38">
      <c r="B38" s="22" t="inlineStr">
        <is>
          <t>Unit 4</t>
        </is>
      </c>
      <c r="C38" s="129">
        <f>IF(K38&gt;0,(K38)/(E38+G38+I38),"N/A")</f>
        <v/>
      </c>
      <c r="D38" s="263" t="n"/>
      <c r="E38" s="293" t="n">
        <v>858618</v>
      </c>
      <c r="F38" s="275" t="n"/>
      <c r="G38" s="293" t="n">
        <v>85861.8</v>
      </c>
      <c r="H38" s="275" t="n"/>
      <c r="I38" s="293" t="n"/>
      <c r="J38" s="275" t="n"/>
      <c r="K38" s="294" t="n">
        <v>757945.03</v>
      </c>
      <c r="L38" s="295">
        <f>ROUND(IF(C38="N/A",0,G38*C38),2)</f>
        <v/>
      </c>
      <c r="M38" s="295">
        <f>ROUND(IF($I$28="YES",IF(C38="N/A",0,(E38+G38+I38)*(1-C38)),0),2)</f>
        <v/>
      </c>
      <c r="N38" s="295">
        <f>ROUND(IF($I$28="YES",IF(C38="N/A",0,G38*(1-C38)),0),2)</f>
        <v/>
      </c>
      <c r="O38" s="296">
        <f>ROUND(IF($I$28="NO",IF(C38="N/A",0,(E38+G38+I38)*(1-C38)),0),2)</f>
        <v/>
      </c>
      <c r="P38" s="296">
        <f>ROUND(IF($I$28="NO",IF(C38="N/A",0,G38*(1-C38)),0),2)</f>
        <v/>
      </c>
      <c r="Q38" s="297" t="n">
        <v>20000</v>
      </c>
      <c r="R38" s="297" t="n">
        <v>2000</v>
      </c>
      <c r="S38" s="275" t="n"/>
      <c r="T38" s="297" t="n"/>
      <c r="U38" s="275" t="n"/>
      <c r="V38" s="298" t="n"/>
      <c r="W38" s="292" t="n"/>
      <c r="X38" s="292" t="n"/>
    </row>
    <row r="39">
      <c r="B39" s="22" t="inlineStr">
        <is>
          <t>Unit 5</t>
        </is>
      </c>
      <c r="C39" s="129">
        <f>IF(K39&gt;0,(K39)/(E39+G39+I39),"N/A")</f>
        <v/>
      </c>
      <c r="D39" s="263" t="n"/>
      <c r="E39" s="293" t="n"/>
      <c r="F39" s="275" t="n"/>
      <c r="G39" s="293" t="n"/>
      <c r="H39" s="275" t="n"/>
      <c r="I39" s="293" t="n"/>
      <c r="J39" s="275" t="n"/>
      <c r="K39" s="293" t="n"/>
      <c r="L39" s="295">
        <f>ROUND(IF(C39="N/A",0,G39*C39),2)</f>
        <v/>
      </c>
      <c r="M39" s="295">
        <f>ROUND(IF($I$28="YES",IF(C39="N/A",0,(E39+G39+I39)*(1-C39)),0),2)</f>
        <v/>
      </c>
      <c r="N39" s="295">
        <f>ROUND(IF($I$28="YES",IF(C39="N/A",0,G39*(1-C39)),0),2)</f>
        <v/>
      </c>
      <c r="O39" s="296">
        <f>ROUND(IF($I$28="NO",IF(C39="N/A",0,(E39+G39+I39)*(1-C39)),0),2)</f>
        <v/>
      </c>
      <c r="P39" s="296">
        <f>ROUND(IF($I$28="NO",IF(C39="N/A",0,G39*(1-C39)),0),2)</f>
        <v/>
      </c>
      <c r="Q39" s="297" t="n"/>
      <c r="R39" s="297" t="n"/>
      <c r="S39" s="275" t="n"/>
      <c r="T39" s="297" t="n"/>
      <c r="U39" s="275" t="n"/>
      <c r="V39" s="298" t="n"/>
      <c r="W39" s="292" t="n"/>
      <c r="X39" s="292" t="n"/>
    </row>
    <row r="40">
      <c r="B40" s="22" t="inlineStr">
        <is>
          <t>Unit 6</t>
        </is>
      </c>
      <c r="C40" s="129">
        <f>IF(K40&gt;0,(K40)/(E40+G40+I40),"N/A")</f>
        <v/>
      </c>
      <c r="D40" s="263" t="n"/>
      <c r="E40" s="293" t="n"/>
      <c r="F40" s="275" t="n"/>
      <c r="G40" s="293" t="n"/>
      <c r="H40" s="275" t="n"/>
      <c r="I40" s="293" t="n"/>
      <c r="J40" s="275" t="n"/>
      <c r="K40" s="293" t="n"/>
      <c r="L40" s="295">
        <f>ROUND(IF(C40="N/A",0,G40*C40),2)</f>
        <v/>
      </c>
      <c r="M40" s="295">
        <f>ROUND(IF($I$28="YES",IF(C40="N/A",0,(E40+G40+I40)*(1-C40)),0),2)</f>
        <v/>
      </c>
      <c r="N40" s="295">
        <f>ROUND(IF($I$28="YES",IF(C40="N/A",0,G40*(1-C40)),0),2)</f>
        <v/>
      </c>
      <c r="O40" s="296">
        <f>ROUND(IF($I$28="NO",IF(C40="N/A",0,(E40+G40+I40)*(1-C40)),0),2)</f>
        <v/>
      </c>
      <c r="P40" s="296">
        <f>ROUND(IF($I$28="NO",IF(C40="N/A",0,G40*(1-C40)),0),2)</f>
        <v/>
      </c>
      <c r="Q40" s="297" t="n"/>
      <c r="R40" s="297" t="n"/>
      <c r="S40" s="275" t="n"/>
      <c r="T40" s="297" t="n"/>
      <c r="U40" s="275" t="n"/>
      <c r="V40" s="298" t="n"/>
      <c r="W40" s="292" t="n"/>
      <c r="X40" s="292" t="n"/>
    </row>
    <row r="41">
      <c r="B41" s="22" t="inlineStr">
        <is>
          <t>Unit 7</t>
        </is>
      </c>
      <c r="C41" s="129">
        <f>IF(K41&gt;0,(K41)/(E41+G41+I41),"N/A")</f>
        <v/>
      </c>
      <c r="D41" s="263" t="n"/>
      <c r="E41" s="293" t="n"/>
      <c r="F41" s="275" t="n"/>
      <c r="G41" s="293" t="n"/>
      <c r="H41" s="275" t="n"/>
      <c r="I41" s="293" t="n"/>
      <c r="J41" s="275" t="n"/>
      <c r="K41" s="293" t="n"/>
      <c r="L41" s="295">
        <f>ROUND(IF(C41="N/A",0,G41*C41),2)</f>
        <v/>
      </c>
      <c r="M41" s="295">
        <f>ROUND(IF($I$28="YES",IF(C41="N/A",0,(E41+G41+I41)*(1-C41)),0),2)</f>
        <v/>
      </c>
      <c r="N41" s="295">
        <f>ROUND(IF($I$28="YES",IF(C41="N/A",0,G41*(1-C41)),0),2)</f>
        <v/>
      </c>
      <c r="O41" s="296">
        <f>ROUND(IF($I$28="NO",IF(C41="N/A",0,(E41+G41+I41)*(1-C41)),0),2)</f>
        <v/>
      </c>
      <c r="P41" s="296">
        <f>ROUND(IF($I$28="NO",IF(C41="N/A",0,G41*(1-C41)),0),2)</f>
        <v/>
      </c>
      <c r="Q41" s="297" t="n"/>
      <c r="R41" s="297" t="n"/>
      <c r="S41" s="275" t="n"/>
      <c r="T41" s="297" t="n"/>
      <c r="U41" s="275" t="n"/>
      <c r="V41" s="298" t="n"/>
      <c r="W41" s="292" t="n"/>
      <c r="X41" s="292" t="n"/>
    </row>
    <row r="42">
      <c r="B42" s="22" t="inlineStr">
        <is>
          <t>Unit 8</t>
        </is>
      </c>
      <c r="C42" s="129">
        <f>IF(K42&gt;0,(K42)/(E42+G42+I42),"N/A")</f>
        <v/>
      </c>
      <c r="D42" s="263" t="n"/>
      <c r="E42" s="293" t="n"/>
      <c r="F42" s="275" t="n"/>
      <c r="G42" s="293" t="n"/>
      <c r="H42" s="275" t="n"/>
      <c r="I42" s="293" t="n"/>
      <c r="J42" s="275" t="n"/>
      <c r="K42" s="293" t="n"/>
      <c r="L42" s="295">
        <f>ROUND(IF(C42="N/A",0,G42*C42),2)</f>
        <v/>
      </c>
      <c r="M42" s="295">
        <f>ROUND(IF($I$28="YES",IF(C42="N/A",0,(E42+G42+I42)*(1-C42)),0),2)</f>
        <v/>
      </c>
      <c r="N42" s="295">
        <f>ROUND(IF($I$28="YES",IF(C42="N/A",0,G42*(1-C42)),0),2)</f>
        <v/>
      </c>
      <c r="O42" s="296">
        <f>ROUND(IF($I$28="NO",IF(C42="N/A",0,(E42+G42+I42)*(1-C42)),0),2)</f>
        <v/>
      </c>
      <c r="P42" s="296">
        <f>ROUND(IF($I$28="NO",IF(C42="N/A",0,G42*(1-C42)),0),2)</f>
        <v/>
      </c>
      <c r="Q42" s="297" t="n"/>
      <c r="R42" s="297" t="n"/>
      <c r="S42" s="275" t="n"/>
      <c r="T42" s="297" t="n"/>
      <c r="U42" s="275" t="n"/>
      <c r="V42" s="298" t="n"/>
      <c r="W42" s="292" t="n"/>
      <c r="X42" s="292" t="n"/>
    </row>
    <row r="43">
      <c r="B43" s="22" t="inlineStr">
        <is>
          <t>Unit 9</t>
        </is>
      </c>
      <c r="C43" s="129">
        <f>IF(K43&gt;0,(K43)/(E43+G43+I43),"N/A")</f>
        <v/>
      </c>
      <c r="D43" s="263" t="n"/>
      <c r="E43" s="293" t="n"/>
      <c r="F43" s="275" t="n"/>
      <c r="G43" s="293" t="n"/>
      <c r="H43" s="275" t="n"/>
      <c r="I43" s="293" t="n"/>
      <c r="J43" s="275" t="n"/>
      <c r="K43" s="293" t="n"/>
      <c r="L43" s="295">
        <f>ROUND(IF(C43="N/A",0,G43*C43),2)</f>
        <v/>
      </c>
      <c r="M43" s="295">
        <f>ROUND(IF($I$28="YES",IF(C43="N/A",0,(E43+G43+I43)*(1-C43)),0),2)</f>
        <v/>
      </c>
      <c r="N43" s="295">
        <f>ROUND(IF($I$28="YES",IF(C43="N/A",0,G43*(1-C43)),0),2)</f>
        <v/>
      </c>
      <c r="O43" s="296">
        <f>ROUND(IF($I$28="NO",IF(C43="N/A",0,(E43+G43+I43)*(1-C43)),0),2)</f>
        <v/>
      </c>
      <c r="P43" s="296">
        <f>ROUND(IF($I$28="NO",IF(C43="N/A",0,G43*(1-C43)),0),2)</f>
        <v/>
      </c>
      <c r="Q43" s="297" t="n"/>
      <c r="R43" s="297" t="n"/>
      <c r="S43" s="275" t="n"/>
      <c r="T43" s="297" t="n"/>
      <c r="U43" s="275" t="n"/>
      <c r="V43" s="298" t="n"/>
      <c r="W43" s="292" t="n"/>
      <c r="X43" s="292" t="n"/>
    </row>
    <row r="44">
      <c r="B44" s="22" t="inlineStr">
        <is>
          <t>Unit 10</t>
        </is>
      </c>
      <c r="C44" s="129">
        <f>IF(K44&gt;0,(K44)/(E44+G44+I44),"N/A")</f>
        <v/>
      </c>
      <c r="D44" s="263" t="n"/>
      <c r="E44" s="299" t="n"/>
      <c r="F44" s="275" t="n"/>
      <c r="G44" s="299" t="n"/>
      <c r="H44" s="275" t="n"/>
      <c r="I44" s="299" t="n"/>
      <c r="J44" s="275" t="n"/>
      <c r="K44" s="299" t="n"/>
      <c r="L44" s="295">
        <f>ROUND(IF(C44="N/A",0,G44*C44),2)</f>
        <v/>
      </c>
      <c r="M44" s="295">
        <f>ROUND(IF($I$28="YES",IF(C44="N/A",0,(E44+G44+I44)*(1-C44)),0),2)</f>
        <v/>
      </c>
      <c r="N44" s="295">
        <f>ROUND(IF($I$28="YES",IF(C44="N/A",0,G44*(1-C44)),0),2)</f>
        <v/>
      </c>
      <c r="O44" s="296">
        <f>ROUND(IF($I$28="NO",IF(C44="N/A",0,(E44+G44+I44)*(1-C44)),0),2)</f>
        <v/>
      </c>
      <c r="P44" s="296">
        <f>ROUND(IF($I$28="NO",IF(C44="N/A",0,G44*(1-C44)),0),2)</f>
        <v/>
      </c>
      <c r="Q44" s="300" t="n"/>
      <c r="R44" s="300" t="n"/>
      <c r="S44" s="275" t="n"/>
      <c r="T44" s="300" t="n"/>
      <c r="U44" s="275" t="n"/>
      <c r="V44" s="298" t="n"/>
      <c r="W44" s="292" t="n"/>
      <c r="X44" s="292" t="n"/>
    </row>
    <row r="45" hidden="1" ht="15.75" customHeight="1">
      <c r="B45" s="22" t="inlineStr">
        <is>
          <t>Unit 11</t>
        </is>
      </c>
      <c r="C45" s="129">
        <f>IF(K45&gt;0,(K45)/(E45+G45+I45),"N/A")</f>
        <v/>
      </c>
      <c r="D45" s="263" t="n"/>
      <c r="E45" s="299" t="n"/>
      <c r="F45" s="275" t="n"/>
      <c r="G45" s="299" t="n"/>
      <c r="H45" s="275" t="n"/>
      <c r="I45" s="299" t="n"/>
      <c r="J45" s="275" t="n"/>
      <c r="K45" s="299" t="n"/>
      <c r="L45" s="295">
        <f>ROUND(IF(C45="N/A",0,G45*C45),2)</f>
        <v/>
      </c>
      <c r="M45" s="295">
        <f>ROUND(IF($I$28="YES",IF(C45="N/A",0,(E45+G45+I45)*(1-C45)),0),2)</f>
        <v/>
      </c>
      <c r="N45" s="295">
        <f>ROUND(IF($I$28="YES",IF(C45="N/A",0,G45*(1-C45)),0),2)</f>
        <v/>
      </c>
      <c r="O45" s="296">
        <f>ROUND(IF($I$28="NO",IF(C45="N/A",0,(E45+G45+I45)*(1-C45)),0),2)</f>
        <v/>
      </c>
      <c r="P45" s="296">
        <f>ROUND(IF($I$28="NO",IF(C45="N/A",0,G45*(1-C45)),0),2)</f>
        <v/>
      </c>
      <c r="Q45" s="300" t="n"/>
      <c r="R45" s="300" t="n"/>
      <c r="S45" s="275" t="n"/>
      <c r="T45" s="300" t="n"/>
      <c r="U45" s="275" t="n"/>
      <c r="V45" s="298" t="n"/>
      <c r="W45" s="292" t="n"/>
      <c r="X45" s="292" t="n"/>
    </row>
    <row r="46" hidden="1" ht="15.75" customHeight="1">
      <c r="B46" s="22" t="inlineStr">
        <is>
          <t>Unit 12</t>
        </is>
      </c>
      <c r="C46" s="129">
        <f>IF(K46&gt;0,(K46)/(E46+G46+I46),"N/A")</f>
        <v/>
      </c>
      <c r="D46" s="263" t="n"/>
      <c r="E46" s="299" t="n"/>
      <c r="F46" s="275" t="n"/>
      <c r="G46" s="299" t="n"/>
      <c r="H46" s="275" t="n"/>
      <c r="I46" s="299" t="n"/>
      <c r="J46" s="275" t="n"/>
      <c r="K46" s="299" t="n"/>
      <c r="L46" s="295">
        <f>ROUND(IF(C46="N/A",0,G46*C46),2)</f>
        <v/>
      </c>
      <c r="M46" s="295">
        <f>ROUND(IF($I$28="YES",IF(C46="N/A",0,(E46+G46+I46)*(1-C46)),0),2)</f>
        <v/>
      </c>
      <c r="N46" s="295">
        <f>ROUND(IF($I$28="YES",IF(C46="N/A",0,G46*(1-C46)),0),2)</f>
        <v/>
      </c>
      <c r="O46" s="296">
        <f>ROUND(IF($I$28="NO",IF(C46="N/A",0,(E46+G46+I46)*(1-C46)),0),2)</f>
        <v/>
      </c>
      <c r="P46" s="296">
        <f>ROUND(IF($I$28="NO",IF(C46="N/A",0,G46*(1-C46)),0),2)</f>
        <v/>
      </c>
      <c r="Q46" s="300" t="n"/>
      <c r="R46" s="300" t="n"/>
      <c r="S46" s="275" t="n"/>
      <c r="T46" s="300" t="n"/>
      <c r="U46" s="275" t="n"/>
      <c r="V46" s="298" t="n"/>
      <c r="W46" s="292" t="n"/>
      <c r="X46" s="292" t="n"/>
    </row>
    <row r="47" hidden="1">
      <c r="B47" s="22" t="inlineStr">
        <is>
          <t>Unit 13</t>
        </is>
      </c>
      <c r="C47" s="129">
        <f>IF(K47&gt;0,(K47)/(E47+G47+I47),"N/A")</f>
        <v/>
      </c>
      <c r="D47" s="263" t="n"/>
      <c r="E47" s="299" t="n"/>
      <c r="F47" s="275" t="n"/>
      <c r="G47" s="299" t="n"/>
      <c r="H47" s="275" t="n"/>
      <c r="I47" s="299" t="n"/>
      <c r="J47" s="275" t="n"/>
      <c r="K47" s="299" t="n"/>
      <c r="L47" s="295">
        <f>ROUND(IF(C47="N/A",0,G47*C47),2)</f>
        <v/>
      </c>
      <c r="M47" s="295">
        <f>ROUND(IF($I$28="YES",IF(C47="N/A",0,(E47+G47+I47)*(1-C47)),0),2)</f>
        <v/>
      </c>
      <c r="N47" s="295">
        <f>ROUND(IF($I$28="YES",IF(C47="N/A",0,G47*(1-C47)),0),2)</f>
        <v/>
      </c>
      <c r="O47" s="296">
        <f>ROUND(IF($I$28="NO",IF(C47="N/A",0,(E47+G47+I47)*(1-C47)),0),2)</f>
        <v/>
      </c>
      <c r="P47" s="296">
        <f>ROUND(IF($I$28="NO",IF(C47="N/A",0,G47*(1-C47)),0),2)</f>
        <v/>
      </c>
      <c r="Q47" s="300" t="n"/>
      <c r="R47" s="300" t="n"/>
      <c r="S47" s="275" t="n"/>
      <c r="T47" s="300" t="n"/>
      <c r="U47" s="275" t="n"/>
      <c r="V47" s="298" t="n"/>
      <c r="W47" s="292" t="n"/>
      <c r="X47" s="292" t="n"/>
    </row>
    <row r="48" hidden="1">
      <c r="B48" s="22" t="inlineStr">
        <is>
          <t>Unit 14</t>
        </is>
      </c>
      <c r="C48" s="129">
        <f>IF(K48&gt;0,(K48)/(E48+G48+I48),"N/A")</f>
        <v/>
      </c>
      <c r="D48" s="263" t="n"/>
      <c r="E48" s="299" t="n"/>
      <c r="F48" s="275" t="n"/>
      <c r="G48" s="299" t="n"/>
      <c r="H48" s="275" t="n"/>
      <c r="I48" s="299" t="n"/>
      <c r="J48" s="275" t="n"/>
      <c r="K48" s="299" t="n"/>
      <c r="L48" s="295">
        <f>ROUND(IF(C48="N/A",0,G48*C48),2)</f>
        <v/>
      </c>
      <c r="M48" s="295">
        <f>ROUND(IF($I$28="YES",IF(C48="N/A",0,(E48+G48+I48)*(1-C48)),0),2)</f>
        <v/>
      </c>
      <c r="N48" s="295">
        <f>ROUND(IF($I$28="YES",IF(C48="N/A",0,G48*(1-C48)),0),2)</f>
        <v/>
      </c>
      <c r="O48" s="296">
        <f>ROUND(IF($I$28="NO",IF(C48="N/A",0,(E48+G48+I48)*(1-C48)),0),2)</f>
        <v/>
      </c>
      <c r="P48" s="296">
        <f>ROUND(IF($I$28="NO",IF(C48="N/A",0,G48*(1-C48)),0),2)</f>
        <v/>
      </c>
      <c r="Q48" s="300" t="n"/>
      <c r="R48" s="300" t="n"/>
      <c r="S48" s="275" t="n"/>
      <c r="T48" s="300" t="n"/>
      <c r="U48" s="275" t="n"/>
      <c r="V48" s="298" t="n"/>
      <c r="W48" s="292" t="n"/>
      <c r="X48" s="292" t="n"/>
    </row>
    <row r="49" hidden="1">
      <c r="B49" s="22" t="inlineStr">
        <is>
          <t>Unit 15</t>
        </is>
      </c>
      <c r="C49" s="129">
        <f>IF(K49&gt;0,(K49)/(E49+G49+I49),"N/A")</f>
        <v/>
      </c>
      <c r="D49" s="263" t="n"/>
      <c r="E49" s="299" t="n"/>
      <c r="F49" s="275" t="n"/>
      <c r="G49" s="299" t="n"/>
      <c r="H49" s="275" t="n"/>
      <c r="I49" s="299" t="n"/>
      <c r="J49" s="275" t="n"/>
      <c r="K49" s="299" t="n"/>
      <c r="L49" s="295">
        <f>ROUND(IF(C49="N/A",0,G49*C49),2)</f>
        <v/>
      </c>
      <c r="M49" s="295">
        <f>ROUND(IF($I$28="YES",IF(C49="N/A",0,(E49+G49+I49)*(1-C49)),0),2)</f>
        <v/>
      </c>
      <c r="N49" s="295">
        <f>ROUND(IF($I$28="YES",IF(C49="N/A",0,G49*(1-C49)),0),2)</f>
        <v/>
      </c>
      <c r="O49" s="296">
        <f>ROUND(IF($I$28="NO",IF(C49="N/A",0,(E49+G49+I49)*(1-C49)),0),2)</f>
        <v/>
      </c>
      <c r="P49" s="296">
        <f>ROUND(IF($I$28="NO",IF(C49="N/A",0,G49*(1-C49)),0),2)</f>
        <v/>
      </c>
      <c r="Q49" s="300" t="n"/>
      <c r="R49" s="300" t="n"/>
      <c r="S49" s="275" t="n"/>
      <c r="T49" s="300" t="n"/>
      <c r="U49" s="275" t="n"/>
      <c r="V49" s="298" t="n"/>
      <c r="W49" s="292" t="n"/>
      <c r="X49" s="292" t="n"/>
    </row>
    <row r="50" hidden="1">
      <c r="B50" s="22" t="inlineStr">
        <is>
          <t>Unit 16</t>
        </is>
      </c>
      <c r="C50" s="129">
        <f>IF(K50&gt;0,(K50)/(E50+G50+I50),"N/A")</f>
        <v/>
      </c>
      <c r="D50" s="263" t="n"/>
      <c r="E50" s="301" t="n"/>
      <c r="F50" s="275" t="n"/>
      <c r="G50" s="301" t="n"/>
      <c r="H50" s="275" t="n"/>
      <c r="I50" s="301" t="n"/>
      <c r="J50" s="275" t="n"/>
      <c r="K50" s="301" t="n"/>
      <c r="L50" s="295">
        <f>ROUND(IF(C50="N/A",0,G50*C50),2)</f>
        <v/>
      </c>
      <c r="M50" s="295">
        <f>ROUND(IF($I$28="YES",IF(C50="N/A",0,(E50+G50+I50)*(1-C50)),0),2)</f>
        <v/>
      </c>
      <c r="N50" s="295">
        <f>ROUND(IF($I$28="YES",IF(C50="N/A",0,G50*(1-C50)),0),2)</f>
        <v/>
      </c>
      <c r="O50" s="296">
        <f>ROUND(IF($I$28="NO",IF(C50="N/A",0,(E50+G50+I50)*(1-C50)),0),2)</f>
        <v/>
      </c>
      <c r="P50" s="296">
        <f>ROUND(IF($I$28="NO",IF(C50="N/A",0,G50*(1-C50)),0),2)</f>
        <v/>
      </c>
      <c r="Q50" s="301" t="n"/>
      <c r="R50" s="301" t="n"/>
      <c r="S50" s="275" t="n"/>
      <c r="T50" s="301" t="n"/>
      <c r="U50" s="275" t="n"/>
      <c r="V50" s="298" t="n"/>
      <c r="W50" s="292" t="n"/>
      <c r="X50" s="292" t="n"/>
    </row>
    <row r="51" hidden="1">
      <c r="B51" s="22" t="inlineStr">
        <is>
          <t>Unit 17</t>
        </is>
      </c>
      <c r="C51" s="129">
        <f>IF(K51&gt;0,(K51)/(E51+G51+I51),"N/A")</f>
        <v/>
      </c>
      <c r="D51" s="263" t="n"/>
      <c r="E51" s="299" t="n"/>
      <c r="F51" s="275" t="n"/>
      <c r="G51" s="299" t="n"/>
      <c r="H51" s="275" t="n"/>
      <c r="I51" s="299" t="n"/>
      <c r="J51" s="275" t="n"/>
      <c r="K51" s="299" t="n"/>
      <c r="L51" s="295">
        <f>ROUND(IF(C51="N/A",0,G51*C51),2)</f>
        <v/>
      </c>
      <c r="M51" s="295">
        <f>ROUND(IF($I$28="YES",IF(C51="N/A",0,(E51+G51+I51)*(1-C51)),0),2)</f>
        <v/>
      </c>
      <c r="N51" s="295">
        <f>ROUND(IF($I$28="YES",IF(C51="N/A",0,G51*(1-C51)),0),2)</f>
        <v/>
      </c>
      <c r="O51" s="296">
        <f>ROUND(IF($I$28="NO",IF(C51="N/A",0,(E51+G51+I51)*(1-C51)),0),2)</f>
        <v/>
      </c>
      <c r="P51" s="296">
        <f>ROUND(IF($I$28="NO",IF(C51="N/A",0,G51*(1-C51)),0),2)</f>
        <v/>
      </c>
      <c r="Q51" s="300" t="n"/>
      <c r="R51" s="300" t="n"/>
      <c r="S51" s="275" t="n"/>
      <c r="T51" s="300" t="n"/>
      <c r="U51" s="275" t="n"/>
      <c r="V51" s="298" t="n"/>
      <c r="W51" s="292" t="n"/>
      <c r="X51" s="292" t="n"/>
    </row>
    <row r="52" hidden="1">
      <c r="B52" s="22" t="inlineStr">
        <is>
          <t>Unit 18</t>
        </is>
      </c>
      <c r="C52" s="129">
        <f>IF(K52&gt;0,(K52)/(E52+G52+I52),"N/A")</f>
        <v/>
      </c>
      <c r="D52" s="263" t="n"/>
      <c r="E52" s="299" t="n"/>
      <c r="F52" s="275" t="n"/>
      <c r="G52" s="299" t="n"/>
      <c r="H52" s="275" t="n"/>
      <c r="I52" s="299" t="n"/>
      <c r="J52" s="275" t="n"/>
      <c r="K52" s="299" t="n"/>
      <c r="L52" s="295">
        <f>ROUND(IF(C52="N/A",0,G52*C52),2)</f>
        <v/>
      </c>
      <c r="M52" s="295">
        <f>ROUND(IF($I$28="YES",IF(C52="N/A",0,(E52+G52+I52)*(1-C52)),0),2)</f>
        <v/>
      </c>
      <c r="N52" s="295">
        <f>ROUND(IF($I$28="YES",IF(C52="N/A",0,G52*(1-C52)),0),2)</f>
        <v/>
      </c>
      <c r="O52" s="296">
        <f>ROUND(IF($I$28="NO",IF(C52="N/A",0,(E52+G52+I52)*(1-C52)),0),2)</f>
        <v/>
      </c>
      <c r="P52" s="296">
        <f>ROUND(IF($I$28="NO",IF(C52="N/A",0,G52*(1-C52)),0),2)</f>
        <v/>
      </c>
      <c r="Q52" s="300" t="n"/>
      <c r="R52" s="300" t="n"/>
      <c r="S52" s="275" t="n"/>
      <c r="T52" s="300" t="n"/>
      <c r="U52" s="275" t="n"/>
      <c r="V52" s="298" t="n"/>
      <c r="W52" s="292" t="n"/>
      <c r="X52" s="292" t="n"/>
    </row>
    <row r="53" hidden="1">
      <c r="B53" s="22" t="inlineStr">
        <is>
          <t>Unit 19</t>
        </is>
      </c>
      <c r="C53" s="129">
        <f>IF(K53&gt;0,(K53)/(E53+G53+I53),"N/A")</f>
        <v/>
      </c>
      <c r="D53" s="263" t="n"/>
      <c r="E53" s="299" t="n"/>
      <c r="F53" s="275" t="n"/>
      <c r="G53" s="299" t="n"/>
      <c r="H53" s="275" t="n"/>
      <c r="I53" s="299" t="n"/>
      <c r="J53" s="275" t="n"/>
      <c r="K53" s="299" t="n"/>
      <c r="L53" s="295">
        <f>ROUND(IF(C53="N/A",0,G53*C53),2)</f>
        <v/>
      </c>
      <c r="M53" s="295">
        <f>ROUND(IF($I$28="YES",IF(C53="N/A",0,(E53+G53+I53)*(1-C53)),0),2)</f>
        <v/>
      </c>
      <c r="N53" s="295">
        <f>ROUND(IF($I$28="YES",IF(C53="N/A",0,G53*(1-C53)),0),2)</f>
        <v/>
      </c>
      <c r="O53" s="296">
        <f>ROUND(IF($I$28="NO",IF(C53="N/A",0,(E53+G53+I53)*(1-C53)),0),2)</f>
        <v/>
      </c>
      <c r="P53" s="296">
        <f>ROUND(IF($I$28="NO",IF(C53="N/A",0,G53*(1-C53)),0),2)</f>
        <v/>
      </c>
      <c r="Q53" s="300" t="n"/>
      <c r="R53" s="300" t="n"/>
      <c r="S53" s="275" t="n"/>
      <c r="T53" s="300" t="n"/>
      <c r="U53" s="275" t="n"/>
      <c r="V53" s="298" t="n"/>
      <c r="W53" s="292" t="n"/>
      <c r="X53" s="292" t="n"/>
    </row>
    <row r="54" hidden="1">
      <c r="B54" s="22" t="inlineStr">
        <is>
          <t>Unit 20</t>
        </is>
      </c>
      <c r="C54" s="129">
        <f>IF(K54&gt;0,(K54)/(E54+G54+I54),"N/A")</f>
        <v/>
      </c>
      <c r="D54" s="263" t="n"/>
      <c r="E54" s="299" t="n"/>
      <c r="F54" s="275" t="n"/>
      <c r="G54" s="299" t="n"/>
      <c r="H54" s="275" t="n"/>
      <c r="I54" s="299" t="n"/>
      <c r="J54" s="275" t="n"/>
      <c r="K54" s="299" t="n"/>
      <c r="L54" s="295">
        <f>ROUND(IF(C54="N/A",0,G54*C54),2)</f>
        <v/>
      </c>
      <c r="M54" s="295">
        <f>ROUND(IF($I$28="YES",IF(C54="N/A",0,(E54+G54+I54)*(1-C54)),0),2)</f>
        <v/>
      </c>
      <c r="N54" s="295">
        <f>ROUND(IF($I$28="YES",IF(C54="N/A",0,G54*(1-C54)),0),2)</f>
        <v/>
      </c>
      <c r="O54" s="296">
        <f>ROUND(IF($I$28="NO",IF(C54="N/A",0,(E54+G54+I54)*(1-C54)),0),2)</f>
        <v/>
      </c>
      <c r="P54" s="296">
        <f>ROUND(IF($I$28="NO",IF(C54="N/A",0,G54*(1-C54)),0),2)</f>
        <v/>
      </c>
      <c r="Q54" s="300" t="n"/>
      <c r="R54" s="300" t="n"/>
      <c r="S54" s="275" t="n"/>
      <c r="T54" s="300" t="n"/>
      <c r="U54" s="275" t="n"/>
      <c r="V54" s="298" t="n"/>
      <c r="W54" s="292" t="n"/>
      <c r="X54" s="292" t="n"/>
    </row>
    <row r="55" hidden="1">
      <c r="B55" s="22" t="inlineStr">
        <is>
          <t>Unit 21</t>
        </is>
      </c>
      <c r="C55" s="129">
        <f>IF(K55&gt;0,(K55)/(E55+G55+I55),"N/A")</f>
        <v/>
      </c>
      <c r="D55" s="263" t="n"/>
      <c r="E55" s="299" t="n"/>
      <c r="F55" s="275" t="n"/>
      <c r="G55" s="299" t="n"/>
      <c r="H55" s="275" t="n"/>
      <c r="I55" s="299" t="n"/>
      <c r="J55" s="275" t="n"/>
      <c r="K55" s="299" t="n"/>
      <c r="L55" s="295">
        <f>ROUND(IF(C55="N/A",0,G55*C55),2)</f>
        <v/>
      </c>
      <c r="M55" s="295">
        <f>ROUND(IF($I$28="YES",IF(C55="N/A",0,(E55+G55+I55)*(1-C55)),0),2)</f>
        <v/>
      </c>
      <c r="N55" s="295">
        <f>ROUND(IF($I$28="YES",IF(C55="N/A",0,G55*(1-C55)),0),2)</f>
        <v/>
      </c>
      <c r="O55" s="296">
        <f>ROUND(IF($I$28="NO",IF(C55="N/A",0,(E55+G55+I55)*(1-C55)),0),2)</f>
        <v/>
      </c>
      <c r="P55" s="296">
        <f>ROUND(IF($I$28="NO",IF(C55="N/A",0,G55*(1-C55)),0),2)</f>
        <v/>
      </c>
      <c r="Q55" s="300" t="n"/>
      <c r="R55" s="300" t="n"/>
      <c r="S55" s="275" t="n"/>
      <c r="T55" s="300" t="n"/>
      <c r="U55" s="275" t="n"/>
      <c r="V55" s="298" t="n"/>
      <c r="W55" s="292" t="n"/>
      <c r="X55" s="292" t="n"/>
    </row>
    <row r="56" hidden="1">
      <c r="B56" s="22" t="inlineStr">
        <is>
          <t>Unit 22</t>
        </is>
      </c>
      <c r="C56" s="129">
        <f>IF(K56&gt;0,(K56)/(E56+G56+I56),"N/A")</f>
        <v/>
      </c>
      <c r="D56" s="263" t="n"/>
      <c r="E56" s="299" t="n"/>
      <c r="F56" s="275" t="n"/>
      <c r="G56" s="299" t="n"/>
      <c r="H56" s="275" t="n"/>
      <c r="I56" s="299" t="n"/>
      <c r="J56" s="275" t="n"/>
      <c r="K56" s="299" t="n"/>
      <c r="L56" s="295">
        <f>ROUND(IF(C56="N/A",0,G56*C56),2)</f>
        <v/>
      </c>
      <c r="M56" s="295">
        <f>ROUND(IF($I$28="YES",IF(C56="N/A",0,(E56+G56+I56)*(1-C56)),0),2)</f>
        <v/>
      </c>
      <c r="N56" s="295">
        <f>ROUND(IF($I$28="YES",IF(C56="N/A",0,G56*(1-C56)),0),2)</f>
        <v/>
      </c>
      <c r="O56" s="296">
        <f>ROUND(IF($I$28="NO",IF(C56="N/A",0,(E56+G56+I56)*(1-C56)),0),2)</f>
        <v/>
      </c>
      <c r="P56" s="296">
        <f>ROUND(IF($I$28="NO",IF(C56="N/A",0,G56*(1-C56)),0),2)</f>
        <v/>
      </c>
      <c r="Q56" s="300" t="n"/>
      <c r="R56" s="300" t="n"/>
      <c r="S56" s="275" t="n"/>
      <c r="T56" s="300" t="n"/>
      <c r="U56" s="275" t="n"/>
      <c r="V56" s="298" t="n"/>
      <c r="W56" s="292" t="n"/>
      <c r="X56" s="292" t="n"/>
    </row>
    <row r="57" hidden="1">
      <c r="B57" s="22" t="inlineStr">
        <is>
          <t>Unit 23</t>
        </is>
      </c>
      <c r="C57" s="129">
        <f>IF(K57&gt;0,(K57)/(E57+G57+I57),"N/A")</f>
        <v/>
      </c>
      <c r="D57" s="263" t="n"/>
      <c r="E57" s="299" t="n"/>
      <c r="F57" s="275" t="n"/>
      <c r="G57" s="299" t="n"/>
      <c r="H57" s="275" t="n"/>
      <c r="I57" s="299" t="n"/>
      <c r="J57" s="275" t="n"/>
      <c r="K57" s="299" t="n"/>
      <c r="L57" s="295">
        <f>ROUND(IF(C57="N/A",0,G57*C57),2)</f>
        <v/>
      </c>
      <c r="M57" s="295">
        <f>ROUND(IF($I$28="YES",IF(C57="N/A",0,(E57+G57+I57)*(1-C57)),0),2)</f>
        <v/>
      </c>
      <c r="N57" s="295">
        <f>ROUND(IF($I$28="YES",IF(C57="N/A",0,G57*(1-C57)),0),2)</f>
        <v/>
      </c>
      <c r="O57" s="296">
        <f>ROUND(IF($I$28="NO",IF(C57="N/A",0,(E57+G57+I57)*(1-C57)),0),2)</f>
        <v/>
      </c>
      <c r="P57" s="296">
        <f>ROUND(IF($I$28="NO",IF(C57="N/A",0,G57*(1-C57)),0),2)</f>
        <v/>
      </c>
      <c r="Q57" s="300" t="n"/>
      <c r="R57" s="300" t="n"/>
      <c r="S57" s="275" t="n"/>
      <c r="T57" s="300" t="n"/>
      <c r="U57" s="275" t="n"/>
      <c r="V57" s="298" t="n"/>
      <c r="W57" s="292" t="n"/>
      <c r="X57" s="292" t="n"/>
    </row>
    <row r="58" hidden="1">
      <c r="B58" s="22" t="inlineStr">
        <is>
          <t>Unit 24</t>
        </is>
      </c>
      <c r="C58" s="129">
        <f>IF(K58&gt;0,(K58)/(E58+G58+I58),"N/A")</f>
        <v/>
      </c>
      <c r="D58" s="263" t="n"/>
      <c r="E58" s="299" t="n"/>
      <c r="F58" s="275" t="n"/>
      <c r="G58" s="299" t="n"/>
      <c r="H58" s="275" t="n"/>
      <c r="I58" s="299" t="n"/>
      <c r="J58" s="275" t="n"/>
      <c r="K58" s="299" t="n"/>
      <c r="L58" s="295">
        <f>ROUND(IF(C58="N/A",0,G58*C58),2)</f>
        <v/>
      </c>
      <c r="M58" s="295">
        <f>ROUND(IF($I$28="YES",IF(C58="N/A",0,(E58+G58+I58)*(1-C58)),0),2)</f>
        <v/>
      </c>
      <c r="N58" s="295">
        <f>ROUND(IF($I$28="YES",IF(C58="N/A",0,G58*(1-C58)),0),2)</f>
        <v/>
      </c>
      <c r="O58" s="296">
        <f>ROUND(IF($I$28="NO",IF(C58="N/A",0,(E58+G58+I58)*(1-C58)),0),2)</f>
        <v/>
      </c>
      <c r="P58" s="296">
        <f>ROUND(IF($I$28="NO",IF(C58="N/A",0,G58*(1-C58)),0),2)</f>
        <v/>
      </c>
      <c r="Q58" s="300" t="n"/>
      <c r="R58" s="300" t="n"/>
      <c r="S58" s="275" t="n"/>
      <c r="T58" s="300" t="n"/>
      <c r="U58" s="275" t="n"/>
      <c r="V58" s="298" t="n"/>
      <c r="W58" s="292" t="n"/>
      <c r="X58" s="292" t="n"/>
    </row>
    <row r="59" hidden="1">
      <c r="B59" s="22" t="inlineStr">
        <is>
          <t>Unit 25</t>
        </is>
      </c>
      <c r="C59" s="129">
        <f>IF(K59&gt;0,(K59)/(E59+G59+I59),"N/A")</f>
        <v/>
      </c>
      <c r="D59" s="263" t="n"/>
      <c r="E59" s="301" t="n"/>
      <c r="F59" s="275" t="n"/>
      <c r="G59" s="301" t="n"/>
      <c r="H59" s="275" t="n"/>
      <c r="I59" s="301" t="n"/>
      <c r="J59" s="275" t="n"/>
      <c r="K59" s="301" t="n"/>
      <c r="L59" s="295">
        <f>ROUND(IF(C59="N/A",0,G59*C59),2)</f>
        <v/>
      </c>
      <c r="M59" s="295">
        <f>ROUND(IF($I$28="YES",IF(C59="N/A",0,(E59+G59+I59)*(1-C59)),0),2)</f>
        <v/>
      </c>
      <c r="N59" s="295">
        <f>ROUND(IF($I$28="YES",IF(C59="N/A",0,G59*(1-C59)),0),2)</f>
        <v/>
      </c>
      <c r="O59" s="296">
        <f>ROUND(IF($I$28="NO",IF(C59="N/A",0,(E59+G59+I59)*(1-C59)),0),2)</f>
        <v/>
      </c>
      <c r="P59" s="296">
        <f>ROUND(IF($I$28="NO",IF(C59="N/A",0,G59*(1-C59)),0),2)</f>
        <v/>
      </c>
      <c r="Q59" s="301" t="n"/>
      <c r="R59" s="301" t="n"/>
      <c r="S59" s="275" t="n"/>
      <c r="T59" s="301" t="n"/>
      <c r="U59" s="275" t="n"/>
      <c r="V59" s="298" t="n"/>
      <c r="W59" s="292" t="n"/>
      <c r="X59" s="292" t="n"/>
    </row>
    <row r="60">
      <c r="B60" s="133" t="inlineStr">
        <is>
          <t>Sub Totals</t>
        </is>
      </c>
      <c r="C60" s="262" t="n"/>
      <c r="D60" s="263" t="n"/>
      <c r="E60" s="302">
        <f>SUM(E35:F59)</f>
        <v/>
      </c>
      <c r="F60" s="263" t="n"/>
      <c r="G60" s="303">
        <f>SUM(G35:H59)</f>
        <v/>
      </c>
      <c r="H60" s="263" t="n"/>
      <c r="I60" s="302">
        <f>SUM(I35:J59)</f>
        <v/>
      </c>
      <c r="J60" s="263" t="n"/>
      <c r="K60" s="304">
        <f>SUM(K35:K59)</f>
        <v/>
      </c>
      <c r="L60" s="304">
        <f>SUM(L35:L59)</f>
        <v/>
      </c>
      <c r="M60" s="304">
        <f>SUM(M35:M59)</f>
        <v/>
      </c>
      <c r="N60" s="304">
        <f>SUM(N35:N59)</f>
        <v/>
      </c>
      <c r="O60" s="305">
        <f>SUM(O35:O59)</f>
        <v/>
      </c>
      <c r="P60" s="305">
        <f>SUM(P35:P59)</f>
        <v/>
      </c>
      <c r="Q60" s="306">
        <f>SUM(Q35:Q59)</f>
        <v/>
      </c>
      <c r="R60" s="306">
        <f>SUM(R35:S59)</f>
        <v/>
      </c>
      <c r="S60" s="263" t="n"/>
      <c r="T60" s="306">
        <f>SUM(T35:U59)</f>
        <v/>
      </c>
      <c r="U60" s="263" t="n"/>
      <c r="V60" s="307" t="n"/>
    </row>
    <row r="61">
      <c r="B61" s="145" t="inlineStr">
        <is>
          <t>Totals</t>
        </is>
      </c>
      <c r="C61" s="262" t="n"/>
      <c r="D61" s="263" t="n"/>
      <c r="E61" s="308" t="n"/>
      <c r="F61" s="262" t="n"/>
      <c r="G61" s="262" t="n"/>
      <c r="H61" s="262" t="n"/>
      <c r="I61" s="262" t="n"/>
      <c r="J61" s="263" t="n"/>
      <c r="K61" s="309">
        <f>K60+M60</f>
        <v/>
      </c>
      <c r="L61" s="262" t="n"/>
      <c r="M61" s="262" t="n"/>
      <c r="N61" s="263" t="n"/>
      <c r="O61" s="310">
        <f>Q60+R60+T60+O60</f>
        <v/>
      </c>
      <c r="P61" s="262" t="n"/>
      <c r="Q61" s="262" t="n"/>
      <c r="R61" s="262" t="n"/>
      <c r="S61" s="262" t="n"/>
      <c r="T61" s="262" t="n"/>
      <c r="U61" s="263" t="n"/>
      <c r="V61" s="307" t="n"/>
      <c r="W61" s="292" t="n"/>
      <c r="X61" s="292" t="n"/>
    </row>
    <row r="62">
      <c r="B62" s="169" t="inlineStr">
        <is>
          <t>Eng. Contract Estimate:</t>
        </is>
      </c>
      <c r="C62" s="262" t="n"/>
      <c r="D62" s="263" t="n"/>
      <c r="E62" s="311">
        <f>E60+Q60</f>
        <v/>
      </c>
      <c r="F62" s="262" t="n"/>
      <c r="G62" s="263" t="n"/>
      <c r="H62" s="312" t="inlineStr">
        <is>
          <t>This is the original cost of the project (bid process).</t>
        </is>
      </c>
      <c r="I62" s="268" t="n"/>
      <c r="J62" s="268" t="n"/>
      <c r="K62" s="268" t="n"/>
      <c r="L62" s="268" t="n"/>
      <c r="M62" s="268" t="n"/>
      <c r="N62" s="268" t="n"/>
      <c r="O62" s="268" t="n"/>
      <c r="P62" s="268" t="n"/>
      <c r="Q62" s="268" t="n"/>
      <c r="R62" s="268" t="n"/>
      <c r="S62" s="268" t="n"/>
      <c r="T62" s="268" t="n"/>
      <c r="U62" s="269" t="n"/>
      <c r="V62" s="313" t="n"/>
      <c r="W62" s="292" t="n"/>
    </row>
    <row r="63">
      <c r="B63" s="150" t="inlineStr">
        <is>
          <t>Total Construction Cost:</t>
        </is>
      </c>
      <c r="C63" s="268" t="n"/>
      <c r="D63" s="269" t="n"/>
      <c r="E63" s="314">
        <f>K61+O61</f>
        <v/>
      </c>
      <c r="F63" s="268" t="n"/>
      <c r="G63" s="269" t="n"/>
      <c r="H63" s="315" t="inlineStr">
        <is>
          <t>This is the total budget for the project. Includes federal and state funds, contingencies, and payroll or expenses when applicable.</t>
        </is>
      </c>
      <c r="I63" s="268" t="n"/>
      <c r="J63" s="268" t="n"/>
      <c r="K63" s="268" t="n"/>
      <c r="L63" s="268" t="n"/>
      <c r="M63" s="268" t="n"/>
      <c r="N63" s="268" t="n"/>
      <c r="O63" s="268" t="n"/>
      <c r="P63" s="268" t="n"/>
      <c r="Q63" s="268" t="n"/>
      <c r="R63" s="268" t="n"/>
      <c r="S63" s="268" t="n"/>
      <c r="T63" s="268" t="n"/>
      <c r="U63" s="269" t="n"/>
      <c r="V63" s="313" t="n"/>
      <c r="W63" s="292" t="n"/>
      <c r="X63" s="292" t="n"/>
      <c r="Y63" s="292" t="n"/>
    </row>
    <row r="64">
      <c r="B64" s="82" t="inlineStr">
        <is>
          <t>NOTE:</t>
        </is>
      </c>
      <c r="C64" s="82" t="n"/>
      <c r="D64" s="82" t="n"/>
      <c r="E64" s="316" t="n"/>
      <c r="F64" s="316" t="n"/>
      <c r="G64" s="316" t="n"/>
      <c r="H64" s="317" t="n"/>
      <c r="I64" s="317" t="n"/>
      <c r="J64" s="317" t="n"/>
      <c r="K64" s="317" t="n"/>
      <c r="L64" s="317" t="n"/>
      <c r="M64" s="317" t="n"/>
      <c r="N64" s="317" t="n"/>
      <c r="O64" s="317" t="n"/>
      <c r="P64" s="317" t="n"/>
      <c r="Q64" s="317" t="n"/>
      <c r="R64" s="317" t="n"/>
      <c r="S64" s="317" t="n"/>
      <c r="T64" s="317" t="n"/>
      <c r="U64" s="317" t="n"/>
      <c r="V64" s="313" t="n"/>
      <c r="W64" s="292" t="n"/>
      <c r="X64" s="292" t="n"/>
      <c r="Y64" s="292" t="n"/>
    </row>
    <row r="65" ht="15.75" customHeight="1">
      <c r="B65" s="318" t="inlineStr">
        <is>
          <t>1- IF THE FEDERAL SHARE % COLUMN HAS VALUES DIFFERENT THAN 80.25%, 90% AND 100%, VERIFY THE INFORMATION INCLUDED IN THE TABLE BEFORE CONTINUING WITH THE PROCESS.</t>
        </is>
      </c>
      <c r="C65" s="262" t="n"/>
      <c r="D65" s="262" t="n"/>
      <c r="E65" s="262" t="n"/>
      <c r="F65" s="262" t="n"/>
      <c r="G65" s="262" t="n"/>
      <c r="H65" s="262" t="n"/>
      <c r="I65" s="262" t="n"/>
      <c r="J65" s="262" t="n"/>
      <c r="K65" s="262" t="n"/>
      <c r="L65" s="262" t="n"/>
      <c r="M65" s="262" t="n"/>
      <c r="N65" s="262" t="n"/>
      <c r="O65" s="262" t="n"/>
      <c r="P65" s="262" t="n"/>
      <c r="Q65" s="262" t="n"/>
      <c r="R65" s="262" t="n"/>
      <c r="S65" s="262" t="n"/>
      <c r="T65" s="262" t="n"/>
      <c r="U65" s="263" t="n"/>
      <c r="V65" s="313" t="n"/>
      <c r="W65" s="292" t="n"/>
      <c r="X65" s="292" t="n"/>
      <c r="Y65" s="292" t="n"/>
    </row>
    <row r="66" ht="18" customHeight="1">
      <c r="I66" s="292" t="n"/>
      <c r="J66" s="292" t="n"/>
      <c r="K66" s="319" t="n"/>
    </row>
    <row r="67">
      <c r="B67" s="131" t="inlineStr">
        <is>
          <t>Project Modification Documents</t>
        </is>
      </c>
      <c r="C67" s="262" t="n"/>
      <c r="D67" s="262" t="n"/>
      <c r="E67" s="262" t="n"/>
      <c r="F67" s="262" t="n"/>
      <c r="G67" s="262" t="n"/>
      <c r="H67" s="262" t="n"/>
      <c r="I67" s="262" t="n"/>
      <c r="J67" s="262" t="n"/>
      <c r="K67" s="262" t="n"/>
      <c r="L67" s="262" t="n"/>
      <c r="M67" s="262" t="n"/>
      <c r="N67" s="262" t="n"/>
      <c r="O67" s="262" t="n"/>
      <c r="P67" s="262" t="n"/>
      <c r="Q67" s="262" t="n"/>
      <c r="R67" s="262" t="n"/>
      <c r="S67" s="262" t="n"/>
      <c r="T67" s="262" t="n"/>
      <c r="U67" s="263" t="n"/>
      <c r="V67" s="11" t="n"/>
    </row>
    <row r="68" ht="18" customFormat="1" customHeight="1" s="28">
      <c r="B68" s="136" t="inlineStr">
        <is>
          <t>Document #</t>
        </is>
      </c>
      <c r="C68" s="263" t="n"/>
      <c r="D68" s="136" t="inlineStr">
        <is>
          <t>Proposed Amount</t>
        </is>
      </c>
      <c r="E68" s="268" t="n"/>
      <c r="F68" s="269" t="n"/>
      <c r="G68" s="136" t="inlineStr">
        <is>
          <t>Federal Share (%)</t>
        </is>
      </c>
      <c r="H68" s="136" t="inlineStr">
        <is>
          <t>Federal Share Amount</t>
        </is>
      </c>
      <c r="I68" s="268" t="n"/>
      <c r="J68" s="269" t="n"/>
      <c r="K68" s="136" t="inlineStr">
        <is>
          <t>Toll Credits Amount</t>
        </is>
      </c>
      <c r="L68" s="136" t="inlineStr">
        <is>
          <t>Non Participating Amount                          (State Funds)</t>
        </is>
      </c>
      <c r="M68" s="136" t="inlineStr">
        <is>
          <t>State Share of                           Federal Funds</t>
        </is>
      </c>
      <c r="N68" s="136" t="inlineStr">
        <is>
          <t>Time Extension  (Days)</t>
        </is>
      </c>
      <c r="O68" s="136" t="inlineStr">
        <is>
          <t>Federal Share for Project Modification Letter</t>
        </is>
      </c>
      <c r="P68" s="136" t="inlineStr">
        <is>
          <t>Toll Credits for Project Modification Letter</t>
        </is>
      </c>
      <c r="Q68" s="136" t="inlineStr">
        <is>
          <t>Comments</t>
        </is>
      </c>
      <c r="R68" s="268" t="n"/>
      <c r="S68" s="268" t="n"/>
      <c r="T68" s="268" t="n"/>
      <c r="U68" s="269" t="n"/>
      <c r="V68" s="27" t="n"/>
      <c r="AA68" s="29" t="n"/>
    </row>
    <row r="69" ht="21" customFormat="1" customHeight="1" s="28">
      <c r="B69" s="136" t="inlineStr">
        <is>
          <t>CHO</t>
        </is>
      </c>
      <c r="C69" s="136" t="inlineStr">
        <is>
          <t>EWO</t>
        </is>
      </c>
      <c r="D69" s="270" t="n"/>
      <c r="E69" s="261" t="n"/>
      <c r="F69" s="271" t="n"/>
      <c r="G69" s="291" t="n"/>
      <c r="H69" s="270" t="n"/>
      <c r="I69" s="261" t="n"/>
      <c r="J69" s="271" t="n"/>
      <c r="K69" s="291" t="n"/>
      <c r="L69" s="291" t="n"/>
      <c r="M69" s="291" t="n"/>
      <c r="N69" s="291" t="n"/>
      <c r="O69" s="291" t="n"/>
      <c r="P69" s="291" t="n"/>
      <c r="Q69" s="270" t="n"/>
      <c r="R69" s="261" t="n"/>
      <c r="S69" s="261" t="n"/>
      <c r="T69" s="261" t="n"/>
      <c r="U69" s="271" t="n"/>
      <c r="V69" s="27" t="n"/>
      <c r="W69" s="29" t="inlineStr">
        <is>
          <t>Fed Share</t>
        </is>
      </c>
      <c r="X69" s="29" t="inlineStr">
        <is>
          <t>Cumm Invertido</t>
        </is>
      </c>
      <c r="Y69" s="29" t="inlineStr">
        <is>
          <t>Add Funds - Cumm</t>
        </is>
      </c>
      <c r="Z69" s="29" t="inlineStr">
        <is>
          <t>Determine Funds</t>
        </is>
      </c>
      <c r="AB69" s="29" t="inlineStr">
        <is>
          <t>Toll Credits</t>
        </is>
      </c>
      <c r="AC69" s="29" t="inlineStr">
        <is>
          <t>Cumm Invertido</t>
        </is>
      </c>
      <c r="AD69" s="29" t="inlineStr">
        <is>
          <t>Add Funds - Cumm</t>
        </is>
      </c>
      <c r="AE69" s="29" t="inlineStr">
        <is>
          <t>Determine Funds</t>
        </is>
      </c>
      <c r="AF69" s="29" t="n"/>
    </row>
    <row r="70">
      <c r="B70" s="60" t="n"/>
      <c r="C70" s="60" t="n">
        <v>1</v>
      </c>
      <c r="D70" s="320" t="n">
        <v>6000</v>
      </c>
      <c r="E70" s="272" t="n"/>
      <c r="F70" s="275" t="n"/>
      <c r="G70" s="61" t="n">
        <v>0</v>
      </c>
      <c r="H70" s="321">
        <f>ROUND(G70*D70,2)</f>
        <v/>
      </c>
      <c r="I70" s="262" t="n"/>
      <c r="J70" s="263" t="n"/>
      <c r="K70" s="321">
        <f>ROUND(IF($I$28="YES",IF(G70&gt;0,D70*(1-G70),0),0),2)</f>
        <v/>
      </c>
      <c r="L70" s="321">
        <f>ROUND(IF(G70=0,D70,0),2)</f>
        <v/>
      </c>
      <c r="M70" s="321">
        <f>ROUND(IF($I$28="NO",IF(G70&gt;0,D70*(1-G70),0),0),2)</f>
        <v/>
      </c>
      <c r="N70" s="62" t="n"/>
      <c r="O70" s="322">
        <f>ROUND(IF(Z70&lt;0,0,Z70),2)</f>
        <v/>
      </c>
      <c r="P70" s="322">
        <f>ROUND(IF($I$28="YES",IF(AE70&lt;0,0,AE70),0),2)</f>
        <v/>
      </c>
      <c r="Q70" s="100" t="n"/>
      <c r="R70" s="272" t="n"/>
      <c r="S70" s="272" t="n"/>
      <c r="T70" s="272" t="n"/>
      <c r="U70" s="275" t="n"/>
      <c r="V70" s="28" t="n"/>
      <c r="W70" s="323">
        <f>H70</f>
        <v/>
      </c>
      <c r="X70" s="323">
        <f>IF(W70&lt;0,X71,X71+W70)</f>
        <v/>
      </c>
      <c r="Y70" s="323">
        <f>$W$226-X70</f>
        <v/>
      </c>
      <c r="Z70" s="323">
        <f>IF(Y70&lt;0,Y71,H70)</f>
        <v/>
      </c>
      <c r="AA70" s="323" t="n"/>
      <c r="AB70" s="323">
        <f>K70</f>
        <v/>
      </c>
      <c r="AC70" s="323">
        <f>IF(AB70&lt;0,AC71,AC71+AB70)</f>
        <v/>
      </c>
      <c r="AD70" s="323">
        <f>$X$226-AC70</f>
        <v/>
      </c>
      <c r="AE70" s="323">
        <f>IF(AD70&lt;0,AD71,K70)</f>
        <v/>
      </c>
      <c r="AF70" s="323" t="n"/>
    </row>
    <row r="71">
      <c r="B71" s="60" t="n">
        <v>1</v>
      </c>
      <c r="C71" s="60" t="n"/>
      <c r="D71" s="320" t="n">
        <v>-73400</v>
      </c>
      <c r="E71" s="272" t="n"/>
      <c r="F71" s="275" t="n"/>
      <c r="G71" s="61" t="n">
        <v>0.8025</v>
      </c>
      <c r="H71" s="321">
        <f>ROUND(G71*D71,2)</f>
        <v/>
      </c>
      <c r="I71" s="262" t="n"/>
      <c r="J71" s="263" t="n"/>
      <c r="K71" s="321">
        <f>ROUND(IF($I$28="YES",IF(G71&gt;0,D71*(1-G71),0),0),2)</f>
        <v/>
      </c>
      <c r="L71" s="321">
        <f>ROUND(IF(G71=0,D71,0),2)</f>
        <v/>
      </c>
      <c r="M71" s="321">
        <f>ROUND(IF($I$28="NO",IF(G71&gt;0,D71*(1-G71),0),0),2)</f>
        <v/>
      </c>
      <c r="N71" s="62" t="n"/>
      <c r="O71" s="322">
        <f>ROUND(IF(Z71&lt;0,0,Z71),2)</f>
        <v/>
      </c>
      <c r="P71" s="322">
        <f>ROUND(IF($I$28="YES",IF(AE71&lt;0,0,AE71),0),2)</f>
        <v/>
      </c>
      <c r="Q71" s="100" t="n"/>
      <c r="R71" s="272" t="n"/>
      <c r="S71" s="272" t="n"/>
      <c r="T71" s="272" t="n"/>
      <c r="U71" s="275" t="n"/>
      <c r="V71" s="28" t="n"/>
      <c r="W71" s="323">
        <f>H71</f>
        <v/>
      </c>
      <c r="X71" s="323">
        <f>IF(W71&lt;0,X72,X72+W71)</f>
        <v/>
      </c>
      <c r="Y71" s="323">
        <f>$W$226-X71</f>
        <v/>
      </c>
      <c r="Z71" s="323">
        <f>IF(Y71&lt;0,Y72,H71)</f>
        <v/>
      </c>
      <c r="AA71" s="323" t="n"/>
      <c r="AB71" s="323">
        <f>K71</f>
        <v/>
      </c>
      <c r="AC71" s="323">
        <f>IF(AB71&lt;0,AC72,AC72+AB71)</f>
        <v/>
      </c>
      <c r="AD71" s="323">
        <f>$X$226-AC71</f>
        <v/>
      </c>
      <c r="AE71" s="323">
        <f>IF(AD71&lt;0,AD72,K71)</f>
        <v/>
      </c>
      <c r="AF71" s="323" t="n"/>
    </row>
    <row r="72">
      <c r="B72" s="60" t="n">
        <v>1</v>
      </c>
      <c r="C72" s="60" t="n"/>
      <c r="D72" s="320" t="n">
        <v>108000</v>
      </c>
      <c r="E72" s="272" t="n"/>
      <c r="F72" s="275" t="n"/>
      <c r="G72" s="61" t="n">
        <v>0.8025</v>
      </c>
      <c r="H72" s="321">
        <f>ROUND(G72*D72,2)</f>
        <v/>
      </c>
      <c r="I72" s="262" t="n"/>
      <c r="J72" s="263" t="n"/>
      <c r="K72" s="321">
        <f>ROUND(IF($I$28="YES",IF(G72&gt;0,D72*(1-G72),0),0),2)</f>
        <v/>
      </c>
      <c r="L72" s="321">
        <f>ROUND(IF(G72=0,D72,0),2)</f>
        <v/>
      </c>
      <c r="M72" s="321">
        <f>ROUND(IF($I$28="NO",IF(G72&gt;0,D72*(1-G72),0),0),2)</f>
        <v/>
      </c>
      <c r="N72" s="62" t="n"/>
      <c r="O72" s="322">
        <f>ROUND(IF(Z72&lt;0,0,Z72),2)</f>
        <v/>
      </c>
      <c r="P72" s="322">
        <f>ROUND(IF($I$28="YES",IF(AE72&lt;0,0,AE72),0),2)</f>
        <v/>
      </c>
      <c r="Q72" s="100" t="n"/>
      <c r="R72" s="272" t="n"/>
      <c r="S72" s="272" t="n"/>
      <c r="T72" s="272" t="n"/>
      <c r="U72" s="275" t="n"/>
      <c r="V72" s="28" t="n"/>
      <c r="W72" s="323">
        <f>H72</f>
        <v/>
      </c>
      <c r="X72" s="323">
        <f>IF(W72&lt;0,X73,X73+W72)</f>
        <v/>
      </c>
      <c r="Y72" s="323">
        <f>$W$226-X72</f>
        <v/>
      </c>
      <c r="Z72" s="323">
        <f>IF(Y72&lt;0,Y73,H72)</f>
        <v/>
      </c>
      <c r="AA72" s="323" t="n"/>
      <c r="AB72" s="323">
        <f>K72</f>
        <v/>
      </c>
      <c r="AC72" s="323">
        <f>IF(AB72&lt;0,AC73,AC73+AB72)</f>
        <v/>
      </c>
      <c r="AD72" s="323">
        <f>$X$226-AC72</f>
        <v/>
      </c>
      <c r="AE72" s="323">
        <f>IF(AD72&lt;0,AD73,K72)</f>
        <v/>
      </c>
      <c r="AF72" s="323" t="n"/>
    </row>
    <row r="73">
      <c r="B73" s="60" t="n"/>
      <c r="C73" s="60" t="n">
        <v>2</v>
      </c>
      <c r="D73" s="320" t="n">
        <v>450000</v>
      </c>
      <c r="E73" s="272" t="n"/>
      <c r="F73" s="275" t="n"/>
      <c r="G73" s="61" t="n">
        <v>0</v>
      </c>
      <c r="H73" s="321">
        <f>ROUND(G73*D73,2)</f>
        <v/>
      </c>
      <c r="I73" s="262" t="n"/>
      <c r="J73" s="263" t="n"/>
      <c r="K73" s="321">
        <f>ROUND(IF($I$28="YES",IF(G73&gt;0,D73*(1-G73),0),0),2)</f>
        <v/>
      </c>
      <c r="L73" s="321">
        <f>ROUND(IF(G73=0,D73,0),2)</f>
        <v/>
      </c>
      <c r="M73" s="321">
        <f>ROUND(IF($I$28="NO",IF(G73&gt;0,D73*(1-G73),0),0),2)</f>
        <v/>
      </c>
      <c r="N73" s="62" t="n"/>
      <c r="O73" s="322">
        <f>ROUND(IF(Z73&lt;0,0,Z73),2)</f>
        <v/>
      </c>
      <c r="P73" s="322">
        <f>ROUND(IF($I$28="YES",IF(AE73&lt;0,0,AE73),0),2)</f>
        <v/>
      </c>
      <c r="Q73" s="100" t="n"/>
      <c r="R73" s="272" t="n"/>
      <c r="S73" s="272" t="n"/>
      <c r="T73" s="272" t="n"/>
      <c r="U73" s="275" t="n"/>
      <c r="V73" s="28" t="n"/>
      <c r="W73" s="323">
        <f>H73</f>
        <v/>
      </c>
      <c r="X73" s="323">
        <f>IF(W73&lt;0,X74,X74+W73)</f>
        <v/>
      </c>
      <c r="Y73" s="323">
        <f>$W$226-X73</f>
        <v/>
      </c>
      <c r="Z73" s="323">
        <f>IF(Y73&lt;0,Y74,H73)</f>
        <v/>
      </c>
      <c r="AA73" s="323" t="n"/>
      <c r="AB73" s="323">
        <f>K73</f>
        <v/>
      </c>
      <c r="AC73" s="323">
        <f>IF(AB73&lt;0,AC74,AC74+AB73)</f>
        <v/>
      </c>
      <c r="AD73" s="323">
        <f>$X$226-AC73</f>
        <v/>
      </c>
      <c r="AE73" s="323">
        <f>IF(AD73&lt;0,AD74,K73)</f>
        <v/>
      </c>
      <c r="AF73" s="323" t="n"/>
    </row>
    <row r="74">
      <c r="B74" s="60" t="n"/>
      <c r="C74" s="60" t="n">
        <v>3</v>
      </c>
      <c r="D74" s="320" t="n">
        <v>24044</v>
      </c>
      <c r="E74" s="272" t="n"/>
      <c r="F74" s="275" t="n"/>
      <c r="G74" s="61" t="n">
        <v>0.8025</v>
      </c>
      <c r="H74" s="321">
        <f>ROUND(G74*D74,2)</f>
        <v/>
      </c>
      <c r="I74" s="262" t="n"/>
      <c r="J74" s="263" t="n"/>
      <c r="K74" s="321">
        <f>ROUND(IF($I$28="YES",IF(G74&gt;0,D74*(1-G74),0),0),2)</f>
        <v/>
      </c>
      <c r="L74" s="321">
        <f>ROUND(IF(G74=0,D74,0),2)</f>
        <v/>
      </c>
      <c r="M74" s="321">
        <f>ROUND(IF($I$28="NO",IF(G74&gt;0,D74*(1-G74),0),0),2)</f>
        <v/>
      </c>
      <c r="N74" s="62" t="n">
        <v>25</v>
      </c>
      <c r="O74" s="322">
        <f>ROUND(IF(Z74&lt;0,0,Z74),2)</f>
        <v/>
      </c>
      <c r="P74" s="322">
        <f>ROUND(IF($I$28="YES",IF(AE74&lt;0,0,AE74),0),2)</f>
        <v/>
      </c>
      <c r="Q74" s="100" t="n"/>
      <c r="R74" s="272" t="n"/>
      <c r="S74" s="272" t="n"/>
      <c r="T74" s="272" t="n"/>
      <c r="U74" s="275" t="n"/>
      <c r="V74" s="28" t="n"/>
      <c r="W74" s="323">
        <f>H74</f>
        <v/>
      </c>
      <c r="X74" s="323">
        <f>IF(W74&lt;0,X75,X75+W74)</f>
        <v/>
      </c>
      <c r="Y74" s="323">
        <f>$W$226-X74</f>
        <v/>
      </c>
      <c r="Z74" s="323">
        <f>IF(Y74&lt;0,Y75,H74)</f>
        <v/>
      </c>
      <c r="AA74" s="323" t="n"/>
      <c r="AB74" s="323">
        <f>K74</f>
        <v/>
      </c>
      <c r="AC74" s="323">
        <f>IF(AB74&lt;0,AC75,AC75+AB74)</f>
        <v/>
      </c>
      <c r="AD74" s="323">
        <f>$X$226-AC74</f>
        <v/>
      </c>
      <c r="AE74" s="323">
        <f>IF(AD74&lt;0,AD75,K74)</f>
        <v/>
      </c>
      <c r="AF74" s="323" t="n"/>
    </row>
    <row r="75">
      <c r="B75" s="60" t="n"/>
      <c r="C75" s="60" t="n">
        <v>3</v>
      </c>
      <c r="D75" s="320" t="n">
        <v>9248</v>
      </c>
      <c r="E75" s="272" t="n"/>
      <c r="F75" s="275" t="n"/>
      <c r="G75" s="61" t="n">
        <v>0</v>
      </c>
      <c r="H75" s="321">
        <f>ROUND(G75*D75,2)</f>
        <v/>
      </c>
      <c r="I75" s="262" t="n"/>
      <c r="J75" s="263" t="n"/>
      <c r="K75" s="321">
        <f>ROUND(IF($I$28="YES",IF(G75&gt;0,D75*(1-G75),0),0),2)</f>
        <v/>
      </c>
      <c r="L75" s="321">
        <f>ROUND(IF(G75=0,D75,0),2)</f>
        <v/>
      </c>
      <c r="M75" s="321">
        <f>ROUND(IF($I$28="NO",IF(G75&gt;0,D75*(1-G75),0),0),2)</f>
        <v/>
      </c>
      <c r="N75" s="62" t="n"/>
      <c r="O75" s="322">
        <f>ROUND(IF(Z75&lt;0,0,Z75),2)</f>
        <v/>
      </c>
      <c r="P75" s="322">
        <f>ROUND(IF($I$28="YES",IF(AE75&lt;0,0,AE75),0),2)</f>
        <v/>
      </c>
      <c r="Q75" s="100" t="n"/>
      <c r="R75" s="272" t="n"/>
      <c r="S75" s="272" t="n"/>
      <c r="T75" s="272" t="n"/>
      <c r="U75" s="275" t="n"/>
      <c r="V75" s="28" t="n"/>
      <c r="W75" s="323">
        <f>H75</f>
        <v/>
      </c>
      <c r="X75" s="323">
        <f>IF(W75&lt;0,X76,X76+W75)</f>
        <v/>
      </c>
      <c r="Y75" s="323">
        <f>$W$226-X75</f>
        <v/>
      </c>
      <c r="Z75" s="323">
        <f>IF(Y75&lt;0,Y76,H75)</f>
        <v/>
      </c>
      <c r="AA75" s="323" t="n"/>
      <c r="AB75" s="323">
        <f>K75</f>
        <v/>
      </c>
      <c r="AC75" s="323">
        <f>IF(AB75&lt;0,AC76,AC76+AB75)</f>
        <v/>
      </c>
      <c r="AD75" s="323">
        <f>$X$226-AC75</f>
        <v/>
      </c>
      <c r="AE75" s="323">
        <f>IF(AD75&lt;0,AD76,K75)</f>
        <v/>
      </c>
      <c r="AF75" s="323" t="n"/>
    </row>
    <row r="76">
      <c r="B76" s="60" t="n">
        <v>2</v>
      </c>
      <c r="C76" s="60" t="n"/>
      <c r="D76" s="320" t="n">
        <v>366510</v>
      </c>
      <c r="E76" s="272" t="n"/>
      <c r="F76" s="275" t="n"/>
      <c r="G76" s="61" t="n">
        <v>0.8025</v>
      </c>
      <c r="H76" s="321">
        <f>ROUND(G76*D76,2)</f>
        <v/>
      </c>
      <c r="I76" s="262" t="n"/>
      <c r="J76" s="263" t="n"/>
      <c r="K76" s="321">
        <f>ROUND(IF($I$28="YES",IF(G76&gt;0,D76*(1-G76),0),0),2)</f>
        <v/>
      </c>
      <c r="L76" s="321">
        <f>ROUND(IF(G76=0,D76,0),2)</f>
        <v/>
      </c>
      <c r="M76" s="321">
        <f>ROUND(IF($I$28="NO",IF(G76&gt;0,D76*(1-G76),0),0),2)</f>
        <v/>
      </c>
      <c r="N76" s="62" t="n">
        <v>20</v>
      </c>
      <c r="O76" s="322">
        <f>ROUND(IF(Z76&lt;0,0,Z76),2)</f>
        <v/>
      </c>
      <c r="P76" s="322">
        <f>ROUND(IF($I$28="YES",IF(AE76&lt;0,0,AE76),0),2)</f>
        <v/>
      </c>
      <c r="Q76" s="100" t="n"/>
      <c r="R76" s="272" t="n"/>
      <c r="S76" s="272" t="n"/>
      <c r="T76" s="272" t="n"/>
      <c r="U76" s="275" t="n"/>
      <c r="V76" s="28" t="n"/>
      <c r="W76" s="323">
        <f>H76</f>
        <v/>
      </c>
      <c r="X76" s="323">
        <f>IF(W76&lt;0,X77,X77+W76)</f>
        <v/>
      </c>
      <c r="Y76" s="323">
        <f>$W$226-X76</f>
        <v/>
      </c>
      <c r="Z76" s="323">
        <f>IF(Y76&lt;0,Y77,H76)</f>
        <v/>
      </c>
      <c r="AA76" s="323" t="n"/>
      <c r="AB76" s="323">
        <f>K76</f>
        <v/>
      </c>
      <c r="AC76" s="323">
        <f>IF(AB76&lt;0,AC77,AC77+AB76)</f>
        <v/>
      </c>
      <c r="AD76" s="323">
        <f>$X$226-AC76</f>
        <v/>
      </c>
      <c r="AE76" s="323">
        <f>IF(AD76&lt;0,AD77,K76)</f>
        <v/>
      </c>
      <c r="AF76" s="323" t="n"/>
    </row>
    <row r="77">
      <c r="B77" s="60" t="n">
        <v>3</v>
      </c>
      <c r="C77" s="60" t="n"/>
      <c r="D77" s="320" t="n">
        <v>48200</v>
      </c>
      <c r="E77" s="272" t="n"/>
      <c r="F77" s="275" t="n"/>
      <c r="G77" s="61" t="n"/>
      <c r="H77" s="321">
        <f>ROUND(G77*D77,2)</f>
        <v/>
      </c>
      <c r="I77" s="262" t="n"/>
      <c r="J77" s="263" t="n"/>
      <c r="K77" s="321">
        <f>ROUND(IF($I$28="YES",IF(G77&gt;0,D77*(1-G77),0),0),2)</f>
        <v/>
      </c>
      <c r="L77" s="321">
        <f>ROUND(IF(G77=0,D77,0),2)</f>
        <v/>
      </c>
      <c r="M77" s="321">
        <f>ROUND(IF($I$28="NO",IF(G77&gt;0,D77*(1-G77),0),0),2)</f>
        <v/>
      </c>
      <c r="N77" s="62" t="n">
        <v>154</v>
      </c>
      <c r="O77" s="322">
        <f>ROUND(IF(Z77&lt;0,0,Z77),2)</f>
        <v/>
      </c>
      <c r="P77" s="322">
        <f>ROUND(IF($I$28="YES",IF(AE77&lt;0,0,AE77),0),2)</f>
        <v/>
      </c>
      <c r="Q77" s="100" t="n"/>
      <c r="R77" s="272" t="n"/>
      <c r="S77" s="272" t="n"/>
      <c r="T77" s="272" t="n"/>
      <c r="U77" s="275" t="n"/>
      <c r="V77" s="28" t="n"/>
      <c r="W77" s="323">
        <f>H77</f>
        <v/>
      </c>
      <c r="X77" s="323">
        <f>IF(W77&lt;0,X78,X78+W77)</f>
        <v/>
      </c>
      <c r="Y77" s="323">
        <f>$W$226-X77</f>
        <v/>
      </c>
      <c r="Z77" s="323">
        <f>IF(Y77&lt;0,Y78,H77)</f>
        <v/>
      </c>
      <c r="AA77" s="323" t="n"/>
      <c r="AB77" s="323">
        <f>K77</f>
        <v/>
      </c>
      <c r="AC77" s="323">
        <f>IF(AB77&lt;0,AC78,AC78+AB77)</f>
        <v/>
      </c>
      <c r="AD77" s="323">
        <f>$X$226-AC77</f>
        <v/>
      </c>
      <c r="AE77" s="323">
        <f>IF(AD77&lt;0,AD78,K77)</f>
        <v/>
      </c>
      <c r="AF77" s="323" t="n"/>
    </row>
    <row r="78">
      <c r="B78" s="60" t="n"/>
      <c r="C78" s="60" t="n">
        <v>4</v>
      </c>
      <c r="D78" s="320" t="n">
        <v>1479970</v>
      </c>
      <c r="E78" s="272" t="n"/>
      <c r="F78" s="275" t="n"/>
      <c r="G78" s="61" t="n"/>
      <c r="H78" s="321">
        <f>ROUND(G78*D78,2)</f>
        <v/>
      </c>
      <c r="I78" s="262" t="n"/>
      <c r="J78" s="263" t="n"/>
      <c r="K78" s="321">
        <f>ROUND(IF($I$28="YES",IF(G78&gt;0,D78*(1-G78),0),0),2)</f>
        <v/>
      </c>
      <c r="L78" s="321">
        <f>ROUND(IF(G78=0,D78,0),2)</f>
        <v/>
      </c>
      <c r="M78" s="321">
        <f>ROUND(IF($I$28="NO",IF(G78&gt;0,D78*(1-G78),0),0),2)</f>
        <v/>
      </c>
      <c r="N78" s="62" t="n"/>
      <c r="O78" s="322">
        <f>ROUND(IF(Z78&lt;0,0,Z78),2)</f>
        <v/>
      </c>
      <c r="P78" s="322">
        <f>ROUND(IF($I$28="YES",IF(AE78&lt;0,0,AE78),0),2)</f>
        <v/>
      </c>
      <c r="Q78" s="100" t="n"/>
      <c r="R78" s="272" t="n"/>
      <c r="S78" s="272" t="n"/>
      <c r="T78" s="272" t="n"/>
      <c r="U78" s="275" t="n"/>
      <c r="V78" s="28" t="n"/>
      <c r="W78" s="323">
        <f>H78</f>
        <v/>
      </c>
      <c r="X78" s="323">
        <f>IF(W78&lt;0,X79,X79+W78)</f>
        <v/>
      </c>
      <c r="Y78" s="323">
        <f>$W$226-X78</f>
        <v/>
      </c>
      <c r="Z78" s="323">
        <f>IF(Y78&lt;0,Y79,H78)</f>
        <v/>
      </c>
      <c r="AA78" s="323" t="n"/>
      <c r="AB78" s="323">
        <f>K78</f>
        <v/>
      </c>
      <c r="AC78" s="323">
        <f>IF(AB78&lt;0,AC79,AC79+AB78)</f>
        <v/>
      </c>
      <c r="AD78" s="323">
        <f>$X$226-AC78</f>
        <v/>
      </c>
      <c r="AE78" s="323">
        <f>IF(AD78&lt;0,AD79,K78)</f>
        <v/>
      </c>
      <c r="AF78" s="323" t="n"/>
    </row>
    <row r="79">
      <c r="B79" s="60" t="n"/>
      <c r="C79" s="60" t="n">
        <v>5</v>
      </c>
      <c r="D79" s="320" t="n">
        <v>48473</v>
      </c>
      <c r="E79" s="272" t="n"/>
      <c r="F79" s="275" t="n"/>
      <c r="G79" s="61" t="n"/>
      <c r="H79" s="321">
        <f>ROUND(G79*D79,2)</f>
        <v/>
      </c>
      <c r="I79" s="262" t="n"/>
      <c r="J79" s="263" t="n"/>
      <c r="K79" s="321">
        <f>ROUND(IF($I$28="YES",IF(G79&gt;0,D79*(1-G79),0),0),2)</f>
        <v/>
      </c>
      <c r="L79" s="321">
        <f>ROUND(IF(G79=0,D79,0),2)</f>
        <v/>
      </c>
      <c r="M79" s="321">
        <f>ROUND(IF($I$28="NO",IF(G79&gt;0,D79*(1-G79),0),0),2)</f>
        <v/>
      </c>
      <c r="N79" s="62" t="n"/>
      <c r="O79" s="322">
        <f>ROUND(IF(Z79&lt;0,0,Z79),2)</f>
        <v/>
      </c>
      <c r="P79" s="322">
        <f>ROUND(IF($I$28="YES",IF(AE79&lt;0,0,AE79),0),2)</f>
        <v/>
      </c>
      <c r="Q79" s="100" t="n"/>
      <c r="R79" s="272" t="n"/>
      <c r="S79" s="272" t="n"/>
      <c r="T79" s="272" t="n"/>
      <c r="U79" s="275" t="n"/>
      <c r="V79" s="28" t="n"/>
      <c r="W79" s="323">
        <f>H79</f>
        <v/>
      </c>
      <c r="X79" s="323">
        <f>IF(W79&lt;0,X80,X80+W79)</f>
        <v/>
      </c>
      <c r="Y79" s="323">
        <f>$W$226-X79</f>
        <v/>
      </c>
      <c r="Z79" s="323">
        <f>IF(Y79&lt;0,Y80,H79)</f>
        <v/>
      </c>
      <c r="AA79" s="323" t="n"/>
      <c r="AB79" s="323">
        <f>K79</f>
        <v/>
      </c>
      <c r="AC79" s="323">
        <f>IF(AB79&lt;0,AC80,AC80+AB79)</f>
        <v/>
      </c>
      <c r="AD79" s="323">
        <f>$X$226-AC79</f>
        <v/>
      </c>
      <c r="AE79" s="323">
        <f>IF(AD79&lt;0,AD80,K79)</f>
        <v/>
      </c>
      <c r="AF79" s="323" t="n"/>
    </row>
    <row r="80">
      <c r="B80" s="60" t="n"/>
      <c r="C80" s="60" t="n">
        <v>6</v>
      </c>
      <c r="D80" s="320" t="n">
        <v>618332</v>
      </c>
      <c r="E80" s="272" t="n"/>
      <c r="F80" s="275" t="n"/>
      <c r="G80" s="61" t="n"/>
      <c r="H80" s="321">
        <f>ROUND(G80*D80,2)</f>
        <v/>
      </c>
      <c r="I80" s="262" t="n"/>
      <c r="J80" s="263" t="n"/>
      <c r="K80" s="321">
        <f>ROUND(IF($I$28="YES",IF(G80&gt;0,D80*(1-G80),0),0),2)</f>
        <v/>
      </c>
      <c r="L80" s="321">
        <f>ROUND(IF(G80=0,D80,0),2)</f>
        <v/>
      </c>
      <c r="M80" s="321">
        <f>ROUND(IF($I$28="NO",IF(G80&gt;0,D80*(1-G80),0),0),2)</f>
        <v/>
      </c>
      <c r="N80" s="62" t="n"/>
      <c r="O80" s="322">
        <f>ROUND(IF(Z80&lt;0,0,Z80),2)</f>
        <v/>
      </c>
      <c r="P80" s="322">
        <f>ROUND(IF($I$28="YES",IF(AE80&lt;0,0,AE80),0),2)</f>
        <v/>
      </c>
      <c r="Q80" s="100" t="n"/>
      <c r="R80" s="272" t="n"/>
      <c r="S80" s="272" t="n"/>
      <c r="T80" s="272" t="n"/>
      <c r="U80" s="275" t="n"/>
      <c r="V80" s="28" t="n"/>
      <c r="W80" s="323">
        <f>H80</f>
        <v/>
      </c>
      <c r="X80" s="323">
        <f>IF(W80&lt;0,X81,X81+W80)</f>
        <v/>
      </c>
      <c r="Y80" s="323">
        <f>$W$226-X80</f>
        <v/>
      </c>
      <c r="Z80" s="323">
        <f>IF(Y80&lt;0,Y81,H80)</f>
        <v/>
      </c>
      <c r="AA80" s="323" t="n"/>
      <c r="AB80" s="323">
        <f>K80</f>
        <v/>
      </c>
      <c r="AC80" s="323">
        <f>IF(AB80&lt;0,AC81,AC81+AB80)</f>
        <v/>
      </c>
      <c r="AD80" s="323">
        <f>$X$226-AC80</f>
        <v/>
      </c>
      <c r="AE80" s="323">
        <f>IF(AD80&lt;0,AD81,K80)</f>
        <v/>
      </c>
      <c r="AF80" s="323" t="n"/>
    </row>
    <row r="81">
      <c r="B81" s="60" t="n">
        <v>4</v>
      </c>
      <c r="C81" s="60" t="n"/>
      <c r="D81" s="320" t="n">
        <v>185100</v>
      </c>
      <c r="E81" s="272" t="n"/>
      <c r="F81" s="275" t="n"/>
      <c r="G81" s="61" t="n"/>
      <c r="H81" s="321">
        <f>ROUND(G81*D81,2)</f>
        <v/>
      </c>
      <c r="I81" s="262" t="n"/>
      <c r="J81" s="263" t="n"/>
      <c r="K81" s="321">
        <f>ROUND(IF($I$28="YES",IF(G81&gt;0,D81*(1-G81),0),0),2)</f>
        <v/>
      </c>
      <c r="L81" s="321">
        <f>ROUND(IF(G81=0,D81,0),2)</f>
        <v/>
      </c>
      <c r="M81" s="321">
        <f>ROUND(IF($I$28="NO",IF(G81&gt;0,D81*(1-G81),0),0),2)</f>
        <v/>
      </c>
      <c r="N81" s="62" t="n"/>
      <c r="O81" s="322">
        <f>ROUND(IF(Z81&lt;0,0,Z81),2)</f>
        <v/>
      </c>
      <c r="P81" s="322">
        <f>ROUND(IF($I$28="YES",IF(AE81&lt;0,0,AE81),0),2)</f>
        <v/>
      </c>
      <c r="Q81" s="100" t="n"/>
      <c r="R81" s="272" t="n"/>
      <c r="S81" s="272" t="n"/>
      <c r="T81" s="272" t="n"/>
      <c r="U81" s="275" t="n"/>
      <c r="V81" s="28" t="n"/>
      <c r="W81" s="323">
        <f>H81</f>
        <v/>
      </c>
      <c r="X81" s="323">
        <f>IF(W81&lt;0,X82,X82+W81)</f>
        <v/>
      </c>
      <c r="Y81" s="323">
        <f>$W$226-X81</f>
        <v/>
      </c>
      <c r="Z81" s="323">
        <f>IF(Y81&lt;0,Y82,H81)</f>
        <v/>
      </c>
      <c r="AA81" s="323" t="n"/>
      <c r="AB81" s="323">
        <f>K81</f>
        <v/>
      </c>
      <c r="AC81" s="323">
        <f>IF(AB81&lt;0,AC82,AC82+AB81)</f>
        <v/>
      </c>
      <c r="AD81" s="323">
        <f>$X$226-AC81</f>
        <v/>
      </c>
      <c r="AE81" s="323">
        <f>IF(AD81&lt;0,AD82,K81)</f>
        <v/>
      </c>
      <c r="AF81" s="323" t="n"/>
    </row>
    <row r="82">
      <c r="B82" s="60" t="n"/>
      <c r="C82" s="60" t="n"/>
      <c r="D82" s="320" t="n"/>
      <c r="E82" s="272" t="n"/>
      <c r="F82" s="275" t="n"/>
      <c r="G82" s="61" t="n"/>
      <c r="H82" s="321">
        <f>ROUND(G82*D82,2)</f>
        <v/>
      </c>
      <c r="I82" s="262" t="n"/>
      <c r="J82" s="263" t="n"/>
      <c r="K82" s="321">
        <f>ROUND(IF($I$28="YES",IF(G82&gt;0,D82*(1-G82),0),0),2)</f>
        <v/>
      </c>
      <c r="L82" s="321">
        <f>ROUND(IF(G82=0,D82,0),2)</f>
        <v/>
      </c>
      <c r="M82" s="321">
        <f>ROUND(IF($I$28="NO",IF(G82&gt;0,D82*(1-G82),0),0),2)</f>
        <v/>
      </c>
      <c r="N82" s="62" t="n"/>
      <c r="O82" s="322">
        <f>ROUND(IF(Z82&lt;0,0,Z82),2)</f>
        <v/>
      </c>
      <c r="P82" s="322">
        <f>ROUND(IF($I$28="YES",IF(AE82&lt;0,0,AE82),0),2)</f>
        <v/>
      </c>
      <c r="Q82" s="100" t="n"/>
      <c r="R82" s="272" t="n"/>
      <c r="S82" s="272" t="n"/>
      <c r="T82" s="272" t="n"/>
      <c r="U82" s="275" t="n"/>
      <c r="V82" s="28" t="n"/>
      <c r="W82" s="323">
        <f>H82</f>
        <v/>
      </c>
      <c r="X82" s="323">
        <f>IF(W82&lt;0,X83,X83+W82)</f>
        <v/>
      </c>
      <c r="Y82" s="323">
        <f>$W$226-X82</f>
        <v/>
      </c>
      <c r="Z82" s="323">
        <f>IF(Y82&lt;0,Y83,H82)</f>
        <v/>
      </c>
      <c r="AA82" s="323" t="n"/>
      <c r="AB82" s="323">
        <f>K82</f>
        <v/>
      </c>
      <c r="AC82" s="323">
        <f>IF(AB82&lt;0,AC83,AC83+AB82)</f>
        <v/>
      </c>
      <c r="AD82" s="323">
        <f>$X$226-AC82</f>
        <v/>
      </c>
      <c r="AE82" s="323">
        <f>IF(AD82&lt;0,AD83,K82)</f>
        <v/>
      </c>
      <c r="AF82" s="323" t="n"/>
    </row>
    <row r="83">
      <c r="B83" s="60" t="n"/>
      <c r="C83" s="60" t="n"/>
      <c r="D83" s="320" t="n"/>
      <c r="E83" s="272" t="n"/>
      <c r="F83" s="275" t="n"/>
      <c r="G83" s="61" t="n"/>
      <c r="H83" s="321">
        <f>ROUND(G83*D83,2)</f>
        <v/>
      </c>
      <c r="I83" s="262" t="n"/>
      <c r="J83" s="263" t="n"/>
      <c r="K83" s="321">
        <f>ROUND(IF($I$28="YES",IF(G83&gt;0,D83*(1-G83),0),0),2)</f>
        <v/>
      </c>
      <c r="L83" s="321">
        <f>ROUND(IF(G83=0,D83,0),2)</f>
        <v/>
      </c>
      <c r="M83" s="321">
        <f>ROUND(IF($I$28="NO",IF(G83&gt;0,D83*(1-G83),0),0),2)</f>
        <v/>
      </c>
      <c r="N83" s="62" t="n"/>
      <c r="O83" s="322">
        <f>ROUND(IF(Z83&lt;0,0,Z83),2)</f>
        <v/>
      </c>
      <c r="P83" s="322">
        <f>ROUND(IF($I$28="YES",IF(AE83&lt;0,0,AE83),0),2)</f>
        <v/>
      </c>
      <c r="Q83" s="100" t="n"/>
      <c r="R83" s="272" t="n"/>
      <c r="S83" s="272" t="n"/>
      <c r="T83" s="272" t="n"/>
      <c r="U83" s="275" t="n"/>
      <c r="V83" s="28" t="n"/>
      <c r="W83" s="323">
        <f>H83</f>
        <v/>
      </c>
      <c r="X83" s="323">
        <f>IF(W83&lt;0,X84,X84+W83)</f>
        <v/>
      </c>
      <c r="Y83" s="323">
        <f>$W$226-X83</f>
        <v/>
      </c>
      <c r="Z83" s="323">
        <f>IF(Y83&lt;0,Y84,H83)</f>
        <v/>
      </c>
      <c r="AA83" s="323" t="n"/>
      <c r="AB83" s="323">
        <f>K83</f>
        <v/>
      </c>
      <c r="AC83" s="323">
        <f>IF(AB83&lt;0,AC84,AC84+AB83)</f>
        <v/>
      </c>
      <c r="AD83" s="323">
        <f>$X$226-AC83</f>
        <v/>
      </c>
      <c r="AE83" s="323">
        <f>IF(AD83&lt;0,AD84,K83)</f>
        <v/>
      </c>
      <c r="AF83" s="323" t="n"/>
    </row>
    <row r="84">
      <c r="B84" s="60" t="n"/>
      <c r="C84" s="60" t="n"/>
      <c r="D84" s="324" t="n"/>
      <c r="E84" s="272" t="n"/>
      <c r="F84" s="275" t="n"/>
      <c r="G84" s="61" t="n"/>
      <c r="H84" s="321">
        <f>ROUND(G84*D84,2)</f>
        <v/>
      </c>
      <c r="I84" s="262" t="n"/>
      <c r="J84" s="263" t="n"/>
      <c r="K84" s="321">
        <f>ROUND(IF($I$28="YES",IF(G84&gt;0,D84*(1-G84),0),0),2)</f>
        <v/>
      </c>
      <c r="L84" s="321">
        <f>ROUND(IF(G84=0,D84,0),2)</f>
        <v/>
      </c>
      <c r="M84" s="321">
        <f>ROUND(IF($I$28="NO",IF(G84&gt;0,D84*(1-G84),0),0),2)</f>
        <v/>
      </c>
      <c r="N84" s="62" t="n"/>
      <c r="O84" s="322">
        <f>ROUND(IF(Z84&lt;0,0,Z84),2)</f>
        <v/>
      </c>
      <c r="P84" s="322">
        <f>ROUND(IF($I$28="YES",IF(AE84&lt;0,0,AE84),0),2)</f>
        <v/>
      </c>
      <c r="Q84" s="100" t="n"/>
      <c r="R84" s="272" t="n"/>
      <c r="S84" s="272" t="n"/>
      <c r="T84" s="272" t="n"/>
      <c r="U84" s="275" t="n"/>
      <c r="V84" s="28" t="n"/>
      <c r="W84" s="323">
        <f>H84</f>
        <v/>
      </c>
      <c r="X84" s="323">
        <f>IF(W84&lt;0,X85,X85+W84)</f>
        <v/>
      </c>
      <c r="Y84" s="323">
        <f>$W$226-X84</f>
        <v/>
      </c>
      <c r="Z84" s="323">
        <f>IF(Y84&lt;0,Y85,H84)</f>
        <v/>
      </c>
      <c r="AA84" s="323" t="n"/>
      <c r="AB84" s="323">
        <f>K84</f>
        <v/>
      </c>
      <c r="AC84" s="323">
        <f>IF(AB84&lt;0,AC85,AC85+AB84)</f>
        <v/>
      </c>
      <c r="AD84" s="323">
        <f>$X$226-AC84</f>
        <v/>
      </c>
      <c r="AE84" s="323">
        <f>IF(AD84&lt;0,AD85,K84)</f>
        <v/>
      </c>
      <c r="AF84" s="323" t="n"/>
    </row>
    <row r="85">
      <c r="B85" s="60" t="n"/>
      <c r="C85" s="60" t="n"/>
      <c r="D85" s="324" t="n"/>
      <c r="E85" s="272" t="n"/>
      <c r="F85" s="275" t="n"/>
      <c r="G85" s="61" t="n"/>
      <c r="H85" s="321">
        <f>ROUND(G85*D85,2)</f>
        <v/>
      </c>
      <c r="I85" s="262" t="n"/>
      <c r="J85" s="263" t="n"/>
      <c r="K85" s="321">
        <f>ROUND(IF($I$28="YES",IF(G85&gt;0,D85*(1-G85),0),0),2)</f>
        <v/>
      </c>
      <c r="L85" s="321">
        <f>ROUND(IF(G85=0,D85,0),2)</f>
        <v/>
      </c>
      <c r="M85" s="321">
        <f>ROUND(IF($I$28="NO",IF(G85&gt;0,D85*(1-G85),0),0),2)</f>
        <v/>
      </c>
      <c r="N85" s="62" t="n"/>
      <c r="O85" s="322">
        <f>ROUND(IF(Z85&lt;0,0,Z85),2)</f>
        <v/>
      </c>
      <c r="P85" s="322">
        <f>ROUND(IF($I$28="YES",IF(AE85&lt;0,0,AE85),0),2)</f>
        <v/>
      </c>
      <c r="Q85" s="100" t="n"/>
      <c r="R85" s="272" t="n"/>
      <c r="S85" s="272" t="n"/>
      <c r="T85" s="272" t="n"/>
      <c r="U85" s="275" t="n"/>
      <c r="V85" s="28" t="n"/>
      <c r="W85" s="323">
        <f>H85</f>
        <v/>
      </c>
      <c r="X85" s="323">
        <f>IF(W85&lt;0,X86,X86+W85)</f>
        <v/>
      </c>
      <c r="Y85" s="323">
        <f>$W$226-X85</f>
        <v/>
      </c>
      <c r="Z85" s="323">
        <f>IF(Y85&lt;0,Y86,H85)</f>
        <v/>
      </c>
      <c r="AA85" s="323" t="n"/>
      <c r="AB85" s="323">
        <f>K85</f>
        <v/>
      </c>
      <c r="AC85" s="323">
        <f>IF(AB85&lt;0,AC86,AC86+AB85)</f>
        <v/>
      </c>
      <c r="AD85" s="323">
        <f>$X$226-AC85</f>
        <v/>
      </c>
      <c r="AE85" s="323">
        <f>IF(AD85&lt;0,AD86,K85)</f>
        <v/>
      </c>
      <c r="AF85" s="323" t="n"/>
    </row>
    <row r="86">
      <c r="B86" s="60" t="n"/>
      <c r="C86" s="60" t="n"/>
      <c r="D86" s="324" t="n"/>
      <c r="E86" s="272" t="n"/>
      <c r="F86" s="275" t="n"/>
      <c r="G86" s="61" t="n"/>
      <c r="H86" s="321">
        <f>ROUND(G86*D86,2)</f>
        <v/>
      </c>
      <c r="I86" s="262" t="n"/>
      <c r="J86" s="263" t="n"/>
      <c r="K86" s="321">
        <f>ROUND(IF($I$28="YES",IF(G86&gt;0,D86*(1-G86),0),0),2)</f>
        <v/>
      </c>
      <c r="L86" s="321">
        <f>ROUND(IF(G86=0,D86,0),2)</f>
        <v/>
      </c>
      <c r="M86" s="321">
        <f>ROUND(IF($I$28="NO",IF(G86&gt;0,D86*(1-G86),0),0),2)</f>
        <v/>
      </c>
      <c r="N86" s="62" t="n"/>
      <c r="O86" s="322">
        <f>ROUND(IF(Z86&lt;0,0,Z86),2)</f>
        <v/>
      </c>
      <c r="P86" s="322">
        <f>ROUND(IF($I$28="YES",IF(AE86&lt;0,0,AE86),0),2)</f>
        <v/>
      </c>
      <c r="Q86" s="100" t="n"/>
      <c r="R86" s="272" t="n"/>
      <c r="S86" s="272" t="n"/>
      <c r="T86" s="272" t="n"/>
      <c r="U86" s="275" t="n"/>
      <c r="V86" s="28" t="n"/>
      <c r="W86" s="323">
        <f>H86</f>
        <v/>
      </c>
      <c r="X86" s="323">
        <f>IF(W86&lt;0,X87,X87+W86)</f>
        <v/>
      </c>
      <c r="Y86" s="323">
        <f>$W$226-X86</f>
        <v/>
      </c>
      <c r="Z86" s="323">
        <f>IF(Y86&lt;0,Y87,H86)</f>
        <v/>
      </c>
      <c r="AA86" s="323" t="n"/>
      <c r="AB86" s="323">
        <f>K86</f>
        <v/>
      </c>
      <c r="AC86" s="323">
        <f>IF(AB86&lt;0,AC87,AC87+AB86)</f>
        <v/>
      </c>
      <c r="AD86" s="323">
        <f>$X$226-AC86</f>
        <v/>
      </c>
      <c r="AE86" s="323">
        <f>IF(AD86&lt;0,AD87,K86)</f>
        <v/>
      </c>
      <c r="AF86" s="323" t="n"/>
    </row>
    <row r="87">
      <c r="B87" s="60" t="n"/>
      <c r="C87" s="60" t="n"/>
      <c r="D87" s="324" t="n"/>
      <c r="E87" s="272" t="n"/>
      <c r="F87" s="275" t="n"/>
      <c r="G87" s="61" t="n"/>
      <c r="H87" s="321">
        <f>ROUND(G87*D87,2)</f>
        <v/>
      </c>
      <c r="I87" s="262" t="n"/>
      <c r="J87" s="263" t="n"/>
      <c r="K87" s="321">
        <f>ROUND(IF($I$28="YES",IF(G87&gt;0,D87*(1-G87),0),0),2)</f>
        <v/>
      </c>
      <c r="L87" s="321">
        <f>ROUND(IF(G87=0,D87,0),2)</f>
        <v/>
      </c>
      <c r="M87" s="321">
        <f>ROUND(IF($I$28="NO",IF(G87&gt;0,D87*(1-G87),0),0),2)</f>
        <v/>
      </c>
      <c r="N87" s="62" t="n"/>
      <c r="O87" s="322">
        <f>ROUND(IF(Z87&lt;0,0,Z87),2)</f>
        <v/>
      </c>
      <c r="P87" s="322">
        <f>ROUND(IF($I$28="YES",IF(AE87&lt;0,0,AE87),0),2)</f>
        <v/>
      </c>
      <c r="Q87" s="100" t="n"/>
      <c r="R87" s="272" t="n"/>
      <c r="S87" s="272" t="n"/>
      <c r="T87" s="272" t="n"/>
      <c r="U87" s="275" t="n"/>
      <c r="V87" s="28" t="n"/>
      <c r="W87" s="323">
        <f>H87</f>
        <v/>
      </c>
      <c r="X87" s="323">
        <f>IF(W87&lt;0,X88,X88+W87)</f>
        <v/>
      </c>
      <c r="Y87" s="323">
        <f>$W$226-X87</f>
        <v/>
      </c>
      <c r="Z87" s="323">
        <f>IF(Y87&lt;0,Y88,H87)</f>
        <v/>
      </c>
      <c r="AA87" s="323" t="n"/>
      <c r="AB87" s="323">
        <f>K87</f>
        <v/>
      </c>
      <c r="AC87" s="323">
        <f>IF(AB87&lt;0,AC88,AC88+AB87)</f>
        <v/>
      </c>
      <c r="AD87" s="323">
        <f>$X$226-AC87</f>
        <v/>
      </c>
      <c r="AE87" s="323">
        <f>IF(AD87&lt;0,AD88,K87)</f>
        <v/>
      </c>
      <c r="AF87" s="323" t="n"/>
    </row>
    <row r="88">
      <c r="B88" s="60" t="n"/>
      <c r="C88" s="60" t="n"/>
      <c r="D88" s="324" t="n"/>
      <c r="E88" s="272" t="n"/>
      <c r="F88" s="275" t="n"/>
      <c r="G88" s="61" t="n"/>
      <c r="H88" s="321">
        <f>ROUND(G88*D88,2)</f>
        <v/>
      </c>
      <c r="I88" s="262" t="n"/>
      <c r="J88" s="263" t="n"/>
      <c r="K88" s="321">
        <f>ROUND(IF($I$28="YES",IF(G88&gt;0,D88*(1-G88),0),0),2)</f>
        <v/>
      </c>
      <c r="L88" s="321">
        <f>ROUND(IF(G88=0,D88,0),2)</f>
        <v/>
      </c>
      <c r="M88" s="321">
        <f>ROUND(IF($I$28="NO",IF(G88&gt;0,D88*(1-G88),0),0),2)</f>
        <v/>
      </c>
      <c r="N88" s="62" t="n"/>
      <c r="O88" s="322">
        <f>ROUND(IF(Z88&lt;0,0,Z88),2)</f>
        <v/>
      </c>
      <c r="P88" s="322">
        <f>ROUND(IF($I$28="YES",IF(AE88&lt;0,0,AE88),0),2)</f>
        <v/>
      </c>
      <c r="Q88" s="100" t="n"/>
      <c r="R88" s="272" t="n"/>
      <c r="S88" s="272" t="n"/>
      <c r="T88" s="272" t="n"/>
      <c r="U88" s="275" t="n"/>
      <c r="V88" s="28" t="n"/>
      <c r="W88" s="323">
        <f>H88</f>
        <v/>
      </c>
      <c r="X88" s="323">
        <f>IF(W88&lt;0,X89,X89+W88)</f>
        <v/>
      </c>
      <c r="Y88" s="323">
        <f>$W$226-X88</f>
        <v/>
      </c>
      <c r="Z88" s="323">
        <f>IF(Y88&lt;0,Y89,H88)</f>
        <v/>
      </c>
      <c r="AA88" s="323" t="n"/>
      <c r="AB88" s="323">
        <f>K88</f>
        <v/>
      </c>
      <c r="AC88" s="323">
        <f>IF(AB88&lt;0,AC89,AC89+AB88)</f>
        <v/>
      </c>
      <c r="AD88" s="323">
        <f>$X$226-AC88</f>
        <v/>
      </c>
      <c r="AE88" s="323">
        <f>IF(AD88&lt;0,AD89,K88)</f>
        <v/>
      </c>
      <c r="AF88" s="323" t="n"/>
    </row>
    <row r="89">
      <c r="B89" s="60" t="n"/>
      <c r="C89" s="60" t="n"/>
      <c r="D89" s="324" t="n"/>
      <c r="E89" s="272" t="n"/>
      <c r="F89" s="275" t="n"/>
      <c r="G89" s="61" t="n"/>
      <c r="H89" s="321">
        <f>ROUND(G89*D89,2)</f>
        <v/>
      </c>
      <c r="I89" s="262" t="n"/>
      <c r="J89" s="263" t="n"/>
      <c r="K89" s="321">
        <f>ROUND(IF($I$28="YES",IF(G89&gt;0,D89*(1-G89),0),0),2)</f>
        <v/>
      </c>
      <c r="L89" s="321">
        <f>ROUND(IF(G89=0,D89,0),2)</f>
        <v/>
      </c>
      <c r="M89" s="321">
        <f>ROUND(IF($I$28="NO",IF(G89&gt;0,D89*(1-G89),0),0),2)</f>
        <v/>
      </c>
      <c r="N89" s="62" t="n"/>
      <c r="O89" s="322">
        <f>ROUND(IF(Z89&lt;0,0,Z89),2)</f>
        <v/>
      </c>
      <c r="P89" s="322">
        <f>ROUND(IF($I$28="YES",IF(AE89&lt;0,0,AE89),0),2)</f>
        <v/>
      </c>
      <c r="Q89" s="100" t="n"/>
      <c r="R89" s="272" t="n"/>
      <c r="S89" s="272" t="n"/>
      <c r="T89" s="272" t="n"/>
      <c r="U89" s="275" t="n"/>
      <c r="V89" s="28" t="n"/>
      <c r="W89" s="323">
        <f>H89</f>
        <v/>
      </c>
      <c r="X89" s="323">
        <f>IF(W89&lt;0,X90,X90+W89)</f>
        <v/>
      </c>
      <c r="Y89" s="323">
        <f>$W$226-X89</f>
        <v/>
      </c>
      <c r="Z89" s="323">
        <f>IF(Y89&lt;0,Y90,H89)</f>
        <v/>
      </c>
      <c r="AA89" s="323" t="n"/>
      <c r="AB89" s="323">
        <f>K89</f>
        <v/>
      </c>
      <c r="AC89" s="323">
        <f>IF(AB89&lt;0,AC90,AC90+AB89)</f>
        <v/>
      </c>
      <c r="AD89" s="323">
        <f>$X$226-AC89</f>
        <v/>
      </c>
      <c r="AE89" s="323">
        <f>IF(AD89&lt;0,AD90,K89)</f>
        <v/>
      </c>
      <c r="AF89" s="323" t="n"/>
    </row>
    <row r="90">
      <c r="B90" s="60" t="n"/>
      <c r="C90" s="60" t="n"/>
      <c r="D90" s="320" t="n"/>
      <c r="E90" s="272" t="n"/>
      <c r="F90" s="275" t="n"/>
      <c r="G90" s="61" t="n"/>
      <c r="H90" s="321">
        <f>ROUND(G90*D90,2)</f>
        <v/>
      </c>
      <c r="I90" s="262" t="n"/>
      <c r="J90" s="263" t="n"/>
      <c r="K90" s="321">
        <f>ROUND(IF($I$28="YES",IF(G90&gt;0,D90*(1-G90),0),0),2)</f>
        <v/>
      </c>
      <c r="L90" s="321">
        <f>ROUND(IF(G90=0,D90,0),2)</f>
        <v/>
      </c>
      <c r="M90" s="321">
        <f>ROUND(IF($I$28="NO",IF(G90&gt;0,D90*(1-G90),0),0),2)</f>
        <v/>
      </c>
      <c r="N90" s="62" t="n"/>
      <c r="O90" s="322">
        <f>ROUND(IF(Z90&lt;0,0,Z90),2)</f>
        <v/>
      </c>
      <c r="P90" s="322">
        <f>ROUND(IF($I$28="YES",IF(AE90&lt;0,0,AE90),0),2)</f>
        <v/>
      </c>
      <c r="Q90" s="100" t="n"/>
      <c r="R90" s="272" t="n"/>
      <c r="S90" s="272" t="n"/>
      <c r="T90" s="272" t="n"/>
      <c r="U90" s="275" t="n"/>
      <c r="V90" s="28" t="n"/>
      <c r="W90" s="323">
        <f>H90</f>
        <v/>
      </c>
      <c r="X90" s="323">
        <f>IF(W90&lt;0,X91,X91+W90)</f>
        <v/>
      </c>
      <c r="Y90" s="323">
        <f>$W$226-X90</f>
        <v/>
      </c>
      <c r="Z90" s="323">
        <f>IF(Y90&lt;0,Y91,H90)</f>
        <v/>
      </c>
      <c r="AA90" s="323" t="n"/>
      <c r="AB90" s="323">
        <f>K90</f>
        <v/>
      </c>
      <c r="AC90" s="323">
        <f>IF(AB90&lt;0,AC91,AC91+AB90)</f>
        <v/>
      </c>
      <c r="AD90" s="323">
        <f>$X$226-AC90</f>
        <v/>
      </c>
      <c r="AE90" s="323">
        <f>IF(AD90&lt;0,AD91,K90)</f>
        <v/>
      </c>
      <c r="AF90" s="323" t="n"/>
    </row>
    <row r="91">
      <c r="B91" s="60" t="n"/>
      <c r="C91" s="60" t="n"/>
      <c r="D91" s="320" t="n"/>
      <c r="E91" s="272" t="n"/>
      <c r="F91" s="275" t="n"/>
      <c r="G91" s="61" t="n"/>
      <c r="H91" s="321">
        <f>ROUND(G91*D91,2)</f>
        <v/>
      </c>
      <c r="I91" s="262" t="n"/>
      <c r="J91" s="263" t="n"/>
      <c r="K91" s="321">
        <f>ROUND(IF($I$28="YES",IF(G91&gt;0,D91*(1-G91),0),0),2)</f>
        <v/>
      </c>
      <c r="L91" s="321">
        <f>ROUND(IF(G91=0,D91,0),2)</f>
        <v/>
      </c>
      <c r="M91" s="321">
        <f>ROUND(IF($I$28="NO",IF(G91&gt;0,D91*(1-G91),0),0),2)</f>
        <v/>
      </c>
      <c r="N91" s="62" t="n"/>
      <c r="O91" s="322">
        <f>ROUND(IF(Z91&lt;0,0,Z91),2)</f>
        <v/>
      </c>
      <c r="P91" s="322">
        <f>ROUND(IF($I$28="YES",IF(AE91&lt;0,0,AE91),0),2)</f>
        <v/>
      </c>
      <c r="Q91" s="100" t="n"/>
      <c r="R91" s="272" t="n"/>
      <c r="S91" s="272" t="n"/>
      <c r="T91" s="272" t="n"/>
      <c r="U91" s="275" t="n"/>
      <c r="V91" s="28" t="n"/>
      <c r="W91" s="323">
        <f>H91</f>
        <v/>
      </c>
      <c r="X91" s="323">
        <f>IF(W91&lt;0,X92,X92+W91)</f>
        <v/>
      </c>
      <c r="Y91" s="323">
        <f>$W$226-X91</f>
        <v/>
      </c>
      <c r="Z91" s="323">
        <f>IF(Y91&lt;0,Y92,H91)</f>
        <v/>
      </c>
      <c r="AA91" s="323" t="n"/>
      <c r="AB91" s="323">
        <f>K91</f>
        <v/>
      </c>
      <c r="AC91" s="323">
        <f>IF(AB91&lt;0,AC92,AC92+AB91)</f>
        <v/>
      </c>
      <c r="AD91" s="323">
        <f>$X$226-AC91</f>
        <v/>
      </c>
      <c r="AE91" s="323">
        <f>IF(AD91&lt;0,AD92,K91)</f>
        <v/>
      </c>
      <c r="AF91" s="323" t="n"/>
    </row>
    <row r="92">
      <c r="B92" s="60" t="n"/>
      <c r="C92" s="60" t="n"/>
      <c r="D92" s="320" t="n"/>
      <c r="E92" s="272" t="n"/>
      <c r="F92" s="275" t="n"/>
      <c r="G92" s="61" t="n"/>
      <c r="H92" s="321">
        <f>ROUND(G92*D92,2)</f>
        <v/>
      </c>
      <c r="I92" s="262" t="n"/>
      <c r="J92" s="263" t="n"/>
      <c r="K92" s="321">
        <f>ROUND(IF($I$28="YES",IF(G92&gt;0,D92*(1-G92),0),0),2)</f>
        <v/>
      </c>
      <c r="L92" s="321">
        <f>ROUND(IF(G92=0,D92,0),2)</f>
        <v/>
      </c>
      <c r="M92" s="321">
        <f>ROUND(IF($I$28="NO",IF(G92&gt;0,D92*(1-G92),0),0),2)</f>
        <v/>
      </c>
      <c r="N92" s="62" t="n"/>
      <c r="O92" s="322">
        <f>ROUND(IF(Z92&lt;0,0,Z92),2)</f>
        <v/>
      </c>
      <c r="P92" s="322">
        <f>ROUND(IF($I$28="YES",IF(AE92&lt;0,0,AE92),0),2)</f>
        <v/>
      </c>
      <c r="Q92" s="100" t="n"/>
      <c r="R92" s="272" t="n"/>
      <c r="S92" s="272" t="n"/>
      <c r="T92" s="272" t="n"/>
      <c r="U92" s="275" t="n"/>
      <c r="V92" s="28" t="n"/>
      <c r="W92" s="323">
        <f>H92</f>
        <v/>
      </c>
      <c r="X92" s="323">
        <f>IF(W92&lt;0,X93,X93+W92)</f>
        <v/>
      </c>
      <c r="Y92" s="323">
        <f>$W$226-X92</f>
        <v/>
      </c>
      <c r="Z92" s="323">
        <f>IF(Y92&lt;0,Y93,H92)</f>
        <v/>
      </c>
      <c r="AA92" s="323" t="n"/>
      <c r="AB92" s="323">
        <f>K92</f>
        <v/>
      </c>
      <c r="AC92" s="323">
        <f>IF(AB92&lt;0,AC93,AC93+AB92)</f>
        <v/>
      </c>
      <c r="AD92" s="323">
        <f>$X$226-AC92</f>
        <v/>
      </c>
      <c r="AE92" s="323">
        <f>IF(AD92&lt;0,AD93,K92)</f>
        <v/>
      </c>
      <c r="AF92" s="323" t="n"/>
    </row>
    <row r="93">
      <c r="B93" s="60" t="n"/>
      <c r="C93" s="60" t="n"/>
      <c r="D93" s="320" t="n"/>
      <c r="E93" s="272" t="n"/>
      <c r="F93" s="275" t="n"/>
      <c r="G93" s="61" t="n"/>
      <c r="H93" s="321">
        <f>ROUND(G93*D93,2)</f>
        <v/>
      </c>
      <c r="I93" s="262" t="n"/>
      <c r="J93" s="263" t="n"/>
      <c r="K93" s="321">
        <f>ROUND(IF($I$28="YES",IF(G93&gt;0,D93*(1-G93),0),0),2)</f>
        <v/>
      </c>
      <c r="L93" s="321">
        <f>ROUND(IF(G93=0,D93,0),2)</f>
        <v/>
      </c>
      <c r="M93" s="321">
        <f>ROUND(IF($I$28="NO",IF(G93&gt;0,D93*(1-G93),0),0),2)</f>
        <v/>
      </c>
      <c r="N93" s="62" t="n"/>
      <c r="O93" s="322">
        <f>ROUND(IF(Z93&lt;0,0,Z93),2)</f>
        <v/>
      </c>
      <c r="P93" s="322">
        <f>ROUND(IF($I$28="YES",IF(AE93&lt;0,0,AE93),0),2)</f>
        <v/>
      </c>
      <c r="Q93" s="100" t="n"/>
      <c r="R93" s="272" t="n"/>
      <c r="S93" s="272" t="n"/>
      <c r="T93" s="272" t="n"/>
      <c r="U93" s="275" t="n"/>
      <c r="V93" s="28" t="n"/>
      <c r="W93" s="323">
        <f>H93</f>
        <v/>
      </c>
      <c r="X93" s="323">
        <f>IF(W93&lt;0,X94,X94+W93)</f>
        <v/>
      </c>
      <c r="Y93" s="323">
        <f>$W$226-X93</f>
        <v/>
      </c>
      <c r="Z93" s="323">
        <f>IF(Y93&lt;0,Y94,H93)</f>
        <v/>
      </c>
      <c r="AA93" s="323" t="n"/>
      <c r="AB93" s="323">
        <f>K93</f>
        <v/>
      </c>
      <c r="AC93" s="323">
        <f>IF(AB93&lt;0,AC94,AC94+AB93)</f>
        <v/>
      </c>
      <c r="AD93" s="323">
        <f>$X$226-AC93</f>
        <v/>
      </c>
      <c r="AE93" s="323">
        <f>IF(AD93&lt;0,AD94,K93)</f>
        <v/>
      </c>
      <c r="AF93" s="323" t="n"/>
    </row>
    <row r="94">
      <c r="B94" s="60" t="n"/>
      <c r="C94" s="60" t="n"/>
      <c r="D94" s="320" t="n"/>
      <c r="E94" s="272" t="n"/>
      <c r="F94" s="275" t="n"/>
      <c r="G94" s="61" t="n"/>
      <c r="H94" s="321">
        <f>ROUND(G94*D94,2)</f>
        <v/>
      </c>
      <c r="I94" s="262" t="n"/>
      <c r="J94" s="263" t="n"/>
      <c r="K94" s="321">
        <f>ROUND(IF($I$28="YES",IF(G94&gt;0,D94*(1-G94),0),0),2)</f>
        <v/>
      </c>
      <c r="L94" s="321">
        <f>ROUND(IF(G94=0,D94,0),2)</f>
        <v/>
      </c>
      <c r="M94" s="321">
        <f>ROUND(IF($I$28="NO",IF(G94&gt;0,D94*(1-G94),0),0),2)</f>
        <v/>
      </c>
      <c r="N94" s="62" t="n"/>
      <c r="O94" s="322">
        <f>ROUND(IF(Z94&lt;0,0,Z94),2)</f>
        <v/>
      </c>
      <c r="P94" s="322">
        <f>ROUND(IF($I$28="YES",IF(AE94&lt;0,0,AE94),0),2)</f>
        <v/>
      </c>
      <c r="Q94" s="100" t="n"/>
      <c r="R94" s="272" t="n"/>
      <c r="S94" s="272" t="n"/>
      <c r="T94" s="272" t="n"/>
      <c r="U94" s="275" t="n"/>
      <c r="V94" s="28" t="n"/>
      <c r="W94" s="323">
        <f>H94</f>
        <v/>
      </c>
      <c r="X94" s="323">
        <f>IF(W94&lt;0,X95,X95+W94)</f>
        <v/>
      </c>
      <c r="Y94" s="323">
        <f>$W$226-X94</f>
        <v/>
      </c>
      <c r="Z94" s="323">
        <f>IF(Y94&lt;0,Y95,H94)</f>
        <v/>
      </c>
      <c r="AA94" s="323" t="n"/>
      <c r="AB94" s="323">
        <f>K94</f>
        <v/>
      </c>
      <c r="AC94" s="323">
        <f>IF(AB94&lt;0,AC95,AC95+AB94)</f>
        <v/>
      </c>
      <c r="AD94" s="323">
        <f>$X$226-AC94</f>
        <v/>
      </c>
      <c r="AE94" s="323">
        <f>IF(AD94&lt;0,AD95,K94)</f>
        <v/>
      </c>
      <c r="AF94" s="323" t="n"/>
    </row>
    <row r="95">
      <c r="B95" s="60" t="n"/>
      <c r="C95" s="60" t="n"/>
      <c r="D95" s="320" t="n"/>
      <c r="E95" s="272" t="n"/>
      <c r="F95" s="275" t="n"/>
      <c r="G95" s="61" t="n"/>
      <c r="H95" s="321">
        <f>ROUND(G95*D95,2)</f>
        <v/>
      </c>
      <c r="I95" s="262" t="n"/>
      <c r="J95" s="263" t="n"/>
      <c r="K95" s="321">
        <f>ROUND(IF($I$28="YES",IF(G95&gt;0,D95*(1-G95),0),0),2)</f>
        <v/>
      </c>
      <c r="L95" s="321">
        <f>ROUND(IF(G95=0,D95,0),2)</f>
        <v/>
      </c>
      <c r="M95" s="321">
        <f>ROUND(IF($I$28="NO",IF(G95&gt;0,D95*(1-G95),0),0),2)</f>
        <v/>
      </c>
      <c r="N95" s="62" t="n"/>
      <c r="O95" s="322">
        <f>ROUND(IF(Z95&lt;0,0,Z95),2)</f>
        <v/>
      </c>
      <c r="P95" s="322">
        <f>ROUND(IF($I$28="YES",IF(AE95&lt;0,0,AE95),0),2)</f>
        <v/>
      </c>
      <c r="Q95" s="100" t="n"/>
      <c r="R95" s="272" t="n"/>
      <c r="S95" s="272" t="n"/>
      <c r="T95" s="272" t="n"/>
      <c r="U95" s="275" t="n"/>
      <c r="V95" s="28" t="n"/>
      <c r="W95" s="323">
        <f>H95</f>
        <v/>
      </c>
      <c r="X95" s="323">
        <f>IF(W95&lt;0,X96,X96+W95)</f>
        <v/>
      </c>
      <c r="Y95" s="323">
        <f>$W$226-X95</f>
        <v/>
      </c>
      <c r="Z95" s="323">
        <f>IF(Y95&lt;0,Y96,H95)</f>
        <v/>
      </c>
      <c r="AA95" s="323" t="n"/>
      <c r="AB95" s="323">
        <f>K95</f>
        <v/>
      </c>
      <c r="AC95" s="323">
        <f>IF(AB95&lt;0,AC96,AC96+AB95)</f>
        <v/>
      </c>
      <c r="AD95" s="323">
        <f>$X$226-AC95</f>
        <v/>
      </c>
      <c r="AE95" s="323">
        <f>IF(AD95&lt;0,AD96,K95)</f>
        <v/>
      </c>
      <c r="AF95" s="323" t="n"/>
    </row>
    <row r="96">
      <c r="B96" s="60" t="n"/>
      <c r="C96" s="60" t="n"/>
      <c r="D96" s="320" t="n"/>
      <c r="E96" s="272" t="n"/>
      <c r="F96" s="275" t="n"/>
      <c r="G96" s="61" t="n"/>
      <c r="H96" s="321">
        <f>ROUND(G96*D96,2)</f>
        <v/>
      </c>
      <c r="I96" s="262" t="n"/>
      <c r="J96" s="263" t="n"/>
      <c r="K96" s="321">
        <f>ROUND(IF($I$28="YES",IF(G96&gt;0,D96*(1-G96),0),0),2)</f>
        <v/>
      </c>
      <c r="L96" s="321">
        <f>ROUND(IF(G96=0,D96,0),2)</f>
        <v/>
      </c>
      <c r="M96" s="321">
        <f>ROUND(IF($I$28="NO",IF(G96&gt;0,D96*(1-G96),0),0),2)</f>
        <v/>
      </c>
      <c r="N96" s="62" t="n"/>
      <c r="O96" s="322">
        <f>ROUND(IF(Z96&lt;0,0,Z96),2)</f>
        <v/>
      </c>
      <c r="P96" s="322">
        <f>ROUND(IF($I$28="YES",IF(AE96&lt;0,0,AE96),0),2)</f>
        <v/>
      </c>
      <c r="Q96" s="100" t="n"/>
      <c r="R96" s="272" t="n"/>
      <c r="S96" s="272" t="n"/>
      <c r="T96" s="272" t="n"/>
      <c r="U96" s="275" t="n"/>
      <c r="V96" s="28" t="n"/>
      <c r="W96" s="323">
        <f>H96</f>
        <v/>
      </c>
      <c r="X96" s="323">
        <f>IF(W96&lt;0,X97,X97+W96)</f>
        <v/>
      </c>
      <c r="Y96" s="323">
        <f>$W$226-X96</f>
        <v/>
      </c>
      <c r="Z96" s="323">
        <f>IF(Y96&lt;0,Y97,H96)</f>
        <v/>
      </c>
      <c r="AA96" s="323" t="n"/>
      <c r="AB96" s="323">
        <f>K96</f>
        <v/>
      </c>
      <c r="AC96" s="323">
        <f>IF(AB96&lt;0,AC97,AC97+AB96)</f>
        <v/>
      </c>
      <c r="AD96" s="323">
        <f>$X$226-AC96</f>
        <v/>
      </c>
      <c r="AE96" s="323">
        <f>IF(AD96&lt;0,AD97,K96)</f>
        <v/>
      </c>
      <c r="AF96" s="323" t="n"/>
    </row>
    <row r="97">
      <c r="B97" s="60" t="n"/>
      <c r="C97" s="60" t="n"/>
      <c r="D97" s="320" t="n"/>
      <c r="E97" s="272" t="n"/>
      <c r="F97" s="275" t="n"/>
      <c r="G97" s="61" t="n"/>
      <c r="H97" s="321">
        <f>ROUND(G97*D97,2)</f>
        <v/>
      </c>
      <c r="I97" s="262" t="n"/>
      <c r="J97" s="263" t="n"/>
      <c r="K97" s="321">
        <f>ROUND(IF($I$28="YES",IF(G97&gt;0,D97*(1-G97),0),0),2)</f>
        <v/>
      </c>
      <c r="L97" s="321">
        <f>ROUND(IF(G97=0,D97,0),2)</f>
        <v/>
      </c>
      <c r="M97" s="321">
        <f>ROUND(IF($I$28="NO",IF(G97&gt;0,D97*(1-G97),0),0),2)</f>
        <v/>
      </c>
      <c r="N97" s="62" t="n"/>
      <c r="O97" s="322">
        <f>ROUND(IF(Z97&lt;0,0,Z97),2)</f>
        <v/>
      </c>
      <c r="P97" s="322">
        <f>ROUND(IF($I$28="YES",IF(AE97&lt;0,0,AE97),0),2)</f>
        <v/>
      </c>
      <c r="Q97" s="100" t="n"/>
      <c r="R97" s="272" t="n"/>
      <c r="S97" s="272" t="n"/>
      <c r="T97" s="272" t="n"/>
      <c r="U97" s="275" t="n"/>
      <c r="V97" s="28" t="n"/>
      <c r="W97" s="323">
        <f>H97</f>
        <v/>
      </c>
      <c r="X97" s="323">
        <f>IF(W97&lt;0,X98,X98+W97)</f>
        <v/>
      </c>
      <c r="Y97" s="323">
        <f>$W$226-X97</f>
        <v/>
      </c>
      <c r="Z97" s="323">
        <f>IF(Y97&lt;0,Y98,H97)</f>
        <v/>
      </c>
      <c r="AA97" s="323" t="n"/>
      <c r="AB97" s="323">
        <f>K97</f>
        <v/>
      </c>
      <c r="AC97" s="323">
        <f>IF(AB97&lt;0,AC98,AC98+AB97)</f>
        <v/>
      </c>
      <c r="AD97" s="323">
        <f>$X$226-AC97</f>
        <v/>
      </c>
      <c r="AE97" s="323">
        <f>IF(AD97&lt;0,AD98,K97)</f>
        <v/>
      </c>
      <c r="AF97" s="323" t="n"/>
    </row>
    <row r="98">
      <c r="B98" s="60" t="n"/>
      <c r="C98" s="60" t="n"/>
      <c r="D98" s="320" t="n"/>
      <c r="E98" s="272" t="n"/>
      <c r="F98" s="275" t="n"/>
      <c r="G98" s="61" t="n"/>
      <c r="H98" s="321">
        <f>ROUND(G98*D98,2)</f>
        <v/>
      </c>
      <c r="I98" s="262" t="n"/>
      <c r="J98" s="263" t="n"/>
      <c r="K98" s="321">
        <f>ROUND(IF($I$28="YES",IF(G98&gt;0,D98*(1-G98),0),0),2)</f>
        <v/>
      </c>
      <c r="L98" s="321">
        <f>ROUND(IF(G98=0,D98,0),2)</f>
        <v/>
      </c>
      <c r="M98" s="321">
        <f>ROUND(IF($I$28="NO",IF(G98&gt;0,D98*(1-G98),0),0),2)</f>
        <v/>
      </c>
      <c r="N98" s="62" t="n"/>
      <c r="O98" s="322">
        <f>ROUND(IF(Z98&lt;0,0,Z98),2)</f>
        <v/>
      </c>
      <c r="P98" s="322">
        <f>ROUND(IF($I$28="YES",IF(AE98&lt;0,0,AE98),0),2)</f>
        <v/>
      </c>
      <c r="Q98" s="100" t="n"/>
      <c r="R98" s="272" t="n"/>
      <c r="S98" s="272" t="n"/>
      <c r="T98" s="272" t="n"/>
      <c r="U98" s="275" t="n"/>
      <c r="V98" s="28" t="n"/>
      <c r="W98" s="323">
        <f>H98</f>
        <v/>
      </c>
      <c r="X98" s="323">
        <f>IF(W98&lt;0,X99,X99+W98)</f>
        <v/>
      </c>
      <c r="Y98" s="323">
        <f>$W$226-X98</f>
        <v/>
      </c>
      <c r="Z98" s="323">
        <f>IF(Y98&lt;0,Y99,H98)</f>
        <v/>
      </c>
      <c r="AA98" s="323" t="n"/>
      <c r="AB98" s="323">
        <f>K98</f>
        <v/>
      </c>
      <c r="AC98" s="323">
        <f>IF(AB98&lt;0,AC99,AC99+AB98)</f>
        <v/>
      </c>
      <c r="AD98" s="323">
        <f>$X$226-AC98</f>
        <v/>
      </c>
      <c r="AE98" s="323">
        <f>IF(AD98&lt;0,AD99,K98)</f>
        <v/>
      </c>
      <c r="AF98" s="323" t="n"/>
    </row>
    <row r="99">
      <c r="B99" s="60" t="n"/>
      <c r="C99" s="60" t="n"/>
      <c r="D99" s="320" t="n"/>
      <c r="E99" s="272" t="n"/>
      <c r="F99" s="275" t="n"/>
      <c r="G99" s="61" t="n"/>
      <c r="H99" s="321">
        <f>ROUND(G99*D99,2)</f>
        <v/>
      </c>
      <c r="I99" s="262" t="n"/>
      <c r="J99" s="263" t="n"/>
      <c r="K99" s="321">
        <f>ROUND(IF($I$28="YES",IF(G99&gt;0,D99*(1-G99),0),0),2)</f>
        <v/>
      </c>
      <c r="L99" s="321">
        <f>ROUND(IF(G99=0,D99,0),2)</f>
        <v/>
      </c>
      <c r="M99" s="321">
        <f>ROUND(IF($I$28="NO",IF(G99&gt;0,D99*(1-G99),0),0),2)</f>
        <v/>
      </c>
      <c r="N99" s="62" t="n"/>
      <c r="O99" s="322">
        <f>ROUND(IF(Z99&lt;0,0,Z99),2)</f>
        <v/>
      </c>
      <c r="P99" s="322">
        <f>ROUND(IF($I$28="YES",IF(AE99&lt;0,0,AE99),0),2)</f>
        <v/>
      </c>
      <c r="Q99" s="100" t="n"/>
      <c r="R99" s="272" t="n"/>
      <c r="S99" s="272" t="n"/>
      <c r="T99" s="272" t="n"/>
      <c r="U99" s="275" t="n"/>
      <c r="V99" s="28" t="n"/>
      <c r="W99" s="323">
        <f>H99</f>
        <v/>
      </c>
      <c r="X99" s="323">
        <f>IF(W99&lt;0,X100,X100+W99)</f>
        <v/>
      </c>
      <c r="Y99" s="323">
        <f>$W$226-X99</f>
        <v/>
      </c>
      <c r="Z99" s="323">
        <f>IF(Y99&lt;0,Y100,H99)</f>
        <v/>
      </c>
      <c r="AA99" s="323" t="n"/>
      <c r="AB99" s="323">
        <f>K99</f>
        <v/>
      </c>
      <c r="AC99" s="323">
        <f>IF(AB99&lt;0,AC100,AC100+AB99)</f>
        <v/>
      </c>
      <c r="AD99" s="323">
        <f>$X$226-AC99</f>
        <v/>
      </c>
      <c r="AE99" s="323">
        <f>IF(AD99&lt;0,AD100,K99)</f>
        <v/>
      </c>
      <c r="AF99" s="323" t="n"/>
    </row>
    <row r="100">
      <c r="B100" s="60" t="n"/>
      <c r="C100" s="60" t="n"/>
      <c r="D100" s="320" t="n"/>
      <c r="E100" s="272" t="n"/>
      <c r="F100" s="275" t="n"/>
      <c r="G100" s="61" t="n"/>
      <c r="H100" s="321">
        <f>ROUND(G100*D100,2)</f>
        <v/>
      </c>
      <c r="I100" s="262" t="n"/>
      <c r="J100" s="263" t="n"/>
      <c r="K100" s="321">
        <f>ROUND(IF($I$28="YES",IF(G100&gt;0,D100*(1-G100),0),0),2)</f>
        <v/>
      </c>
      <c r="L100" s="321">
        <f>ROUND(IF(G100=0,D100,0),2)</f>
        <v/>
      </c>
      <c r="M100" s="321">
        <f>ROUND(IF($I$28="NO",IF(G100&gt;0,D100*(1-G100),0),0),2)</f>
        <v/>
      </c>
      <c r="N100" s="62" t="n"/>
      <c r="O100" s="322">
        <f>ROUND(IF(Z100&lt;0,0,Z100),2)</f>
        <v/>
      </c>
      <c r="P100" s="322">
        <f>ROUND(IF($I$28="YES",IF(AE100&lt;0,0,AE100),0),2)</f>
        <v/>
      </c>
      <c r="Q100" s="100" t="n"/>
      <c r="R100" s="272" t="n"/>
      <c r="S100" s="272" t="n"/>
      <c r="T100" s="272" t="n"/>
      <c r="U100" s="275" t="n"/>
      <c r="V100" s="28" t="n"/>
      <c r="W100" s="323">
        <f>H100</f>
        <v/>
      </c>
      <c r="X100" s="323">
        <f>IF(W100&lt;0,X101,X101+W100)</f>
        <v/>
      </c>
      <c r="Y100" s="323">
        <f>$W$226-X100</f>
        <v/>
      </c>
      <c r="Z100" s="323">
        <f>IF(Y100&lt;0,Y101,H100)</f>
        <v/>
      </c>
      <c r="AA100" s="323" t="n"/>
      <c r="AB100" s="323">
        <f>K100</f>
        <v/>
      </c>
      <c r="AC100" s="323">
        <f>IF(AB100&lt;0,AC101,AC101+AB100)</f>
        <v/>
      </c>
      <c r="AD100" s="323">
        <f>$X$226-AC100</f>
        <v/>
      </c>
      <c r="AE100" s="323">
        <f>IF(AD100&lt;0,AD101,K100)</f>
        <v/>
      </c>
      <c r="AF100" s="323" t="n"/>
    </row>
    <row r="101">
      <c r="B101" s="60" t="n"/>
      <c r="C101" s="60" t="n"/>
      <c r="D101" s="320" t="n"/>
      <c r="E101" s="272" t="n"/>
      <c r="F101" s="275" t="n"/>
      <c r="G101" s="61" t="n"/>
      <c r="H101" s="321">
        <f>ROUND(G101*D101,2)</f>
        <v/>
      </c>
      <c r="I101" s="262" t="n"/>
      <c r="J101" s="263" t="n"/>
      <c r="K101" s="321">
        <f>ROUND(IF($I$28="YES",IF(G101&gt;0,D101*(1-G101),0),0),2)</f>
        <v/>
      </c>
      <c r="L101" s="321">
        <f>ROUND(IF(G101=0,D101,0),2)</f>
        <v/>
      </c>
      <c r="M101" s="321">
        <f>ROUND(IF($I$28="NO",IF(G101&gt;0,D101*(1-G101),0),0),2)</f>
        <v/>
      </c>
      <c r="N101" s="62" t="n"/>
      <c r="O101" s="322">
        <f>ROUND(IF(Z101&lt;0,0,Z101),2)</f>
        <v/>
      </c>
      <c r="P101" s="322">
        <f>ROUND(IF($I$28="YES",IF(AE101&lt;0,0,AE101),0),2)</f>
        <v/>
      </c>
      <c r="Q101" s="100" t="n"/>
      <c r="R101" s="272" t="n"/>
      <c r="S101" s="272" t="n"/>
      <c r="T101" s="272" t="n"/>
      <c r="U101" s="275" t="n"/>
      <c r="V101" s="28" t="n"/>
      <c r="W101" s="323">
        <f>H101</f>
        <v/>
      </c>
      <c r="X101" s="323">
        <f>IF(W101&lt;0,X102,X102+W101)</f>
        <v/>
      </c>
      <c r="Y101" s="323">
        <f>$W$226-X101</f>
        <v/>
      </c>
      <c r="Z101" s="323">
        <f>IF(Y101&lt;0,Y102,H101)</f>
        <v/>
      </c>
      <c r="AA101" s="323" t="n"/>
      <c r="AB101" s="323">
        <f>K101</f>
        <v/>
      </c>
      <c r="AC101" s="323">
        <f>IF(AB101&lt;0,AC102,AC102+AB101)</f>
        <v/>
      </c>
      <c r="AD101" s="323">
        <f>$X$226-AC101</f>
        <v/>
      </c>
      <c r="AE101" s="323">
        <f>IF(AD101&lt;0,AD102,K101)</f>
        <v/>
      </c>
      <c r="AF101" s="323" t="n"/>
    </row>
    <row r="102">
      <c r="B102" s="60" t="n"/>
      <c r="C102" s="60" t="n"/>
      <c r="D102" s="320" t="n"/>
      <c r="E102" s="272" t="n"/>
      <c r="F102" s="275" t="n"/>
      <c r="G102" s="61" t="n"/>
      <c r="H102" s="321">
        <f>ROUND(G102*D102,2)</f>
        <v/>
      </c>
      <c r="I102" s="262" t="n"/>
      <c r="J102" s="263" t="n"/>
      <c r="K102" s="321">
        <f>ROUND(IF($I$28="YES",IF(G102&gt;0,D102*(1-G102),0),0),2)</f>
        <v/>
      </c>
      <c r="L102" s="321">
        <f>ROUND(IF(G102=0,D102,0),2)</f>
        <v/>
      </c>
      <c r="M102" s="321">
        <f>ROUND(IF($I$28="NO",IF(G102&gt;0,D102*(1-G102),0),0),2)</f>
        <v/>
      </c>
      <c r="N102" s="62" t="n"/>
      <c r="O102" s="322">
        <f>ROUND(IF(Z102&lt;0,0,Z102),2)</f>
        <v/>
      </c>
      <c r="P102" s="322">
        <f>ROUND(IF($I$28="YES",IF(AE102&lt;0,0,AE102),0),2)</f>
        <v/>
      </c>
      <c r="Q102" s="100" t="n"/>
      <c r="R102" s="272" t="n"/>
      <c r="S102" s="272" t="n"/>
      <c r="T102" s="272" t="n"/>
      <c r="U102" s="275" t="n"/>
      <c r="V102" s="28" t="n"/>
      <c r="W102" s="323">
        <f>H102</f>
        <v/>
      </c>
      <c r="X102" s="323">
        <f>IF(W102&lt;0,X103,X103+W102)</f>
        <v/>
      </c>
      <c r="Y102" s="323">
        <f>$W$226-X102</f>
        <v/>
      </c>
      <c r="Z102" s="323">
        <f>IF(Y102&lt;0,Y103,H102)</f>
        <v/>
      </c>
      <c r="AA102" s="323" t="n"/>
      <c r="AB102" s="323">
        <f>K102</f>
        <v/>
      </c>
      <c r="AC102" s="323">
        <f>IF(AB102&lt;0,AC103,AC103+AB102)</f>
        <v/>
      </c>
      <c r="AD102" s="323">
        <f>$X$226-AC102</f>
        <v/>
      </c>
      <c r="AE102" s="323">
        <f>IF(AD102&lt;0,AD103,K102)</f>
        <v/>
      </c>
      <c r="AF102" s="323" t="n"/>
    </row>
    <row r="103">
      <c r="B103" s="60" t="n"/>
      <c r="C103" s="60" t="n"/>
      <c r="D103" s="324" t="n"/>
      <c r="E103" s="272" t="n"/>
      <c r="F103" s="275" t="n"/>
      <c r="G103" s="61" t="n"/>
      <c r="H103" s="321">
        <f>ROUND(G103*D103,2)</f>
        <v/>
      </c>
      <c r="I103" s="262" t="n"/>
      <c r="J103" s="263" t="n"/>
      <c r="K103" s="321">
        <f>ROUND(IF($I$28="YES",IF(G103&gt;0,D103*(1-G103),0),0),2)</f>
        <v/>
      </c>
      <c r="L103" s="321">
        <f>ROUND(IF(G103=0,D103,0),2)</f>
        <v/>
      </c>
      <c r="M103" s="321">
        <f>ROUND(IF($I$28="NO",IF(G103&gt;0,D103*(1-G103),0),0),2)</f>
        <v/>
      </c>
      <c r="N103" s="62" t="n"/>
      <c r="O103" s="322">
        <f>ROUND(IF(Z103&lt;0,0,Z103),2)</f>
        <v/>
      </c>
      <c r="P103" s="322">
        <f>ROUND(IF($I$28="YES",IF(AE103&lt;0,0,AE103),0),2)</f>
        <v/>
      </c>
      <c r="Q103" s="100" t="n"/>
      <c r="R103" s="272" t="n"/>
      <c r="S103" s="272" t="n"/>
      <c r="T103" s="272" t="n"/>
      <c r="U103" s="275" t="n"/>
      <c r="V103" s="28" t="n"/>
      <c r="W103" s="323">
        <f>H103</f>
        <v/>
      </c>
      <c r="X103" s="323">
        <f>IF(W103&lt;0,X104,X104+W103)</f>
        <v/>
      </c>
      <c r="Y103" s="323">
        <f>$W$226-X103</f>
        <v/>
      </c>
      <c r="Z103" s="323">
        <f>IF(Y103&lt;0,Y104,H103)</f>
        <v/>
      </c>
      <c r="AA103" s="323" t="n"/>
      <c r="AB103" s="323">
        <f>K103</f>
        <v/>
      </c>
      <c r="AC103" s="323">
        <f>IF(AB103&lt;0,AC104,AC104+AB103)</f>
        <v/>
      </c>
      <c r="AD103" s="323">
        <f>$X$226-AC103</f>
        <v/>
      </c>
      <c r="AE103" s="323">
        <f>IF(AD103&lt;0,AD104,K103)</f>
        <v/>
      </c>
      <c r="AF103" s="323" t="n"/>
    </row>
    <row r="104">
      <c r="B104" s="60" t="n"/>
      <c r="C104" s="60" t="n"/>
      <c r="D104" s="324" t="n"/>
      <c r="E104" s="272" t="n"/>
      <c r="F104" s="275" t="n"/>
      <c r="G104" s="61" t="n"/>
      <c r="H104" s="321">
        <f>ROUND(G104*D104,2)</f>
        <v/>
      </c>
      <c r="I104" s="262" t="n"/>
      <c r="J104" s="263" t="n"/>
      <c r="K104" s="321">
        <f>ROUND(IF($I$28="YES",IF(G104&gt;0,D104*(1-G104),0),0),2)</f>
        <v/>
      </c>
      <c r="L104" s="321">
        <f>ROUND(IF(G104=0,D104,0),2)</f>
        <v/>
      </c>
      <c r="M104" s="321">
        <f>ROUND(IF($I$28="NO",IF(G104&gt;0,D104*(1-G104),0),0),2)</f>
        <v/>
      </c>
      <c r="N104" s="62" t="n"/>
      <c r="O104" s="322">
        <f>ROUND(IF(Z104&lt;0,0,Z104),2)</f>
        <v/>
      </c>
      <c r="P104" s="322">
        <f>ROUND(IF($I$28="YES",IF(AE104&lt;0,0,AE104),0),2)</f>
        <v/>
      </c>
      <c r="Q104" s="100" t="n"/>
      <c r="R104" s="272" t="n"/>
      <c r="S104" s="272" t="n"/>
      <c r="T104" s="272" t="n"/>
      <c r="U104" s="275" t="n"/>
      <c r="V104" s="28" t="n"/>
      <c r="W104" s="323">
        <f>H104</f>
        <v/>
      </c>
      <c r="X104" s="323">
        <f>IF(W104&lt;0,X105,X105+W104)</f>
        <v/>
      </c>
      <c r="Y104" s="323">
        <f>$W$226-X104</f>
        <v/>
      </c>
      <c r="Z104" s="323">
        <f>IF(Y104&lt;0,Y105,H104)</f>
        <v/>
      </c>
      <c r="AA104" s="323" t="n"/>
      <c r="AB104" s="323">
        <f>K104</f>
        <v/>
      </c>
      <c r="AC104" s="323">
        <f>IF(AB104&lt;0,AC105,AC105+AB104)</f>
        <v/>
      </c>
      <c r="AD104" s="323">
        <f>$X$226-AC104</f>
        <v/>
      </c>
      <c r="AE104" s="323">
        <f>IF(AD104&lt;0,AD105,K104)</f>
        <v/>
      </c>
      <c r="AF104" s="323" t="n"/>
    </row>
    <row r="105">
      <c r="B105" s="60" t="n"/>
      <c r="C105" s="60" t="n"/>
      <c r="D105" s="324" t="n"/>
      <c r="E105" s="272" t="n"/>
      <c r="F105" s="275" t="n"/>
      <c r="G105" s="61" t="n"/>
      <c r="H105" s="321">
        <f>ROUND(G105*D105,2)</f>
        <v/>
      </c>
      <c r="I105" s="262" t="n"/>
      <c r="J105" s="263" t="n"/>
      <c r="K105" s="321">
        <f>ROUND(IF($I$28="YES",IF(G105&gt;0,D105*(1-G105),0),0),2)</f>
        <v/>
      </c>
      <c r="L105" s="321">
        <f>ROUND(IF(G105=0,D105,0),2)</f>
        <v/>
      </c>
      <c r="M105" s="321">
        <f>ROUND(IF($I$28="NO",IF(G105&gt;0,D105*(1-G105),0),0),2)</f>
        <v/>
      </c>
      <c r="N105" s="62" t="n"/>
      <c r="O105" s="322">
        <f>ROUND(IF(Z105&lt;0,0,Z105),2)</f>
        <v/>
      </c>
      <c r="P105" s="322">
        <f>ROUND(IF($I$28="YES",IF(AE105&lt;0,0,AE105),0),2)</f>
        <v/>
      </c>
      <c r="Q105" s="100" t="n"/>
      <c r="R105" s="272" t="n"/>
      <c r="S105" s="272" t="n"/>
      <c r="T105" s="272" t="n"/>
      <c r="U105" s="275" t="n"/>
      <c r="V105" s="28" t="n"/>
      <c r="W105" s="323">
        <f>H105</f>
        <v/>
      </c>
      <c r="X105" s="323">
        <f>IF(W105&lt;0,X106,X106+W105)</f>
        <v/>
      </c>
      <c r="Y105" s="323">
        <f>$W$226-X105</f>
        <v/>
      </c>
      <c r="Z105" s="323">
        <f>IF(Y105&lt;0,Y106,H105)</f>
        <v/>
      </c>
      <c r="AA105" s="323" t="n"/>
      <c r="AB105" s="323">
        <f>K105</f>
        <v/>
      </c>
      <c r="AC105" s="323">
        <f>IF(AB105&lt;0,AC106,AC106+AB105)</f>
        <v/>
      </c>
      <c r="AD105" s="323">
        <f>$X$226-AC105</f>
        <v/>
      </c>
      <c r="AE105" s="323">
        <f>IF(AD105&lt;0,AD106,K105)</f>
        <v/>
      </c>
      <c r="AF105" s="323" t="n"/>
    </row>
    <row r="106">
      <c r="B106" s="60" t="n"/>
      <c r="C106" s="60" t="n"/>
      <c r="D106" s="324" t="n"/>
      <c r="E106" s="272" t="n"/>
      <c r="F106" s="275" t="n"/>
      <c r="G106" s="61" t="n"/>
      <c r="H106" s="321">
        <f>ROUND(G106*D106,2)</f>
        <v/>
      </c>
      <c r="I106" s="262" t="n"/>
      <c r="J106" s="263" t="n"/>
      <c r="K106" s="321">
        <f>ROUND(IF($I$28="YES",IF(G106&gt;0,D106*(1-G106),0),0),2)</f>
        <v/>
      </c>
      <c r="L106" s="321">
        <f>ROUND(IF(G106=0,D106,0),2)</f>
        <v/>
      </c>
      <c r="M106" s="321">
        <f>ROUND(IF($I$28="NO",IF(G106&gt;0,D106*(1-G106),0),0),2)</f>
        <v/>
      </c>
      <c r="N106" s="62" t="n"/>
      <c r="O106" s="322">
        <f>ROUND(IF(Z106&lt;0,0,Z106),2)</f>
        <v/>
      </c>
      <c r="P106" s="322">
        <f>ROUND(IF($I$28="YES",IF(AE106&lt;0,0,AE106),0),2)</f>
        <v/>
      </c>
      <c r="Q106" s="100" t="n"/>
      <c r="R106" s="272" t="n"/>
      <c r="S106" s="272" t="n"/>
      <c r="T106" s="272" t="n"/>
      <c r="U106" s="275" t="n"/>
      <c r="V106" s="28" t="n"/>
      <c r="W106" s="323">
        <f>H106</f>
        <v/>
      </c>
      <c r="X106" s="323">
        <f>IF(W106&lt;0,X107,X107+W106)</f>
        <v/>
      </c>
      <c r="Y106" s="323">
        <f>$W$226-X106</f>
        <v/>
      </c>
      <c r="Z106" s="323">
        <f>IF(Y106&lt;0,Y107,H106)</f>
        <v/>
      </c>
      <c r="AA106" s="323" t="n"/>
      <c r="AB106" s="323">
        <f>K106</f>
        <v/>
      </c>
      <c r="AC106" s="323">
        <f>IF(AB106&lt;0,AC107,AC107+AB106)</f>
        <v/>
      </c>
      <c r="AD106" s="323">
        <f>$X$226-AC106</f>
        <v/>
      </c>
      <c r="AE106" s="323">
        <f>IF(AD106&lt;0,AD107,K106)</f>
        <v/>
      </c>
      <c r="AF106" s="323" t="n"/>
    </row>
    <row r="107">
      <c r="B107" s="60" t="n"/>
      <c r="C107" s="60" t="n"/>
      <c r="D107" s="324" t="n"/>
      <c r="E107" s="272" t="n"/>
      <c r="F107" s="275" t="n"/>
      <c r="G107" s="61" t="n"/>
      <c r="H107" s="321">
        <f>ROUND(G107*D107,2)</f>
        <v/>
      </c>
      <c r="I107" s="262" t="n"/>
      <c r="J107" s="263" t="n"/>
      <c r="K107" s="321">
        <f>ROUND(IF($I$28="YES",IF(G107&gt;0,D107*(1-G107),0),0),2)</f>
        <v/>
      </c>
      <c r="L107" s="321">
        <f>ROUND(IF(G107=0,D107,0),2)</f>
        <v/>
      </c>
      <c r="M107" s="321">
        <f>ROUND(IF($I$28="NO",IF(G107&gt;0,D107*(1-G107),0),0),2)</f>
        <v/>
      </c>
      <c r="N107" s="62" t="n"/>
      <c r="O107" s="322">
        <f>ROUND(IF(Z107&lt;0,0,Z107),2)</f>
        <v/>
      </c>
      <c r="P107" s="322">
        <f>ROUND(IF($I$28="YES",IF(AE107&lt;0,0,AE107),0),2)</f>
        <v/>
      </c>
      <c r="Q107" s="100" t="n"/>
      <c r="R107" s="272" t="n"/>
      <c r="S107" s="272" t="n"/>
      <c r="T107" s="272" t="n"/>
      <c r="U107" s="275" t="n"/>
      <c r="V107" s="28" t="n"/>
      <c r="W107" s="323">
        <f>H107</f>
        <v/>
      </c>
      <c r="X107" s="323">
        <f>IF(W107&lt;0,X108,X108+W107)</f>
        <v/>
      </c>
      <c r="Y107" s="323">
        <f>$W$226-X107</f>
        <v/>
      </c>
      <c r="Z107" s="323">
        <f>IF(Y107&lt;0,Y108,H107)</f>
        <v/>
      </c>
      <c r="AA107" s="323" t="n"/>
      <c r="AB107" s="323">
        <f>K107</f>
        <v/>
      </c>
      <c r="AC107" s="323">
        <f>IF(AB107&lt;0,AC108,AC108+AB107)</f>
        <v/>
      </c>
      <c r="AD107" s="323">
        <f>$X$226-AC107</f>
        <v/>
      </c>
      <c r="AE107" s="323">
        <f>IF(AD107&lt;0,AD108,K107)</f>
        <v/>
      </c>
      <c r="AF107" s="323" t="n"/>
    </row>
    <row r="108">
      <c r="B108" s="60" t="n"/>
      <c r="C108" s="60" t="n"/>
      <c r="D108" s="324" t="n"/>
      <c r="E108" s="272" t="n"/>
      <c r="F108" s="275" t="n"/>
      <c r="G108" s="61" t="n"/>
      <c r="H108" s="321">
        <f>ROUND(G108*D108,2)</f>
        <v/>
      </c>
      <c r="I108" s="262" t="n"/>
      <c r="J108" s="263" t="n"/>
      <c r="K108" s="321">
        <f>ROUND(IF($I$28="YES",IF(G108&gt;0,D108*(1-G108),0),0),2)</f>
        <v/>
      </c>
      <c r="L108" s="321">
        <f>ROUND(IF(G108=0,D108,0),2)</f>
        <v/>
      </c>
      <c r="M108" s="321">
        <f>ROUND(IF($I$28="NO",IF(G108&gt;0,D108*(1-G108),0),0),2)</f>
        <v/>
      </c>
      <c r="N108" s="62" t="n"/>
      <c r="O108" s="322">
        <f>ROUND(IF(Z108&lt;0,0,Z108),2)</f>
        <v/>
      </c>
      <c r="P108" s="322">
        <f>ROUND(IF($I$28="YES",IF(AE108&lt;0,0,AE108),0),2)</f>
        <v/>
      </c>
      <c r="Q108" s="100" t="n"/>
      <c r="R108" s="272" t="n"/>
      <c r="S108" s="272" t="n"/>
      <c r="T108" s="272" t="n"/>
      <c r="U108" s="275" t="n"/>
      <c r="V108" s="28" t="n"/>
      <c r="W108" s="323">
        <f>H108</f>
        <v/>
      </c>
      <c r="X108" s="323">
        <f>IF(W108&lt;0,X109,X109+W108)</f>
        <v/>
      </c>
      <c r="Y108" s="323">
        <f>$W$226-X108</f>
        <v/>
      </c>
      <c r="Z108" s="323">
        <f>IF(Y108&lt;0,Y109,H108)</f>
        <v/>
      </c>
      <c r="AA108" s="323" t="n"/>
      <c r="AB108" s="323">
        <f>K108</f>
        <v/>
      </c>
      <c r="AC108" s="323">
        <f>IF(AB108&lt;0,AC109,AC109+AB108)</f>
        <v/>
      </c>
      <c r="AD108" s="323">
        <f>$X$226-AC108</f>
        <v/>
      </c>
      <c r="AE108" s="323">
        <f>IF(AD108&lt;0,AD109,K108)</f>
        <v/>
      </c>
      <c r="AF108" s="323" t="n"/>
    </row>
    <row r="109">
      <c r="B109" s="60" t="n"/>
      <c r="C109" s="60" t="n"/>
      <c r="D109" s="324" t="n"/>
      <c r="E109" s="272" t="n"/>
      <c r="F109" s="275" t="n"/>
      <c r="G109" s="61" t="n"/>
      <c r="H109" s="321">
        <f>ROUND(G109*D109,2)</f>
        <v/>
      </c>
      <c r="I109" s="262" t="n"/>
      <c r="J109" s="263" t="n"/>
      <c r="K109" s="321">
        <f>ROUND(IF($I$28="YES",IF(G109&gt;0,D109*(1-G109),0),0),2)</f>
        <v/>
      </c>
      <c r="L109" s="321">
        <f>ROUND(IF(G109=0,D109,0),2)</f>
        <v/>
      </c>
      <c r="M109" s="321">
        <f>ROUND(IF($I$28="NO",IF(G109&gt;0,D109*(1-G109),0),0),2)</f>
        <v/>
      </c>
      <c r="N109" s="62" t="n"/>
      <c r="O109" s="322">
        <f>ROUND(IF(Z109&lt;0,0,Z109),2)</f>
        <v/>
      </c>
      <c r="P109" s="322">
        <f>ROUND(IF($I$28="YES",IF(AE109&lt;0,0,AE109),0),2)</f>
        <v/>
      </c>
      <c r="Q109" s="100" t="n"/>
      <c r="R109" s="272" t="n"/>
      <c r="S109" s="272" t="n"/>
      <c r="T109" s="272" t="n"/>
      <c r="U109" s="275" t="n"/>
      <c r="V109" s="28" t="n"/>
      <c r="W109" s="323">
        <f>H109</f>
        <v/>
      </c>
      <c r="X109" s="323">
        <f>IF(W109&lt;0,X110,X110+W109)</f>
        <v/>
      </c>
      <c r="Y109" s="323">
        <f>$W$226-X109</f>
        <v/>
      </c>
      <c r="Z109" s="323">
        <f>IF(Y109&lt;0,Y110,H109)</f>
        <v/>
      </c>
      <c r="AA109" s="323" t="n"/>
      <c r="AB109" s="323">
        <f>K109</f>
        <v/>
      </c>
      <c r="AC109" s="323">
        <f>IF(AB109&lt;0,AC110,AC110+AB109)</f>
        <v/>
      </c>
      <c r="AD109" s="323">
        <f>$X$226-AC109</f>
        <v/>
      </c>
      <c r="AE109" s="323">
        <f>IF(AD109&lt;0,AD110,K109)</f>
        <v/>
      </c>
      <c r="AF109" s="323" t="n"/>
    </row>
    <row r="110" hidden="1" ht="15.75" customHeight="1">
      <c r="B110" s="60" t="n"/>
      <c r="C110" s="60" t="n"/>
      <c r="D110" s="324" t="n"/>
      <c r="E110" s="272" t="n"/>
      <c r="F110" s="275" t="n"/>
      <c r="G110" s="61" t="n"/>
      <c r="H110" s="321">
        <f>ROUND(G110*D110,2)</f>
        <v/>
      </c>
      <c r="I110" s="262" t="n"/>
      <c r="J110" s="263" t="n"/>
      <c r="K110" s="321">
        <f>ROUND(IF($I$28="YES",IF(G110&gt;0,D110*(1-G110),0),0),2)</f>
        <v/>
      </c>
      <c r="L110" s="321">
        <f>ROUND(IF(G110=0,D110,0),2)</f>
        <v/>
      </c>
      <c r="M110" s="321">
        <f>ROUND(IF($I$28="NO",IF(G110&gt;0,D110*(1-G110),0),0),2)</f>
        <v/>
      </c>
      <c r="N110" s="62" t="n"/>
      <c r="O110" s="322">
        <f>ROUND(IF(Z110&lt;0,0,Z110),2)</f>
        <v/>
      </c>
      <c r="P110" s="322">
        <f>ROUND(IF($I$28="YES",IF(AE110&lt;0,0,AE110),0),2)</f>
        <v/>
      </c>
      <c r="Q110" s="100" t="n"/>
      <c r="R110" s="272" t="n"/>
      <c r="S110" s="272" t="n"/>
      <c r="T110" s="272" t="n"/>
      <c r="U110" s="275" t="n"/>
      <c r="V110" s="28" t="n"/>
      <c r="W110" s="323">
        <f>H110</f>
        <v/>
      </c>
      <c r="X110" s="323">
        <f>IF(W110&lt;0,X111,X111+W110)</f>
        <v/>
      </c>
      <c r="Y110" s="323">
        <f>$W$226-X110</f>
        <v/>
      </c>
      <c r="Z110" s="323">
        <f>IF(Y110&lt;0,Y111,H110)</f>
        <v/>
      </c>
      <c r="AA110" s="323" t="n"/>
      <c r="AB110" s="323">
        <f>K110</f>
        <v/>
      </c>
      <c r="AC110" s="323">
        <f>IF(AB110&lt;0,AC111,AC111+AB110)</f>
        <v/>
      </c>
      <c r="AD110" s="323">
        <f>$X$226-AC110</f>
        <v/>
      </c>
      <c r="AE110" s="323">
        <f>IF(AD110&lt;0,AD111,K110)</f>
        <v/>
      </c>
      <c r="AF110" s="323" t="n"/>
    </row>
    <row r="111" hidden="1" ht="15.75" customHeight="1">
      <c r="B111" s="60" t="n"/>
      <c r="C111" s="60" t="n"/>
      <c r="D111" s="324" t="n"/>
      <c r="E111" s="272" t="n"/>
      <c r="F111" s="275" t="n"/>
      <c r="G111" s="61" t="n"/>
      <c r="H111" s="321">
        <f>ROUND(G111*D111,2)</f>
        <v/>
      </c>
      <c r="I111" s="262" t="n"/>
      <c r="J111" s="263" t="n"/>
      <c r="K111" s="321">
        <f>ROUND(IF($I$28="YES",IF(G111&gt;0,D111*(1-G111),0),0),2)</f>
        <v/>
      </c>
      <c r="L111" s="321">
        <f>ROUND(IF(G111=0,D111,0),2)</f>
        <v/>
      </c>
      <c r="M111" s="321">
        <f>ROUND(IF($I$28="NO",IF(G111&gt;0,D111*(1-G111),0),0),2)</f>
        <v/>
      </c>
      <c r="N111" s="62" t="n"/>
      <c r="O111" s="322">
        <f>ROUND(IF(Z111&lt;0,0,Z111),2)</f>
        <v/>
      </c>
      <c r="P111" s="322">
        <f>ROUND(IF($I$28="YES",IF(AE111&lt;0,0,AE111),0),2)</f>
        <v/>
      </c>
      <c r="Q111" s="100" t="n"/>
      <c r="R111" s="272" t="n"/>
      <c r="S111" s="272" t="n"/>
      <c r="T111" s="272" t="n"/>
      <c r="U111" s="275" t="n"/>
      <c r="V111" s="28" t="n"/>
      <c r="W111" s="323">
        <f>H111</f>
        <v/>
      </c>
      <c r="X111" s="323">
        <f>IF(W111&lt;0,X112,X112+W111)</f>
        <v/>
      </c>
      <c r="Y111" s="323">
        <f>$W$226-X111</f>
        <v/>
      </c>
      <c r="Z111" s="323">
        <f>IF(Y111&lt;0,Y112,H111)</f>
        <v/>
      </c>
      <c r="AA111" s="323" t="n"/>
      <c r="AB111" s="323">
        <f>K111</f>
        <v/>
      </c>
      <c r="AC111" s="323">
        <f>IF(AB111&lt;0,AC112,AC112+AB111)</f>
        <v/>
      </c>
      <c r="AD111" s="323">
        <f>$X$226-AC111</f>
        <v/>
      </c>
      <c r="AE111" s="323">
        <f>IF(AD111&lt;0,AD112,K111)</f>
        <v/>
      </c>
      <c r="AF111" s="323" t="n"/>
    </row>
    <row r="112" hidden="1">
      <c r="B112" s="60" t="n"/>
      <c r="C112" s="60" t="n"/>
      <c r="D112" s="324" t="n"/>
      <c r="E112" s="272" t="n"/>
      <c r="F112" s="275" t="n"/>
      <c r="G112" s="61" t="n"/>
      <c r="H112" s="321">
        <f>ROUND(G112*D112,2)</f>
        <v/>
      </c>
      <c r="I112" s="262" t="n"/>
      <c r="J112" s="263" t="n"/>
      <c r="K112" s="321">
        <f>ROUND(IF($I$28="YES",IF(G112&gt;0,D112*(1-G112),0),0),2)</f>
        <v/>
      </c>
      <c r="L112" s="321">
        <f>ROUND(IF(G112=0,D112,0),2)</f>
        <v/>
      </c>
      <c r="M112" s="321">
        <f>ROUND(IF($I$28="NO",IF(G112&gt;0,D112*(1-G112),0),0),2)</f>
        <v/>
      </c>
      <c r="N112" s="62" t="n"/>
      <c r="O112" s="322">
        <f>ROUND(IF(Z112&lt;0,0,Z112),2)</f>
        <v/>
      </c>
      <c r="P112" s="322">
        <f>ROUND(IF($I$28="YES",IF(AE112&lt;0,0,AE112),0),2)</f>
        <v/>
      </c>
      <c r="Q112" s="100" t="n"/>
      <c r="R112" s="272" t="n"/>
      <c r="S112" s="272" t="n"/>
      <c r="T112" s="272" t="n"/>
      <c r="U112" s="275" t="n"/>
      <c r="V112" s="28" t="n"/>
      <c r="W112" s="323">
        <f>H112</f>
        <v/>
      </c>
      <c r="X112" s="323">
        <f>IF(W112&lt;0,X113,X113+W112)</f>
        <v/>
      </c>
      <c r="Y112" s="323">
        <f>$W$226-X112</f>
        <v/>
      </c>
      <c r="Z112" s="323">
        <f>IF(Y112&lt;0,Y113,H112)</f>
        <v/>
      </c>
      <c r="AA112" s="323" t="n"/>
      <c r="AB112" s="323">
        <f>K112</f>
        <v/>
      </c>
      <c r="AC112" s="323">
        <f>IF(AB112&lt;0,AC113,AC113+AB112)</f>
        <v/>
      </c>
      <c r="AD112" s="323">
        <f>$X$226-AC112</f>
        <v/>
      </c>
      <c r="AE112" s="323">
        <f>IF(AD112&lt;0,AD113,K112)</f>
        <v/>
      </c>
      <c r="AF112" s="323" t="n"/>
    </row>
    <row r="113" hidden="1">
      <c r="B113" s="60" t="n"/>
      <c r="C113" s="60" t="n"/>
      <c r="D113" s="324" t="n"/>
      <c r="E113" s="272" t="n"/>
      <c r="F113" s="275" t="n"/>
      <c r="G113" s="61" t="n"/>
      <c r="H113" s="321">
        <f>ROUND(G113*D113,2)</f>
        <v/>
      </c>
      <c r="I113" s="262" t="n"/>
      <c r="J113" s="263" t="n"/>
      <c r="K113" s="321">
        <f>ROUND(IF($I$28="YES",IF(G113&gt;0,D113*(1-G113),0),0),2)</f>
        <v/>
      </c>
      <c r="L113" s="321">
        <f>ROUND(IF(G113=0,D113,0),2)</f>
        <v/>
      </c>
      <c r="M113" s="321">
        <f>ROUND(IF($I$28="NO",IF(G113&gt;0,D113*(1-G113),0),0),2)</f>
        <v/>
      </c>
      <c r="N113" s="62" t="n"/>
      <c r="O113" s="322">
        <f>ROUND(IF(Z113&lt;0,0,Z113),2)</f>
        <v/>
      </c>
      <c r="P113" s="322">
        <f>ROUND(IF($I$28="YES",IF(AE113&lt;0,0,AE113),0),2)</f>
        <v/>
      </c>
      <c r="Q113" s="100" t="n"/>
      <c r="R113" s="272" t="n"/>
      <c r="S113" s="272" t="n"/>
      <c r="T113" s="272" t="n"/>
      <c r="U113" s="275" t="n"/>
      <c r="V113" s="28" t="n"/>
      <c r="W113" s="323">
        <f>H113</f>
        <v/>
      </c>
      <c r="X113" s="323">
        <f>IF(W113&lt;0,X114,X114+W113)</f>
        <v/>
      </c>
      <c r="Y113" s="323">
        <f>$W$226-X113</f>
        <v/>
      </c>
      <c r="Z113" s="323">
        <f>IF(Y113&lt;0,Y114,H113)</f>
        <v/>
      </c>
      <c r="AA113" s="323" t="n"/>
      <c r="AB113" s="323">
        <f>K113</f>
        <v/>
      </c>
      <c r="AC113" s="323">
        <f>IF(AB113&lt;0,AC114,AC114+AB113)</f>
        <v/>
      </c>
      <c r="AD113" s="323">
        <f>$X$226-AC113</f>
        <v/>
      </c>
      <c r="AE113" s="323">
        <f>IF(AD113&lt;0,AD114,K113)</f>
        <v/>
      </c>
      <c r="AF113" s="323" t="n"/>
    </row>
    <row r="114" hidden="1">
      <c r="B114" s="60" t="n"/>
      <c r="C114" s="60" t="n"/>
      <c r="D114" s="324" t="n"/>
      <c r="E114" s="272" t="n"/>
      <c r="F114" s="275" t="n"/>
      <c r="G114" s="61" t="n"/>
      <c r="H114" s="321">
        <f>ROUND(G114*D114,2)</f>
        <v/>
      </c>
      <c r="I114" s="262" t="n"/>
      <c r="J114" s="263" t="n"/>
      <c r="K114" s="321">
        <f>ROUND(IF($I$28="YES",IF(G114&gt;0,D114*(1-G114),0),0),2)</f>
        <v/>
      </c>
      <c r="L114" s="321">
        <f>ROUND(IF(G114=0,D114,0),2)</f>
        <v/>
      </c>
      <c r="M114" s="321">
        <f>ROUND(IF($I$28="NO",IF(G114&gt;0,D114*(1-G114),0),0),2)</f>
        <v/>
      </c>
      <c r="N114" s="62" t="n"/>
      <c r="O114" s="322">
        <f>ROUND(IF(Z114&lt;0,0,Z114),2)</f>
        <v/>
      </c>
      <c r="P114" s="322">
        <f>ROUND(IF($I$28="YES",IF(AE114&lt;0,0,AE114),0),2)</f>
        <v/>
      </c>
      <c r="Q114" s="100" t="n"/>
      <c r="R114" s="272" t="n"/>
      <c r="S114" s="272" t="n"/>
      <c r="T114" s="272" t="n"/>
      <c r="U114" s="275" t="n"/>
      <c r="V114" s="28" t="n"/>
      <c r="W114" s="323">
        <f>H114</f>
        <v/>
      </c>
      <c r="X114" s="323">
        <f>IF(W114&lt;0,X115,X115+W114)</f>
        <v/>
      </c>
      <c r="Y114" s="323">
        <f>$W$226-X114</f>
        <v/>
      </c>
      <c r="Z114" s="323">
        <f>IF(Y114&lt;0,Y115,H114)</f>
        <v/>
      </c>
      <c r="AA114" s="323" t="n"/>
      <c r="AB114" s="323">
        <f>K114</f>
        <v/>
      </c>
      <c r="AC114" s="323">
        <f>IF(AB114&lt;0,AC115,AC115+AB114)</f>
        <v/>
      </c>
      <c r="AD114" s="323">
        <f>$X$226-AC114</f>
        <v/>
      </c>
      <c r="AE114" s="323">
        <f>IF(AD114&lt;0,AD115,K114)</f>
        <v/>
      </c>
      <c r="AF114" s="323" t="n"/>
    </row>
    <row r="115" hidden="1">
      <c r="B115" s="60" t="n"/>
      <c r="C115" s="60" t="n"/>
      <c r="D115" s="324" t="n"/>
      <c r="E115" s="272" t="n"/>
      <c r="F115" s="275" t="n"/>
      <c r="G115" s="61" t="n"/>
      <c r="H115" s="321">
        <f>ROUND(G115*D115,2)</f>
        <v/>
      </c>
      <c r="I115" s="262" t="n"/>
      <c r="J115" s="263" t="n"/>
      <c r="K115" s="321">
        <f>ROUND(IF($I$28="YES",IF(G115&gt;0,D115*(1-G115),0),0),2)</f>
        <v/>
      </c>
      <c r="L115" s="321">
        <f>ROUND(IF(G115=0,D115,0),2)</f>
        <v/>
      </c>
      <c r="M115" s="321">
        <f>ROUND(IF($I$28="NO",IF(G115&gt;0,D115*(1-G115),0),0),2)</f>
        <v/>
      </c>
      <c r="N115" s="62" t="n"/>
      <c r="O115" s="322">
        <f>ROUND(IF(Z115&lt;0,0,Z115),2)</f>
        <v/>
      </c>
      <c r="P115" s="322">
        <f>ROUND(IF($I$28="YES",IF(AE115&lt;0,0,AE115),0),2)</f>
        <v/>
      </c>
      <c r="Q115" s="100" t="n"/>
      <c r="R115" s="272" t="n"/>
      <c r="S115" s="272" t="n"/>
      <c r="T115" s="272" t="n"/>
      <c r="U115" s="275" t="n"/>
      <c r="V115" s="28" t="n"/>
      <c r="W115" s="323">
        <f>H115</f>
        <v/>
      </c>
      <c r="X115" s="323">
        <f>IF(W115&lt;0,X116,X116+W115)</f>
        <v/>
      </c>
      <c r="Y115" s="323">
        <f>$W$226-X115</f>
        <v/>
      </c>
      <c r="Z115" s="323">
        <f>IF(Y115&lt;0,Y116,H115)</f>
        <v/>
      </c>
      <c r="AA115" s="323" t="n"/>
      <c r="AB115" s="323">
        <f>K115</f>
        <v/>
      </c>
      <c r="AC115" s="323">
        <f>IF(AB115&lt;0,AC116,AC116+AB115)</f>
        <v/>
      </c>
      <c r="AD115" s="323">
        <f>$X$226-AC115</f>
        <v/>
      </c>
      <c r="AE115" s="323">
        <f>IF(AD115&lt;0,AD116,K115)</f>
        <v/>
      </c>
      <c r="AF115" s="323" t="n"/>
    </row>
    <row r="116" hidden="1">
      <c r="B116" s="60" t="n"/>
      <c r="C116" s="60" t="n"/>
      <c r="D116" s="324" t="n"/>
      <c r="E116" s="272" t="n"/>
      <c r="F116" s="275" t="n"/>
      <c r="G116" s="61" t="n"/>
      <c r="H116" s="321">
        <f>ROUND(G116*D116,2)</f>
        <v/>
      </c>
      <c r="I116" s="262" t="n"/>
      <c r="J116" s="263" t="n"/>
      <c r="K116" s="321">
        <f>ROUND(IF($I$28="YES",IF(G116&gt;0,D116*(1-G116),0),0),2)</f>
        <v/>
      </c>
      <c r="L116" s="321">
        <f>ROUND(IF(G116=0,D116,0),2)</f>
        <v/>
      </c>
      <c r="M116" s="321">
        <f>ROUND(IF($I$28="NO",IF(G116&gt;0,D116*(1-G116),0),0),2)</f>
        <v/>
      </c>
      <c r="N116" s="62" t="n"/>
      <c r="O116" s="322">
        <f>ROUND(IF(Z116&lt;0,0,Z116),2)</f>
        <v/>
      </c>
      <c r="P116" s="322">
        <f>ROUND(IF($I$28="YES",IF(AE116&lt;0,0,AE116),0),2)</f>
        <v/>
      </c>
      <c r="Q116" s="100" t="n"/>
      <c r="R116" s="272" t="n"/>
      <c r="S116" s="272" t="n"/>
      <c r="T116" s="272" t="n"/>
      <c r="U116" s="275" t="n"/>
      <c r="V116" s="28" t="n"/>
      <c r="W116" s="323">
        <f>H116</f>
        <v/>
      </c>
      <c r="X116" s="323">
        <f>IF(W116&lt;0,X117,X117+W116)</f>
        <v/>
      </c>
      <c r="Y116" s="323">
        <f>$W$226-X116</f>
        <v/>
      </c>
      <c r="Z116" s="323">
        <f>IF(Y116&lt;0,Y117,H116)</f>
        <v/>
      </c>
      <c r="AA116" s="323" t="n"/>
      <c r="AB116" s="323">
        <f>K116</f>
        <v/>
      </c>
      <c r="AC116" s="323">
        <f>IF(AB116&lt;0,AC117,AC117+AB116)</f>
        <v/>
      </c>
      <c r="AD116" s="323">
        <f>$X$226-AC116</f>
        <v/>
      </c>
      <c r="AE116" s="323">
        <f>IF(AD116&lt;0,AD117,K116)</f>
        <v/>
      </c>
      <c r="AF116" s="323" t="n"/>
    </row>
    <row r="117" hidden="1">
      <c r="B117" s="60" t="n"/>
      <c r="C117" s="60" t="n"/>
      <c r="D117" s="324" t="n"/>
      <c r="E117" s="272" t="n"/>
      <c r="F117" s="275" t="n"/>
      <c r="G117" s="61" t="n"/>
      <c r="H117" s="321">
        <f>ROUND(G117*D117,2)</f>
        <v/>
      </c>
      <c r="I117" s="262" t="n"/>
      <c r="J117" s="263" t="n"/>
      <c r="K117" s="321">
        <f>ROUND(IF($I$28="YES",IF(G117&gt;0,D117*(1-G117),0),0),2)</f>
        <v/>
      </c>
      <c r="L117" s="321">
        <f>ROUND(IF(G117=0,D117,0),2)</f>
        <v/>
      </c>
      <c r="M117" s="321">
        <f>ROUND(IF($I$28="NO",IF(G117&gt;0,D117*(1-G117),0),0),2)</f>
        <v/>
      </c>
      <c r="N117" s="62" t="n"/>
      <c r="O117" s="322">
        <f>ROUND(IF(Z117&lt;0,0,Z117),2)</f>
        <v/>
      </c>
      <c r="P117" s="322">
        <f>ROUND(IF($I$28="YES",IF(AE117&lt;0,0,AE117),0),2)</f>
        <v/>
      </c>
      <c r="Q117" s="100" t="n"/>
      <c r="R117" s="272" t="n"/>
      <c r="S117" s="272" t="n"/>
      <c r="T117" s="272" t="n"/>
      <c r="U117" s="275" t="n"/>
      <c r="V117" s="28" t="n"/>
      <c r="W117" s="323">
        <f>H117</f>
        <v/>
      </c>
      <c r="X117" s="323">
        <f>IF(W117&lt;0,X118,X118+W117)</f>
        <v/>
      </c>
      <c r="Y117" s="323">
        <f>$W$226-X117</f>
        <v/>
      </c>
      <c r="Z117" s="323">
        <f>IF(Y117&lt;0,Y118,H117)</f>
        <v/>
      </c>
      <c r="AA117" s="323" t="n"/>
      <c r="AB117" s="323">
        <f>K117</f>
        <v/>
      </c>
      <c r="AC117" s="323">
        <f>IF(AB117&lt;0,AC118,AC118+AB117)</f>
        <v/>
      </c>
      <c r="AD117" s="323">
        <f>$X$226-AC117</f>
        <v/>
      </c>
      <c r="AE117" s="323">
        <f>IF(AD117&lt;0,AD118,K117)</f>
        <v/>
      </c>
      <c r="AF117" s="323" t="n"/>
    </row>
    <row r="118" hidden="1">
      <c r="B118" s="60" t="n"/>
      <c r="C118" s="60" t="n"/>
      <c r="D118" s="324" t="n"/>
      <c r="E118" s="272" t="n"/>
      <c r="F118" s="275" t="n"/>
      <c r="G118" s="61" t="n"/>
      <c r="H118" s="321">
        <f>ROUND(G118*D118,2)</f>
        <v/>
      </c>
      <c r="I118" s="262" t="n"/>
      <c r="J118" s="263" t="n"/>
      <c r="K118" s="321">
        <f>ROUND(IF($I$28="YES",IF(G118&gt;0,D118*(1-G118),0),0),2)</f>
        <v/>
      </c>
      <c r="L118" s="321">
        <f>ROUND(IF(G118=0,D118,0),2)</f>
        <v/>
      </c>
      <c r="M118" s="321">
        <f>ROUND(IF($I$28="NO",IF(G118&gt;0,D118*(1-G118),0),0),2)</f>
        <v/>
      </c>
      <c r="N118" s="62" t="n"/>
      <c r="O118" s="322">
        <f>ROUND(IF(Z118&lt;0,0,Z118),2)</f>
        <v/>
      </c>
      <c r="P118" s="322">
        <f>ROUND(IF($I$28="YES",IF(AE118&lt;0,0,AE118),0),2)</f>
        <v/>
      </c>
      <c r="Q118" s="100" t="n"/>
      <c r="R118" s="272" t="n"/>
      <c r="S118" s="272" t="n"/>
      <c r="T118" s="272" t="n"/>
      <c r="U118" s="275" t="n"/>
      <c r="V118" s="28" t="n"/>
      <c r="W118" s="323">
        <f>H118</f>
        <v/>
      </c>
      <c r="X118" s="323">
        <f>IF(W118&lt;0,X119,X119+W118)</f>
        <v/>
      </c>
      <c r="Y118" s="323">
        <f>$W$226-X118</f>
        <v/>
      </c>
      <c r="Z118" s="323">
        <f>IF(Y118&lt;0,Y119,H118)</f>
        <v/>
      </c>
      <c r="AA118" s="323" t="n"/>
      <c r="AB118" s="323">
        <f>K118</f>
        <v/>
      </c>
      <c r="AC118" s="323">
        <f>IF(AB118&lt;0,AC119,AC119+AB118)</f>
        <v/>
      </c>
      <c r="AD118" s="323">
        <f>$X$226-AC118</f>
        <v/>
      </c>
      <c r="AE118" s="323">
        <f>IF(AD118&lt;0,AD119,K118)</f>
        <v/>
      </c>
      <c r="AF118" s="323" t="n"/>
    </row>
    <row r="119" hidden="1">
      <c r="B119" s="60" t="n"/>
      <c r="C119" s="60" t="n"/>
      <c r="D119" s="324" t="n"/>
      <c r="E119" s="272" t="n"/>
      <c r="F119" s="275" t="n"/>
      <c r="G119" s="61" t="n"/>
      <c r="H119" s="321">
        <f>ROUND(G119*D119,2)</f>
        <v/>
      </c>
      <c r="I119" s="262" t="n"/>
      <c r="J119" s="263" t="n"/>
      <c r="K119" s="321">
        <f>ROUND(IF($I$28="YES",IF(G119&gt;0,D119*(1-G119),0),0),2)</f>
        <v/>
      </c>
      <c r="L119" s="321">
        <f>ROUND(IF(G119=0,D119,0),2)</f>
        <v/>
      </c>
      <c r="M119" s="321">
        <f>ROUND(IF($I$28="NO",IF(G119&gt;0,D119*(1-G119),0),0),2)</f>
        <v/>
      </c>
      <c r="N119" s="62" t="n"/>
      <c r="O119" s="322">
        <f>ROUND(IF(Z119&lt;0,0,Z119),2)</f>
        <v/>
      </c>
      <c r="P119" s="322">
        <f>ROUND(IF($I$28="YES",IF(AE119&lt;0,0,AE119),0),2)</f>
        <v/>
      </c>
      <c r="Q119" s="100" t="n"/>
      <c r="R119" s="272" t="n"/>
      <c r="S119" s="272" t="n"/>
      <c r="T119" s="272" t="n"/>
      <c r="U119" s="275" t="n"/>
      <c r="V119" s="28" t="n"/>
      <c r="W119" s="323">
        <f>H119</f>
        <v/>
      </c>
      <c r="X119" s="323">
        <f>IF(W119&lt;0,X120,X120+W119)</f>
        <v/>
      </c>
      <c r="Y119" s="323">
        <f>$W$226-X119</f>
        <v/>
      </c>
      <c r="Z119" s="323">
        <f>IF(Y119&lt;0,Y120,H119)</f>
        <v/>
      </c>
      <c r="AA119" s="323" t="n"/>
      <c r="AB119" s="323">
        <f>K119</f>
        <v/>
      </c>
      <c r="AC119" s="323">
        <f>IF(AB119&lt;0,AC120,AC120+AB119)</f>
        <v/>
      </c>
      <c r="AD119" s="323">
        <f>$X$226-AC119</f>
        <v/>
      </c>
      <c r="AE119" s="323">
        <f>IF(AD119&lt;0,AD120,K119)</f>
        <v/>
      </c>
      <c r="AF119" s="323" t="n"/>
    </row>
    <row r="120" hidden="1">
      <c r="B120" s="60" t="n"/>
      <c r="C120" s="60" t="n"/>
      <c r="D120" s="324" t="n"/>
      <c r="E120" s="272" t="n"/>
      <c r="F120" s="275" t="n"/>
      <c r="G120" s="61" t="n"/>
      <c r="H120" s="321">
        <f>ROUND(G120*D120,2)</f>
        <v/>
      </c>
      <c r="I120" s="262" t="n"/>
      <c r="J120" s="263" t="n"/>
      <c r="K120" s="321">
        <f>ROUND(IF($I$28="YES",IF(G120&gt;0,D120*(1-G120),0),0),2)</f>
        <v/>
      </c>
      <c r="L120" s="321">
        <f>ROUND(IF(G120=0,D120,0),2)</f>
        <v/>
      </c>
      <c r="M120" s="321">
        <f>ROUND(IF($I$28="NO",IF(G120&gt;0,D120*(1-G120),0),0),2)</f>
        <v/>
      </c>
      <c r="N120" s="62" t="n"/>
      <c r="O120" s="322">
        <f>ROUND(IF(Z120&lt;0,0,Z120),2)</f>
        <v/>
      </c>
      <c r="P120" s="322">
        <f>ROUND(IF($I$28="YES",IF(AE120&lt;0,0,AE120),0),2)</f>
        <v/>
      </c>
      <c r="Q120" s="100" t="n"/>
      <c r="R120" s="272" t="n"/>
      <c r="S120" s="272" t="n"/>
      <c r="T120" s="272" t="n"/>
      <c r="U120" s="275" t="n"/>
      <c r="V120" s="28" t="n"/>
      <c r="W120" s="323">
        <f>H120</f>
        <v/>
      </c>
      <c r="X120" s="323">
        <f>IF(W120&lt;0,X121,X121+W120)</f>
        <v/>
      </c>
      <c r="Y120" s="323">
        <f>$W$226-X120</f>
        <v/>
      </c>
      <c r="Z120" s="323">
        <f>IF(Y120&lt;0,Y121,H120)</f>
        <v/>
      </c>
      <c r="AA120" s="323" t="n"/>
      <c r="AB120" s="323">
        <f>K120</f>
        <v/>
      </c>
      <c r="AC120" s="323">
        <f>IF(AB120&lt;0,AC121,AC121+AB120)</f>
        <v/>
      </c>
      <c r="AD120" s="323">
        <f>$X$226-AC120</f>
        <v/>
      </c>
      <c r="AE120" s="323">
        <f>IF(AD120&lt;0,AD121,K120)</f>
        <v/>
      </c>
      <c r="AF120" s="323" t="n"/>
    </row>
    <row r="121" hidden="1">
      <c r="B121" s="60" t="n"/>
      <c r="C121" s="60" t="n"/>
      <c r="D121" s="324" t="n"/>
      <c r="E121" s="272" t="n"/>
      <c r="F121" s="275" t="n"/>
      <c r="G121" s="61" t="n"/>
      <c r="H121" s="321">
        <f>ROUND(G121*D121,2)</f>
        <v/>
      </c>
      <c r="I121" s="262" t="n"/>
      <c r="J121" s="263" t="n"/>
      <c r="K121" s="321">
        <f>ROUND(IF($I$28="YES",IF(G121&gt;0,D121*(1-G121),0),0),2)</f>
        <v/>
      </c>
      <c r="L121" s="321">
        <f>ROUND(IF(G121=0,D121,0),2)</f>
        <v/>
      </c>
      <c r="M121" s="321">
        <f>ROUND(IF($I$28="NO",IF(G121&gt;0,D121*(1-G121),0),0),2)</f>
        <v/>
      </c>
      <c r="N121" s="62" t="n"/>
      <c r="O121" s="322">
        <f>ROUND(IF(Z121&lt;0,0,Z121),2)</f>
        <v/>
      </c>
      <c r="P121" s="322">
        <f>ROUND(IF($I$28="YES",IF(AE121&lt;0,0,AE121),0),2)</f>
        <v/>
      </c>
      <c r="Q121" s="100" t="n"/>
      <c r="R121" s="272" t="n"/>
      <c r="S121" s="272" t="n"/>
      <c r="T121" s="272" t="n"/>
      <c r="U121" s="275" t="n"/>
      <c r="V121" s="28" t="n"/>
      <c r="W121" s="323">
        <f>H121</f>
        <v/>
      </c>
      <c r="X121" s="323">
        <f>IF(W121&lt;0,X122,X122+W121)</f>
        <v/>
      </c>
      <c r="Y121" s="323">
        <f>$W$226-X121</f>
        <v/>
      </c>
      <c r="Z121" s="323">
        <f>IF(Y121&lt;0,Y122,H121)</f>
        <v/>
      </c>
      <c r="AA121" s="323" t="n"/>
      <c r="AB121" s="323">
        <f>K121</f>
        <v/>
      </c>
      <c r="AC121" s="323">
        <f>IF(AB121&lt;0,AC122,AC122+AB121)</f>
        <v/>
      </c>
      <c r="AD121" s="323">
        <f>$X$226-AC121</f>
        <v/>
      </c>
      <c r="AE121" s="323">
        <f>IF(AD121&lt;0,AD122,K121)</f>
        <v/>
      </c>
      <c r="AF121" s="323" t="n"/>
    </row>
    <row r="122" hidden="1">
      <c r="B122" s="60" t="n"/>
      <c r="C122" s="60" t="n"/>
      <c r="D122" s="324" t="n"/>
      <c r="E122" s="272" t="n"/>
      <c r="F122" s="275" t="n"/>
      <c r="G122" s="61" t="n"/>
      <c r="H122" s="321">
        <f>ROUND(G122*D122,2)</f>
        <v/>
      </c>
      <c r="I122" s="262" t="n"/>
      <c r="J122" s="263" t="n"/>
      <c r="K122" s="321">
        <f>ROUND(IF($I$28="YES",IF(G122&gt;0,D122*(1-G122),0),0),2)</f>
        <v/>
      </c>
      <c r="L122" s="321">
        <f>ROUND(IF(G122=0,D122,0),2)</f>
        <v/>
      </c>
      <c r="M122" s="321">
        <f>ROUND(IF($I$28="NO",IF(G122&gt;0,D122*(1-G122),0),0),2)</f>
        <v/>
      </c>
      <c r="N122" s="62" t="n"/>
      <c r="O122" s="322">
        <f>ROUND(IF(Z122&lt;0,0,Z122),2)</f>
        <v/>
      </c>
      <c r="P122" s="322">
        <f>ROUND(IF($I$28="YES",IF(AE122&lt;0,0,AE122),0),2)</f>
        <v/>
      </c>
      <c r="Q122" s="100" t="n"/>
      <c r="R122" s="272" t="n"/>
      <c r="S122" s="272" t="n"/>
      <c r="T122" s="272" t="n"/>
      <c r="U122" s="275" t="n"/>
      <c r="V122" s="28" t="n"/>
      <c r="W122" s="323">
        <f>H122</f>
        <v/>
      </c>
      <c r="X122" s="323">
        <f>IF(W122&lt;0,X123,X123+W122)</f>
        <v/>
      </c>
      <c r="Y122" s="323">
        <f>$W$226-X122</f>
        <v/>
      </c>
      <c r="Z122" s="323">
        <f>IF(Y122&lt;0,Y123,H122)</f>
        <v/>
      </c>
      <c r="AA122" s="323" t="n"/>
      <c r="AB122" s="323">
        <f>K122</f>
        <v/>
      </c>
      <c r="AC122" s="323">
        <f>IF(AB122&lt;0,AC123,AC123+AB122)</f>
        <v/>
      </c>
      <c r="AD122" s="323">
        <f>$X$226-AC122</f>
        <v/>
      </c>
      <c r="AE122" s="323">
        <f>IF(AD122&lt;0,AD123,K122)</f>
        <v/>
      </c>
      <c r="AF122" s="323" t="n"/>
    </row>
    <row r="123" hidden="1">
      <c r="B123" s="60" t="n"/>
      <c r="C123" s="60" t="n"/>
      <c r="D123" s="324" t="n"/>
      <c r="E123" s="272" t="n"/>
      <c r="F123" s="275" t="n"/>
      <c r="G123" s="61" t="n"/>
      <c r="H123" s="321">
        <f>ROUND(G123*D123,2)</f>
        <v/>
      </c>
      <c r="I123" s="262" t="n"/>
      <c r="J123" s="263" t="n"/>
      <c r="K123" s="321">
        <f>ROUND(IF($I$28="YES",IF(G123&gt;0,D123*(1-G123),0),0),2)</f>
        <v/>
      </c>
      <c r="L123" s="321">
        <f>ROUND(IF(G123=0,D123,0),2)</f>
        <v/>
      </c>
      <c r="M123" s="321">
        <f>ROUND(IF($I$28="NO",IF(G123&gt;0,D123*(1-G123),0),0),2)</f>
        <v/>
      </c>
      <c r="N123" s="62" t="n"/>
      <c r="O123" s="322">
        <f>ROUND(IF(Z123&lt;0,0,Z123),2)</f>
        <v/>
      </c>
      <c r="P123" s="322">
        <f>ROUND(IF($I$28="YES",IF(AE123&lt;0,0,AE123),0),2)</f>
        <v/>
      </c>
      <c r="Q123" s="100" t="n"/>
      <c r="R123" s="272" t="n"/>
      <c r="S123" s="272" t="n"/>
      <c r="T123" s="272" t="n"/>
      <c r="U123" s="275" t="n"/>
      <c r="V123" s="28" t="n"/>
      <c r="W123" s="323">
        <f>H123</f>
        <v/>
      </c>
      <c r="X123" s="323">
        <f>IF(W123&lt;0,X124,X124+W123)</f>
        <v/>
      </c>
      <c r="Y123" s="323">
        <f>$W$226-X123</f>
        <v/>
      </c>
      <c r="Z123" s="323">
        <f>IF(Y123&lt;0,Y124,H123)</f>
        <v/>
      </c>
      <c r="AA123" s="323" t="n"/>
      <c r="AB123" s="323">
        <f>K123</f>
        <v/>
      </c>
      <c r="AC123" s="323">
        <f>IF(AB123&lt;0,AC124,AC124+AB123)</f>
        <v/>
      </c>
      <c r="AD123" s="323">
        <f>$X$226-AC123</f>
        <v/>
      </c>
      <c r="AE123" s="323">
        <f>IF(AD123&lt;0,AD124,K123)</f>
        <v/>
      </c>
      <c r="AF123" s="323" t="n"/>
    </row>
    <row r="124" hidden="1">
      <c r="B124" s="60" t="n"/>
      <c r="C124" s="60" t="n"/>
      <c r="D124" s="324" t="n"/>
      <c r="E124" s="272" t="n"/>
      <c r="F124" s="275" t="n"/>
      <c r="G124" s="61" t="n"/>
      <c r="H124" s="321">
        <f>ROUND(G124*D124,2)</f>
        <v/>
      </c>
      <c r="I124" s="262" t="n"/>
      <c r="J124" s="263" t="n"/>
      <c r="K124" s="321">
        <f>ROUND(IF($I$28="YES",IF(G124&gt;0,D124*(1-G124),0),0),2)</f>
        <v/>
      </c>
      <c r="L124" s="321">
        <f>ROUND(IF(G124=0,D124,0),2)</f>
        <v/>
      </c>
      <c r="M124" s="321">
        <f>ROUND(IF($I$28="NO",IF(G124&gt;0,D124*(1-G124),0),0),2)</f>
        <v/>
      </c>
      <c r="N124" s="62" t="n"/>
      <c r="O124" s="322">
        <f>ROUND(IF(Z124&lt;0,0,Z124),2)</f>
        <v/>
      </c>
      <c r="P124" s="322">
        <f>ROUND(IF($I$28="YES",IF(AE124&lt;0,0,AE124),0),2)</f>
        <v/>
      </c>
      <c r="Q124" s="100" t="n"/>
      <c r="R124" s="272" t="n"/>
      <c r="S124" s="272" t="n"/>
      <c r="T124" s="272" t="n"/>
      <c r="U124" s="275" t="n"/>
      <c r="V124" s="28" t="n"/>
      <c r="W124" s="323">
        <f>H124</f>
        <v/>
      </c>
      <c r="X124" s="323">
        <f>IF(W124&lt;0,X125,X125+W124)</f>
        <v/>
      </c>
      <c r="Y124" s="323">
        <f>$W$226-X124</f>
        <v/>
      </c>
      <c r="Z124" s="323">
        <f>IF(Y124&lt;0,Y125,H124)</f>
        <v/>
      </c>
      <c r="AA124" s="323" t="n"/>
      <c r="AB124" s="323">
        <f>K124</f>
        <v/>
      </c>
      <c r="AC124" s="323">
        <f>IF(AB124&lt;0,AC125,AC125+AB124)</f>
        <v/>
      </c>
      <c r="AD124" s="323">
        <f>$X$226-AC124</f>
        <v/>
      </c>
      <c r="AE124" s="323">
        <f>IF(AD124&lt;0,AD125,K124)</f>
        <v/>
      </c>
      <c r="AF124" s="323" t="n"/>
    </row>
    <row r="125" hidden="1">
      <c r="B125" s="60" t="n"/>
      <c r="C125" s="60" t="n"/>
      <c r="D125" s="324" t="n"/>
      <c r="E125" s="272" t="n"/>
      <c r="F125" s="275" t="n"/>
      <c r="G125" s="61" t="n"/>
      <c r="H125" s="321">
        <f>ROUND(G125*D125,2)</f>
        <v/>
      </c>
      <c r="I125" s="262" t="n"/>
      <c r="J125" s="263" t="n"/>
      <c r="K125" s="321">
        <f>ROUND(IF($I$28="YES",IF(G125&gt;0,D125*(1-G125),0),0),2)</f>
        <v/>
      </c>
      <c r="L125" s="321">
        <f>ROUND(IF(G125=0,D125,0),2)</f>
        <v/>
      </c>
      <c r="M125" s="321">
        <f>ROUND(IF($I$28="NO",IF(G125&gt;0,D125*(1-G125),0),0),2)</f>
        <v/>
      </c>
      <c r="N125" s="62" t="n"/>
      <c r="O125" s="322">
        <f>ROUND(IF(Z125&lt;0,0,Z125),2)</f>
        <v/>
      </c>
      <c r="P125" s="322">
        <f>ROUND(IF($I$28="YES",IF(AE125&lt;0,0,AE125),0),2)</f>
        <v/>
      </c>
      <c r="Q125" s="100" t="n"/>
      <c r="R125" s="272" t="n"/>
      <c r="S125" s="272" t="n"/>
      <c r="T125" s="272" t="n"/>
      <c r="U125" s="275" t="n"/>
      <c r="V125" s="28" t="n"/>
      <c r="W125" s="323">
        <f>H125</f>
        <v/>
      </c>
      <c r="X125" s="323">
        <f>IF(W125&lt;0,X126,X126+W125)</f>
        <v/>
      </c>
      <c r="Y125" s="323">
        <f>$W$226-X125</f>
        <v/>
      </c>
      <c r="Z125" s="323">
        <f>IF(Y125&lt;0,Y126,H125)</f>
        <v/>
      </c>
      <c r="AA125" s="323" t="n"/>
      <c r="AB125" s="323">
        <f>K125</f>
        <v/>
      </c>
      <c r="AC125" s="323">
        <f>IF(AB125&lt;0,AC126,AC126+AB125)</f>
        <v/>
      </c>
      <c r="AD125" s="323">
        <f>$X$226-AC125</f>
        <v/>
      </c>
      <c r="AE125" s="323">
        <f>IF(AD125&lt;0,AD126,K125)</f>
        <v/>
      </c>
      <c r="AF125" s="323" t="n"/>
    </row>
    <row r="126" hidden="1">
      <c r="B126" s="60" t="n"/>
      <c r="C126" s="60" t="n"/>
      <c r="D126" s="324" t="n"/>
      <c r="E126" s="272" t="n"/>
      <c r="F126" s="275" t="n"/>
      <c r="G126" s="61" t="n"/>
      <c r="H126" s="321">
        <f>ROUND(G126*D126,2)</f>
        <v/>
      </c>
      <c r="I126" s="262" t="n"/>
      <c r="J126" s="263" t="n"/>
      <c r="K126" s="321">
        <f>ROUND(IF($I$28="YES",IF(G126&gt;0,D126*(1-G126),0),0),2)</f>
        <v/>
      </c>
      <c r="L126" s="321">
        <f>ROUND(IF(G126=0,D126,0),2)</f>
        <v/>
      </c>
      <c r="M126" s="321">
        <f>ROUND(IF($I$28="NO",IF(G126&gt;0,D126*(1-G126),0),0),2)</f>
        <v/>
      </c>
      <c r="N126" s="62" t="n"/>
      <c r="O126" s="322">
        <f>ROUND(IF(Z126&lt;0,0,Z126),2)</f>
        <v/>
      </c>
      <c r="P126" s="322">
        <f>ROUND(IF($I$28="YES",IF(AE126&lt;0,0,AE126),0),2)</f>
        <v/>
      </c>
      <c r="Q126" s="100" t="n"/>
      <c r="R126" s="272" t="n"/>
      <c r="S126" s="272" t="n"/>
      <c r="T126" s="272" t="n"/>
      <c r="U126" s="275" t="n"/>
      <c r="V126" s="28" t="n"/>
      <c r="W126" s="323">
        <f>H126</f>
        <v/>
      </c>
      <c r="X126" s="323">
        <f>IF(W126&lt;0,X127,X127+W126)</f>
        <v/>
      </c>
      <c r="Y126" s="323">
        <f>$W$226-X126</f>
        <v/>
      </c>
      <c r="Z126" s="323">
        <f>IF(Y126&lt;0,Y127,H126)</f>
        <v/>
      </c>
      <c r="AA126" s="323" t="n"/>
      <c r="AB126" s="323">
        <f>K126</f>
        <v/>
      </c>
      <c r="AC126" s="323">
        <f>IF(AB126&lt;0,AC127,AC127+AB126)</f>
        <v/>
      </c>
      <c r="AD126" s="323">
        <f>$X$226-AC126</f>
        <v/>
      </c>
      <c r="AE126" s="323">
        <f>IF(AD126&lt;0,AD127,K126)</f>
        <v/>
      </c>
      <c r="AF126" s="323" t="n"/>
    </row>
    <row r="127" hidden="1">
      <c r="B127" s="60" t="n"/>
      <c r="C127" s="60" t="n"/>
      <c r="D127" s="324" t="n"/>
      <c r="E127" s="272" t="n"/>
      <c r="F127" s="275" t="n"/>
      <c r="G127" s="61" t="n"/>
      <c r="H127" s="321">
        <f>ROUND(G127*D127,2)</f>
        <v/>
      </c>
      <c r="I127" s="262" t="n"/>
      <c r="J127" s="263" t="n"/>
      <c r="K127" s="321">
        <f>ROUND(IF($I$28="YES",IF(G127&gt;0,D127*(1-G127),0),0),2)</f>
        <v/>
      </c>
      <c r="L127" s="321">
        <f>ROUND(IF(G127=0,D127,0),2)</f>
        <v/>
      </c>
      <c r="M127" s="321">
        <f>ROUND(IF($I$28="NO",IF(G127&gt;0,D127*(1-G127),0),0),2)</f>
        <v/>
      </c>
      <c r="N127" s="62" t="n"/>
      <c r="O127" s="322">
        <f>ROUND(IF(Z127&lt;0,0,Z127),2)</f>
        <v/>
      </c>
      <c r="P127" s="322">
        <f>ROUND(IF($I$28="YES",IF(AE127&lt;0,0,AE127),0),2)</f>
        <v/>
      </c>
      <c r="Q127" s="100" t="n"/>
      <c r="R127" s="272" t="n"/>
      <c r="S127" s="272" t="n"/>
      <c r="T127" s="272" t="n"/>
      <c r="U127" s="275" t="n"/>
      <c r="V127" s="28" t="n"/>
      <c r="W127" s="323">
        <f>H127</f>
        <v/>
      </c>
      <c r="X127" s="323">
        <f>IF(W127&lt;0,X128,X128+W127)</f>
        <v/>
      </c>
      <c r="Y127" s="323">
        <f>$W$226-X127</f>
        <v/>
      </c>
      <c r="Z127" s="323">
        <f>IF(Y127&lt;0,Y128,H127)</f>
        <v/>
      </c>
      <c r="AA127" s="323" t="n"/>
      <c r="AB127" s="323">
        <f>K127</f>
        <v/>
      </c>
      <c r="AC127" s="323">
        <f>IF(AB127&lt;0,AC128,AC128+AB127)</f>
        <v/>
      </c>
      <c r="AD127" s="323">
        <f>$X$226-AC127</f>
        <v/>
      </c>
      <c r="AE127" s="323">
        <f>IF(AD127&lt;0,AD128,K127)</f>
        <v/>
      </c>
      <c r="AF127" s="323" t="n"/>
    </row>
    <row r="128" hidden="1">
      <c r="B128" s="60" t="n"/>
      <c r="C128" s="60" t="n"/>
      <c r="D128" s="324" t="n"/>
      <c r="E128" s="272" t="n"/>
      <c r="F128" s="275" t="n"/>
      <c r="G128" s="61" t="n"/>
      <c r="H128" s="321">
        <f>ROUND(G128*D128,2)</f>
        <v/>
      </c>
      <c r="I128" s="262" t="n"/>
      <c r="J128" s="263" t="n"/>
      <c r="K128" s="321">
        <f>ROUND(IF($I$28="YES",IF(G128&gt;0,D128*(1-G128),0),0),2)</f>
        <v/>
      </c>
      <c r="L128" s="321">
        <f>ROUND(IF(G128=0,D128,0),2)</f>
        <v/>
      </c>
      <c r="M128" s="321">
        <f>ROUND(IF($I$28="NO",IF(G128&gt;0,D128*(1-G128),0),0),2)</f>
        <v/>
      </c>
      <c r="N128" s="62" t="n"/>
      <c r="O128" s="322">
        <f>ROUND(IF(Z128&lt;0,0,Z128),2)</f>
        <v/>
      </c>
      <c r="P128" s="322">
        <f>ROUND(IF($I$28="YES",IF(AE128&lt;0,0,AE128),0),2)</f>
        <v/>
      </c>
      <c r="Q128" s="100" t="n"/>
      <c r="R128" s="272" t="n"/>
      <c r="S128" s="272" t="n"/>
      <c r="T128" s="272" t="n"/>
      <c r="U128" s="275" t="n"/>
      <c r="V128" s="28" t="n"/>
      <c r="W128" s="323">
        <f>H128</f>
        <v/>
      </c>
      <c r="X128" s="323">
        <f>IF(W128&lt;0,X129,X129+W128)</f>
        <v/>
      </c>
      <c r="Y128" s="323">
        <f>$W$226-X128</f>
        <v/>
      </c>
      <c r="Z128" s="323">
        <f>IF(Y128&lt;0,Y129,H128)</f>
        <v/>
      </c>
      <c r="AA128" s="323" t="n"/>
      <c r="AB128" s="323">
        <f>K128</f>
        <v/>
      </c>
      <c r="AC128" s="323">
        <f>IF(AB128&lt;0,AC129,AC129+AB128)</f>
        <v/>
      </c>
      <c r="AD128" s="323">
        <f>$X$226-AC128</f>
        <v/>
      </c>
      <c r="AE128" s="323">
        <f>IF(AD128&lt;0,AD129,K128)</f>
        <v/>
      </c>
      <c r="AF128" s="323" t="n"/>
    </row>
    <row r="129" hidden="1">
      <c r="B129" s="60" t="n"/>
      <c r="C129" s="60" t="n"/>
      <c r="D129" s="324" t="n"/>
      <c r="E129" s="272" t="n"/>
      <c r="F129" s="275" t="n"/>
      <c r="G129" s="61" t="n"/>
      <c r="H129" s="321">
        <f>ROUND(G129*D129,2)</f>
        <v/>
      </c>
      <c r="I129" s="262" t="n"/>
      <c r="J129" s="263" t="n"/>
      <c r="K129" s="321">
        <f>ROUND(IF($I$28="YES",IF(G129&gt;0,D129*(1-G129),0),0),2)</f>
        <v/>
      </c>
      <c r="L129" s="321">
        <f>ROUND(IF(G129=0,D129,0),2)</f>
        <v/>
      </c>
      <c r="M129" s="321">
        <f>ROUND(IF($I$28="NO",IF(G129&gt;0,D129*(1-G129),0),0),2)</f>
        <v/>
      </c>
      <c r="N129" s="62" t="n"/>
      <c r="O129" s="322">
        <f>ROUND(IF(Z129&lt;0,0,Z129),2)</f>
        <v/>
      </c>
      <c r="P129" s="322">
        <f>ROUND(IF($I$28="YES",IF(AE129&lt;0,0,AE129),0),2)</f>
        <v/>
      </c>
      <c r="Q129" s="100" t="n"/>
      <c r="R129" s="272" t="n"/>
      <c r="S129" s="272" t="n"/>
      <c r="T129" s="272" t="n"/>
      <c r="U129" s="275" t="n"/>
      <c r="V129" s="28" t="n"/>
      <c r="W129" s="323">
        <f>H129</f>
        <v/>
      </c>
      <c r="X129" s="323">
        <f>IF(W129&lt;0,X130,X130+W129)</f>
        <v/>
      </c>
      <c r="Y129" s="323">
        <f>$W$226-X129</f>
        <v/>
      </c>
      <c r="Z129" s="323">
        <f>IF(Y129&lt;0,Y130,H129)</f>
        <v/>
      </c>
      <c r="AA129" s="323" t="n"/>
      <c r="AB129" s="323">
        <f>K129</f>
        <v/>
      </c>
      <c r="AC129" s="323">
        <f>IF(AB129&lt;0,AC130,AC130+AB129)</f>
        <v/>
      </c>
      <c r="AD129" s="323">
        <f>$X$226-AC129</f>
        <v/>
      </c>
      <c r="AE129" s="323">
        <f>IF(AD129&lt;0,AD130,K129)</f>
        <v/>
      </c>
      <c r="AF129" s="323" t="n"/>
    </row>
    <row r="130" hidden="1">
      <c r="B130" s="60" t="n"/>
      <c r="C130" s="60" t="n"/>
      <c r="D130" s="324" t="n"/>
      <c r="E130" s="272" t="n"/>
      <c r="F130" s="275" t="n"/>
      <c r="G130" s="61" t="n"/>
      <c r="H130" s="321">
        <f>ROUND(G130*D130,2)</f>
        <v/>
      </c>
      <c r="I130" s="262" t="n"/>
      <c r="J130" s="263" t="n"/>
      <c r="K130" s="321">
        <f>ROUND(IF($I$28="YES",IF(G130&gt;0,D130*(1-G130),0),0),2)</f>
        <v/>
      </c>
      <c r="L130" s="321">
        <f>ROUND(IF(G130=0,D130,0),2)</f>
        <v/>
      </c>
      <c r="M130" s="321">
        <f>ROUND(IF($I$28="NO",IF(G130&gt;0,D130*(1-G130),0),0),2)</f>
        <v/>
      </c>
      <c r="N130" s="62" t="n"/>
      <c r="O130" s="322">
        <f>ROUND(IF(Z130&lt;0,0,Z130),2)</f>
        <v/>
      </c>
      <c r="P130" s="322">
        <f>ROUND(IF($I$28="YES",IF(AE130&lt;0,0,AE130),0),2)</f>
        <v/>
      </c>
      <c r="Q130" s="100" t="n"/>
      <c r="R130" s="272" t="n"/>
      <c r="S130" s="272" t="n"/>
      <c r="T130" s="272" t="n"/>
      <c r="U130" s="275" t="n"/>
      <c r="V130" s="28" t="n"/>
      <c r="W130" s="323">
        <f>H130</f>
        <v/>
      </c>
      <c r="X130" s="323">
        <f>IF(W130&lt;0,X131,X131+W130)</f>
        <v/>
      </c>
      <c r="Y130" s="323">
        <f>$W$226-X130</f>
        <v/>
      </c>
      <c r="Z130" s="323">
        <f>IF(Y130&lt;0,Y131,H130)</f>
        <v/>
      </c>
      <c r="AA130" s="323" t="n"/>
      <c r="AB130" s="323">
        <f>K130</f>
        <v/>
      </c>
      <c r="AC130" s="323">
        <f>IF(AB130&lt;0,AC131,AC131+AB130)</f>
        <v/>
      </c>
      <c r="AD130" s="323">
        <f>$X$226-AC130</f>
        <v/>
      </c>
      <c r="AE130" s="323">
        <f>IF(AD130&lt;0,AD131,K130)</f>
        <v/>
      </c>
      <c r="AF130" s="323" t="n"/>
    </row>
    <row r="131" hidden="1">
      <c r="B131" s="60" t="n"/>
      <c r="C131" s="60" t="n"/>
      <c r="D131" s="324" t="n"/>
      <c r="E131" s="272" t="n"/>
      <c r="F131" s="275" t="n"/>
      <c r="G131" s="61" t="n"/>
      <c r="H131" s="321">
        <f>ROUND(G131*D131,2)</f>
        <v/>
      </c>
      <c r="I131" s="262" t="n"/>
      <c r="J131" s="263" t="n"/>
      <c r="K131" s="321">
        <f>ROUND(IF($I$28="YES",IF(G131&gt;0,D131*(1-G131),0),0),2)</f>
        <v/>
      </c>
      <c r="L131" s="321">
        <f>ROUND(IF(G131=0,D131,0),2)</f>
        <v/>
      </c>
      <c r="M131" s="321">
        <f>ROUND(IF($I$28="NO",IF(G131&gt;0,D131*(1-G131),0),0),2)</f>
        <v/>
      </c>
      <c r="N131" s="62" t="n"/>
      <c r="O131" s="322">
        <f>ROUND(IF(Z131&lt;0,0,Z131),2)</f>
        <v/>
      </c>
      <c r="P131" s="322">
        <f>ROUND(IF($I$28="YES",IF(AE131&lt;0,0,AE131),0),2)</f>
        <v/>
      </c>
      <c r="Q131" s="100" t="n"/>
      <c r="R131" s="272" t="n"/>
      <c r="S131" s="272" t="n"/>
      <c r="T131" s="272" t="n"/>
      <c r="U131" s="275" t="n"/>
      <c r="V131" s="28" t="n"/>
      <c r="W131" s="323">
        <f>H131</f>
        <v/>
      </c>
      <c r="X131" s="323">
        <f>IF(W131&lt;0,X132,X132+W131)</f>
        <v/>
      </c>
      <c r="Y131" s="323">
        <f>$W$226-X131</f>
        <v/>
      </c>
      <c r="Z131" s="323">
        <f>IF(Y131&lt;0,Y132,H131)</f>
        <v/>
      </c>
      <c r="AA131" s="323" t="n"/>
      <c r="AB131" s="323">
        <f>K131</f>
        <v/>
      </c>
      <c r="AC131" s="323">
        <f>IF(AB131&lt;0,AC132,AC132+AB131)</f>
        <v/>
      </c>
      <c r="AD131" s="323">
        <f>$X$226-AC131</f>
        <v/>
      </c>
      <c r="AE131" s="323">
        <f>IF(AD131&lt;0,AD132,K131)</f>
        <v/>
      </c>
      <c r="AF131" s="323" t="n"/>
    </row>
    <row r="132" hidden="1">
      <c r="B132" s="60" t="n"/>
      <c r="C132" s="60" t="n"/>
      <c r="D132" s="324" t="n"/>
      <c r="E132" s="272" t="n"/>
      <c r="F132" s="275" t="n"/>
      <c r="G132" s="61" t="n"/>
      <c r="H132" s="321">
        <f>ROUND(G132*D132,2)</f>
        <v/>
      </c>
      <c r="I132" s="262" t="n"/>
      <c r="J132" s="263" t="n"/>
      <c r="K132" s="321">
        <f>ROUND(IF($I$28="YES",IF(G132&gt;0,D132*(1-G132),0),0),2)</f>
        <v/>
      </c>
      <c r="L132" s="321">
        <f>ROUND(IF(G132=0,D132,0),2)</f>
        <v/>
      </c>
      <c r="M132" s="321">
        <f>ROUND(IF($I$28="NO",IF(G132&gt;0,D132*(1-G132),0),0),2)</f>
        <v/>
      </c>
      <c r="N132" s="62" t="n"/>
      <c r="O132" s="322">
        <f>ROUND(IF(Z132&lt;0,0,Z132),2)</f>
        <v/>
      </c>
      <c r="P132" s="322">
        <f>ROUND(IF($I$28="YES",IF(AE132&lt;0,0,AE132),0),2)</f>
        <v/>
      </c>
      <c r="Q132" s="100" t="n"/>
      <c r="R132" s="272" t="n"/>
      <c r="S132" s="272" t="n"/>
      <c r="T132" s="272" t="n"/>
      <c r="U132" s="275" t="n"/>
      <c r="V132" s="28" t="n"/>
      <c r="W132" s="323">
        <f>H132</f>
        <v/>
      </c>
      <c r="X132" s="323">
        <f>IF(W132&lt;0,X133,X133+W132)</f>
        <v/>
      </c>
      <c r="Y132" s="323">
        <f>$W$226-X132</f>
        <v/>
      </c>
      <c r="Z132" s="323">
        <f>IF(Y132&lt;0,Y133,H132)</f>
        <v/>
      </c>
      <c r="AA132" s="323" t="n"/>
      <c r="AB132" s="323">
        <f>K132</f>
        <v/>
      </c>
      <c r="AC132" s="323">
        <f>IF(AB132&lt;0,AC133,AC133+AB132)</f>
        <v/>
      </c>
      <c r="AD132" s="323">
        <f>$X$226-AC132</f>
        <v/>
      </c>
      <c r="AE132" s="323">
        <f>IF(AD132&lt;0,AD133,K132)</f>
        <v/>
      </c>
      <c r="AF132" s="323" t="n"/>
    </row>
    <row r="133" hidden="1">
      <c r="B133" s="60" t="n"/>
      <c r="C133" s="60" t="n"/>
      <c r="D133" s="320" t="n"/>
      <c r="E133" s="272" t="n"/>
      <c r="F133" s="275" t="n"/>
      <c r="G133" s="61" t="n"/>
      <c r="H133" s="321">
        <f>ROUND(G133*D133,2)</f>
        <v/>
      </c>
      <c r="I133" s="262" t="n"/>
      <c r="J133" s="263" t="n"/>
      <c r="K133" s="321">
        <f>ROUND(IF($I$28="YES",IF(G133&gt;0,D133*(1-G133),0),0),2)</f>
        <v/>
      </c>
      <c r="L133" s="321">
        <f>ROUND(IF(G133=0,D133,0),2)</f>
        <v/>
      </c>
      <c r="M133" s="321">
        <f>ROUND(IF($I$28="NO",IF(G133&gt;0,D133*(1-G133),0),0),2)</f>
        <v/>
      </c>
      <c r="N133" s="62" t="n"/>
      <c r="O133" s="322">
        <f>ROUND(IF(Z133&lt;0,0,Z133),2)</f>
        <v/>
      </c>
      <c r="P133" s="322">
        <f>ROUND(IF($I$28="YES",IF(AE133&lt;0,0,AE133),0),2)</f>
        <v/>
      </c>
      <c r="Q133" s="100" t="n"/>
      <c r="R133" s="272" t="n"/>
      <c r="S133" s="272" t="n"/>
      <c r="T133" s="272" t="n"/>
      <c r="U133" s="275" t="n"/>
      <c r="V133" s="28" t="n"/>
      <c r="W133" s="323">
        <f>H133</f>
        <v/>
      </c>
      <c r="X133" s="323">
        <f>IF(W133&lt;0,X134,X134+W133)</f>
        <v/>
      </c>
      <c r="Y133" s="323">
        <f>$W$226-X133</f>
        <v/>
      </c>
      <c r="Z133" s="323">
        <f>IF(Y133&lt;0,Y134,H133)</f>
        <v/>
      </c>
      <c r="AA133" s="323" t="n"/>
      <c r="AB133" s="323">
        <f>K133</f>
        <v/>
      </c>
      <c r="AC133" s="323">
        <f>IF(AB133&lt;0,AC134,AC134+AB133)</f>
        <v/>
      </c>
      <c r="AD133" s="323">
        <f>$X$226-AC133</f>
        <v/>
      </c>
      <c r="AE133" s="323">
        <f>IF(AD133&lt;0,AD134,K133)</f>
        <v/>
      </c>
      <c r="AF133" s="323" t="n"/>
    </row>
    <row r="134" hidden="1">
      <c r="B134" s="60" t="n"/>
      <c r="C134" s="60" t="n"/>
      <c r="D134" s="320" t="n"/>
      <c r="E134" s="272" t="n"/>
      <c r="F134" s="275" t="n"/>
      <c r="G134" s="61" t="n"/>
      <c r="H134" s="321">
        <f>ROUND(G134*D134,2)</f>
        <v/>
      </c>
      <c r="I134" s="262" t="n"/>
      <c r="J134" s="263" t="n"/>
      <c r="K134" s="321">
        <f>ROUND(IF($I$28="YES",IF(G134&gt;0,D134*(1-G134),0),0),2)</f>
        <v/>
      </c>
      <c r="L134" s="321">
        <f>ROUND(IF(G134=0,D134,0),2)</f>
        <v/>
      </c>
      <c r="M134" s="321">
        <f>ROUND(IF($I$28="NO",IF(G134&gt;0,D134*(1-G134),0),0),2)</f>
        <v/>
      </c>
      <c r="N134" s="62" t="n"/>
      <c r="O134" s="322">
        <f>ROUND(IF(Z134&lt;0,0,Z134),2)</f>
        <v/>
      </c>
      <c r="P134" s="322">
        <f>ROUND(IF($I$28="YES",IF(AE134&lt;0,0,AE134),0),2)</f>
        <v/>
      </c>
      <c r="Q134" s="100" t="n"/>
      <c r="R134" s="272" t="n"/>
      <c r="S134" s="272" t="n"/>
      <c r="T134" s="272" t="n"/>
      <c r="U134" s="275" t="n"/>
      <c r="V134" s="28" t="n"/>
      <c r="W134" s="323">
        <f>H134</f>
        <v/>
      </c>
      <c r="X134" s="323">
        <f>IF(W134&lt;0,X135,X135+W134)</f>
        <v/>
      </c>
      <c r="Y134" s="323">
        <f>$W$226-X134</f>
        <v/>
      </c>
      <c r="Z134" s="323">
        <f>IF(Y134&lt;0,Y135,H134)</f>
        <v/>
      </c>
      <c r="AA134" s="323" t="n"/>
      <c r="AB134" s="323">
        <f>K134</f>
        <v/>
      </c>
      <c r="AC134" s="323">
        <f>IF(AB134&lt;0,AC135,AC135+AB134)</f>
        <v/>
      </c>
      <c r="AD134" s="323">
        <f>$X$226-AC134</f>
        <v/>
      </c>
      <c r="AE134" s="323">
        <f>IF(AD134&lt;0,AD135,K134)</f>
        <v/>
      </c>
      <c r="AF134" s="323" t="n"/>
    </row>
    <row r="135" hidden="1">
      <c r="B135" s="60" t="n"/>
      <c r="C135" s="60" t="n"/>
      <c r="D135" s="320" t="n"/>
      <c r="E135" s="272" t="n"/>
      <c r="F135" s="275" t="n"/>
      <c r="G135" s="61" t="n"/>
      <c r="H135" s="321">
        <f>ROUND(G135*D135,2)</f>
        <v/>
      </c>
      <c r="I135" s="262" t="n"/>
      <c r="J135" s="263" t="n"/>
      <c r="K135" s="321">
        <f>ROUND(IF($I$28="YES",IF(G135&gt;0,D135*(1-G135),0),0),2)</f>
        <v/>
      </c>
      <c r="L135" s="321">
        <f>ROUND(IF(G135=0,D135,0),2)</f>
        <v/>
      </c>
      <c r="M135" s="321">
        <f>ROUND(IF($I$28="NO",IF(G135&gt;0,D135*(1-G135),0),0),2)</f>
        <v/>
      </c>
      <c r="N135" s="62" t="n"/>
      <c r="O135" s="322">
        <f>ROUND(IF(Z135&lt;0,0,Z135),2)</f>
        <v/>
      </c>
      <c r="P135" s="322">
        <f>ROUND(IF($I$28="YES",IF(AE135&lt;0,0,AE135),0),2)</f>
        <v/>
      </c>
      <c r="Q135" s="100" t="n"/>
      <c r="R135" s="272" t="n"/>
      <c r="S135" s="272" t="n"/>
      <c r="T135" s="272" t="n"/>
      <c r="U135" s="275" t="n"/>
      <c r="V135" s="28" t="n"/>
      <c r="W135" s="323">
        <f>H135</f>
        <v/>
      </c>
      <c r="X135" s="323">
        <f>IF(W135&lt;0,X136,X136+W135)</f>
        <v/>
      </c>
      <c r="Y135" s="323">
        <f>$W$226-X135</f>
        <v/>
      </c>
      <c r="Z135" s="323">
        <f>IF(Y135&lt;0,Y136,H135)</f>
        <v/>
      </c>
      <c r="AA135" s="323" t="n"/>
      <c r="AB135" s="323">
        <f>K135</f>
        <v/>
      </c>
      <c r="AC135" s="323">
        <f>IF(AB135&lt;0,AC136,AC136+AB135)</f>
        <v/>
      </c>
      <c r="AD135" s="323">
        <f>$X$226-AC135</f>
        <v/>
      </c>
      <c r="AE135" s="323">
        <f>IF(AD135&lt;0,AD136,K135)</f>
        <v/>
      </c>
      <c r="AF135" s="323" t="n"/>
    </row>
    <row r="136" hidden="1">
      <c r="B136" s="60" t="n"/>
      <c r="C136" s="60" t="n"/>
      <c r="D136" s="320" t="n"/>
      <c r="E136" s="272" t="n"/>
      <c r="F136" s="275" t="n"/>
      <c r="G136" s="61" t="n"/>
      <c r="H136" s="321">
        <f>ROUND(G136*D136,2)</f>
        <v/>
      </c>
      <c r="I136" s="262" t="n"/>
      <c r="J136" s="263" t="n"/>
      <c r="K136" s="321">
        <f>ROUND(IF($I$28="YES",IF(G136&gt;0,D136*(1-G136),0),0),2)</f>
        <v/>
      </c>
      <c r="L136" s="321">
        <f>ROUND(IF(G136=0,D136,0),2)</f>
        <v/>
      </c>
      <c r="M136" s="321">
        <f>ROUND(IF($I$28="NO",IF(G136&gt;0,D136*(1-G136),0),0),2)</f>
        <v/>
      </c>
      <c r="N136" s="62" t="n"/>
      <c r="O136" s="322">
        <f>ROUND(IF(Z136&lt;0,0,Z136),2)</f>
        <v/>
      </c>
      <c r="P136" s="322">
        <f>ROUND(IF($I$28="YES",IF(AE136&lt;0,0,AE136),0),2)</f>
        <v/>
      </c>
      <c r="Q136" s="100" t="n"/>
      <c r="R136" s="272" t="n"/>
      <c r="S136" s="272" t="n"/>
      <c r="T136" s="272" t="n"/>
      <c r="U136" s="275" t="n"/>
      <c r="V136" s="28" t="n"/>
      <c r="W136" s="323">
        <f>H136</f>
        <v/>
      </c>
      <c r="X136" s="323">
        <f>IF(W136&lt;0,X137,X137+W136)</f>
        <v/>
      </c>
      <c r="Y136" s="323">
        <f>$W$226-X136</f>
        <v/>
      </c>
      <c r="Z136" s="323">
        <f>IF(Y136&lt;0,Y137,H136)</f>
        <v/>
      </c>
      <c r="AA136" s="323" t="n"/>
      <c r="AB136" s="323">
        <f>K136</f>
        <v/>
      </c>
      <c r="AC136" s="323">
        <f>IF(AB136&lt;0,AC137,AC137+AB136)</f>
        <v/>
      </c>
      <c r="AD136" s="323">
        <f>$X$226-AC136</f>
        <v/>
      </c>
      <c r="AE136" s="323">
        <f>IF(AD136&lt;0,AD137,K136)</f>
        <v/>
      </c>
      <c r="AF136" s="323" t="n"/>
    </row>
    <row r="137" hidden="1">
      <c r="B137" s="60" t="n"/>
      <c r="C137" s="60" t="n"/>
      <c r="D137" s="320" t="n"/>
      <c r="E137" s="272" t="n"/>
      <c r="F137" s="275" t="n"/>
      <c r="G137" s="61" t="n"/>
      <c r="H137" s="321">
        <f>ROUND(G137*D137,2)</f>
        <v/>
      </c>
      <c r="I137" s="262" t="n"/>
      <c r="J137" s="263" t="n"/>
      <c r="K137" s="321">
        <f>ROUND(IF($I$28="YES",IF(G137&gt;0,D137*(1-G137),0),0),2)</f>
        <v/>
      </c>
      <c r="L137" s="321">
        <f>ROUND(IF(G137=0,D137,0),2)</f>
        <v/>
      </c>
      <c r="M137" s="321">
        <f>ROUND(IF($I$28="NO",IF(G137&gt;0,D137*(1-G137),0),0),2)</f>
        <v/>
      </c>
      <c r="N137" s="62" t="n"/>
      <c r="O137" s="322">
        <f>ROUND(IF(Z137&lt;0,0,Z137),2)</f>
        <v/>
      </c>
      <c r="P137" s="322">
        <f>ROUND(IF($I$28="YES",IF(AE137&lt;0,0,AE137),0),2)</f>
        <v/>
      </c>
      <c r="Q137" s="100" t="n"/>
      <c r="R137" s="272" t="n"/>
      <c r="S137" s="272" t="n"/>
      <c r="T137" s="272" t="n"/>
      <c r="U137" s="275" t="n"/>
      <c r="V137" s="28" t="n"/>
      <c r="W137" s="323">
        <f>H137</f>
        <v/>
      </c>
      <c r="X137" s="323">
        <f>IF(W137&lt;0,X138,X138+W137)</f>
        <v/>
      </c>
      <c r="Y137" s="323">
        <f>$W$226-X137</f>
        <v/>
      </c>
      <c r="Z137" s="323">
        <f>IF(Y137&lt;0,Y138,H137)</f>
        <v/>
      </c>
      <c r="AA137" s="323" t="n"/>
      <c r="AB137" s="323">
        <f>K137</f>
        <v/>
      </c>
      <c r="AC137" s="323">
        <f>IF(AB137&lt;0,AC138,AC138+AB137)</f>
        <v/>
      </c>
      <c r="AD137" s="323">
        <f>$X$226-AC137</f>
        <v/>
      </c>
      <c r="AE137" s="323">
        <f>IF(AD137&lt;0,AD138,K137)</f>
        <v/>
      </c>
      <c r="AF137" s="323" t="n"/>
    </row>
    <row r="138" hidden="1">
      <c r="B138" s="60" t="n"/>
      <c r="C138" s="60" t="n"/>
      <c r="D138" s="320" t="n"/>
      <c r="E138" s="272" t="n"/>
      <c r="F138" s="275" t="n"/>
      <c r="G138" s="61" t="n"/>
      <c r="H138" s="321">
        <f>ROUND(G138*D138,2)</f>
        <v/>
      </c>
      <c r="I138" s="262" t="n"/>
      <c r="J138" s="263" t="n"/>
      <c r="K138" s="321">
        <f>ROUND(IF($I$28="YES",IF(G138&gt;0,D138*(1-G138),0),0),2)</f>
        <v/>
      </c>
      <c r="L138" s="321">
        <f>ROUND(IF(G138=0,D138,0),2)</f>
        <v/>
      </c>
      <c r="M138" s="321">
        <f>ROUND(IF($I$28="NO",IF(G138&gt;0,D138*(1-G138),0),0),2)</f>
        <v/>
      </c>
      <c r="N138" s="62" t="n"/>
      <c r="O138" s="322">
        <f>ROUND(IF(Z138&lt;0,0,Z138),2)</f>
        <v/>
      </c>
      <c r="P138" s="322">
        <f>ROUND(IF($I$28="YES",IF(AE138&lt;0,0,AE138),0),2)</f>
        <v/>
      </c>
      <c r="Q138" s="100" t="n"/>
      <c r="R138" s="272" t="n"/>
      <c r="S138" s="272" t="n"/>
      <c r="T138" s="272" t="n"/>
      <c r="U138" s="275" t="n"/>
      <c r="V138" s="28" t="n"/>
      <c r="W138" s="323">
        <f>H138</f>
        <v/>
      </c>
      <c r="X138" s="323">
        <f>IF(W138&lt;0,X139,X139+W138)</f>
        <v/>
      </c>
      <c r="Y138" s="323">
        <f>$W$226-X138</f>
        <v/>
      </c>
      <c r="Z138" s="323">
        <f>IF(Y138&lt;0,Y139,H138)</f>
        <v/>
      </c>
      <c r="AA138" s="323" t="n"/>
      <c r="AB138" s="323">
        <f>K138</f>
        <v/>
      </c>
      <c r="AC138" s="323">
        <f>IF(AB138&lt;0,AC139,AC139+AB138)</f>
        <v/>
      </c>
      <c r="AD138" s="323">
        <f>$X$226-AC138</f>
        <v/>
      </c>
      <c r="AE138" s="323">
        <f>IF(AD138&lt;0,AD139,K138)</f>
        <v/>
      </c>
      <c r="AF138" s="323" t="n"/>
    </row>
    <row r="139" hidden="1">
      <c r="B139" s="60" t="n"/>
      <c r="C139" s="60" t="n"/>
      <c r="D139" s="320" t="n"/>
      <c r="E139" s="272" t="n"/>
      <c r="F139" s="275" t="n"/>
      <c r="G139" s="61" t="n"/>
      <c r="H139" s="321">
        <f>ROUND(G139*D139,2)</f>
        <v/>
      </c>
      <c r="I139" s="262" t="n"/>
      <c r="J139" s="263" t="n"/>
      <c r="K139" s="321">
        <f>ROUND(IF($I$28="YES",IF(G139&gt;0,D139*(1-G139),0),0),2)</f>
        <v/>
      </c>
      <c r="L139" s="321">
        <f>ROUND(IF(G139=0,D139,0),2)</f>
        <v/>
      </c>
      <c r="M139" s="321">
        <f>ROUND(IF($I$28="NO",IF(G139&gt;0,D139*(1-G139),0),0),2)</f>
        <v/>
      </c>
      <c r="N139" s="62" t="n"/>
      <c r="O139" s="322">
        <f>ROUND(IF(Z139&lt;0,0,Z139),2)</f>
        <v/>
      </c>
      <c r="P139" s="322">
        <f>ROUND(IF($I$28="YES",IF(AE139&lt;0,0,AE139),0),2)</f>
        <v/>
      </c>
      <c r="Q139" s="100" t="n"/>
      <c r="R139" s="272" t="n"/>
      <c r="S139" s="272" t="n"/>
      <c r="T139" s="272" t="n"/>
      <c r="U139" s="275" t="n"/>
      <c r="V139" s="28" t="n"/>
      <c r="W139" s="323">
        <f>H139</f>
        <v/>
      </c>
      <c r="X139" s="323">
        <f>IF(W139&lt;0,X140,X140+W139)</f>
        <v/>
      </c>
      <c r="Y139" s="323">
        <f>$W$226-X139</f>
        <v/>
      </c>
      <c r="Z139" s="323">
        <f>IF(Y139&lt;0,Y140,H139)</f>
        <v/>
      </c>
      <c r="AA139" s="323" t="n"/>
      <c r="AB139" s="323">
        <f>K139</f>
        <v/>
      </c>
      <c r="AC139" s="323">
        <f>IF(AB139&lt;0,AC140,AC140+AB139)</f>
        <v/>
      </c>
      <c r="AD139" s="323">
        <f>$X$226-AC139</f>
        <v/>
      </c>
      <c r="AE139" s="323">
        <f>IF(AD139&lt;0,AD140,K139)</f>
        <v/>
      </c>
      <c r="AF139" s="323" t="n"/>
    </row>
    <row r="140" hidden="1">
      <c r="B140" s="60" t="n"/>
      <c r="C140" s="60" t="n"/>
      <c r="D140" s="320" t="n"/>
      <c r="E140" s="272" t="n"/>
      <c r="F140" s="275" t="n"/>
      <c r="G140" s="61" t="n"/>
      <c r="H140" s="321">
        <f>ROUND(G140*D140,2)</f>
        <v/>
      </c>
      <c r="I140" s="262" t="n"/>
      <c r="J140" s="263" t="n"/>
      <c r="K140" s="321">
        <f>ROUND(IF($I$28="YES",IF(G140&gt;0,D140*(1-G140),0),0),2)</f>
        <v/>
      </c>
      <c r="L140" s="321">
        <f>ROUND(IF(G140=0,D140,0),2)</f>
        <v/>
      </c>
      <c r="M140" s="321">
        <f>ROUND(IF($I$28="NO",IF(G140&gt;0,D140*(1-G140),0),0),2)</f>
        <v/>
      </c>
      <c r="N140" s="62" t="n"/>
      <c r="O140" s="322">
        <f>ROUND(IF(Z140&lt;0,0,Z140),2)</f>
        <v/>
      </c>
      <c r="P140" s="322">
        <f>ROUND(IF($I$28="YES",IF(AE140&lt;0,0,AE140),0),2)</f>
        <v/>
      </c>
      <c r="Q140" s="100" t="n"/>
      <c r="R140" s="272" t="n"/>
      <c r="S140" s="272" t="n"/>
      <c r="T140" s="272" t="n"/>
      <c r="U140" s="275" t="n"/>
      <c r="V140" s="28" t="n"/>
      <c r="W140" s="323">
        <f>H140</f>
        <v/>
      </c>
      <c r="X140" s="323">
        <f>IF(W140&lt;0,X141,X141+W140)</f>
        <v/>
      </c>
      <c r="Y140" s="323">
        <f>$W$226-X140</f>
        <v/>
      </c>
      <c r="Z140" s="323">
        <f>IF(Y140&lt;0,Y141,H140)</f>
        <v/>
      </c>
      <c r="AA140" s="323" t="n"/>
      <c r="AB140" s="323">
        <f>K140</f>
        <v/>
      </c>
      <c r="AC140" s="323">
        <f>IF(AB140&lt;0,AC141,AC141+AB140)</f>
        <v/>
      </c>
      <c r="AD140" s="323">
        <f>$X$226-AC140</f>
        <v/>
      </c>
      <c r="AE140" s="323">
        <f>IF(AD140&lt;0,AD141,K140)</f>
        <v/>
      </c>
      <c r="AF140" s="323" t="n"/>
    </row>
    <row r="141" hidden="1">
      <c r="B141" s="60" t="n"/>
      <c r="C141" s="60" t="n"/>
      <c r="D141" s="320" t="n"/>
      <c r="E141" s="272" t="n"/>
      <c r="F141" s="275" t="n"/>
      <c r="G141" s="61" t="n"/>
      <c r="H141" s="321">
        <f>ROUND(G141*D141,2)</f>
        <v/>
      </c>
      <c r="I141" s="262" t="n"/>
      <c r="J141" s="263" t="n"/>
      <c r="K141" s="321">
        <f>ROUND(IF($I$28="YES",IF(G141&gt;0,D141*(1-G141),0),0),2)</f>
        <v/>
      </c>
      <c r="L141" s="321">
        <f>ROUND(IF(G141=0,D141,0),2)</f>
        <v/>
      </c>
      <c r="M141" s="321">
        <f>ROUND(IF($I$28="NO",IF(G141&gt;0,D141*(1-G141),0),0),2)</f>
        <v/>
      </c>
      <c r="N141" s="62" t="n"/>
      <c r="O141" s="322">
        <f>ROUND(IF(Z141&lt;0,0,Z141),2)</f>
        <v/>
      </c>
      <c r="P141" s="322">
        <f>ROUND(IF($I$28="YES",IF(AE141&lt;0,0,AE141),0),2)</f>
        <v/>
      </c>
      <c r="Q141" s="100" t="n"/>
      <c r="R141" s="272" t="n"/>
      <c r="S141" s="272" t="n"/>
      <c r="T141" s="272" t="n"/>
      <c r="U141" s="275" t="n"/>
      <c r="V141" s="28" t="n"/>
      <c r="W141" s="323">
        <f>H141</f>
        <v/>
      </c>
      <c r="X141" s="323">
        <f>IF(W141&lt;0,X142,X142+W141)</f>
        <v/>
      </c>
      <c r="Y141" s="323">
        <f>$W$226-X141</f>
        <v/>
      </c>
      <c r="Z141" s="323">
        <f>IF(Y141&lt;0,Y142,H141)</f>
        <v/>
      </c>
      <c r="AA141" s="323" t="n"/>
      <c r="AB141" s="323">
        <f>K141</f>
        <v/>
      </c>
      <c r="AC141" s="323">
        <f>IF(AB141&lt;0,AC142,AC142+AB141)</f>
        <v/>
      </c>
      <c r="AD141" s="323">
        <f>$X$226-AC141</f>
        <v/>
      </c>
      <c r="AE141" s="323">
        <f>IF(AD141&lt;0,AD142,K141)</f>
        <v/>
      </c>
      <c r="AF141" s="323" t="n"/>
    </row>
    <row r="142" hidden="1">
      <c r="B142" s="60" t="n"/>
      <c r="C142" s="60" t="n"/>
      <c r="D142" s="320" t="n"/>
      <c r="E142" s="272" t="n"/>
      <c r="F142" s="275" t="n"/>
      <c r="G142" s="61" t="n"/>
      <c r="H142" s="321">
        <f>ROUND(G142*D142,2)</f>
        <v/>
      </c>
      <c r="I142" s="262" t="n"/>
      <c r="J142" s="263" t="n"/>
      <c r="K142" s="321">
        <f>ROUND(IF($I$28="YES",IF(G142&gt;0,D142*(1-G142),0),0),2)</f>
        <v/>
      </c>
      <c r="L142" s="321">
        <f>ROUND(IF(G142=0,D142,0),2)</f>
        <v/>
      </c>
      <c r="M142" s="321">
        <f>ROUND(IF($I$28="NO",IF(G142&gt;0,D142*(1-G142),0),0),2)</f>
        <v/>
      </c>
      <c r="N142" s="62" t="n"/>
      <c r="O142" s="322">
        <f>ROUND(IF(Z142&lt;0,0,Z142),2)</f>
        <v/>
      </c>
      <c r="P142" s="322">
        <f>ROUND(IF($I$28="YES",IF(AE142&lt;0,0,AE142),0),2)</f>
        <v/>
      </c>
      <c r="Q142" s="100" t="n"/>
      <c r="R142" s="272" t="n"/>
      <c r="S142" s="272" t="n"/>
      <c r="T142" s="272" t="n"/>
      <c r="U142" s="275" t="n"/>
      <c r="V142" s="28" t="n"/>
      <c r="W142" s="323">
        <f>H142</f>
        <v/>
      </c>
      <c r="X142" s="323">
        <f>IF(W142&lt;0,X143,X143+W142)</f>
        <v/>
      </c>
      <c r="Y142" s="323">
        <f>$W$226-X142</f>
        <v/>
      </c>
      <c r="Z142" s="323">
        <f>IF(Y142&lt;0,Y143,H142)</f>
        <v/>
      </c>
      <c r="AA142" s="323" t="n"/>
      <c r="AB142" s="323">
        <f>K142</f>
        <v/>
      </c>
      <c r="AC142" s="323">
        <f>IF(AB142&lt;0,AC143,AC143+AB142)</f>
        <v/>
      </c>
      <c r="AD142" s="323">
        <f>$X$226-AC142</f>
        <v/>
      </c>
      <c r="AE142" s="323">
        <f>IF(AD142&lt;0,AD143,K142)</f>
        <v/>
      </c>
      <c r="AF142" s="323" t="n"/>
    </row>
    <row r="143" hidden="1">
      <c r="B143" s="60" t="n"/>
      <c r="C143" s="60" t="n"/>
      <c r="D143" s="320" t="n"/>
      <c r="E143" s="272" t="n"/>
      <c r="F143" s="275" t="n"/>
      <c r="G143" s="61" t="n"/>
      <c r="H143" s="321">
        <f>ROUND(G143*D143,2)</f>
        <v/>
      </c>
      <c r="I143" s="262" t="n"/>
      <c r="J143" s="263" t="n"/>
      <c r="K143" s="321">
        <f>ROUND(IF($I$28="YES",IF(G143&gt;0,D143*(1-G143),0),0),2)</f>
        <v/>
      </c>
      <c r="L143" s="321">
        <f>ROUND(IF(G143=0,D143,0),2)</f>
        <v/>
      </c>
      <c r="M143" s="321">
        <f>ROUND(IF($I$28="NO",IF(G143&gt;0,D143*(1-G143),0),0),2)</f>
        <v/>
      </c>
      <c r="N143" s="62" t="n"/>
      <c r="O143" s="322">
        <f>ROUND(IF(Z143&lt;0,0,Z143),2)</f>
        <v/>
      </c>
      <c r="P143" s="322">
        <f>ROUND(IF($I$28="YES",IF(AE143&lt;0,0,AE143),0),2)</f>
        <v/>
      </c>
      <c r="Q143" s="100" t="n"/>
      <c r="R143" s="272" t="n"/>
      <c r="S143" s="272" t="n"/>
      <c r="T143" s="272" t="n"/>
      <c r="U143" s="275" t="n"/>
      <c r="V143" s="28" t="n"/>
      <c r="W143" s="323">
        <f>H143</f>
        <v/>
      </c>
      <c r="X143" s="323">
        <f>IF(W143&lt;0,X144,X144+W143)</f>
        <v/>
      </c>
      <c r="Y143" s="323">
        <f>$W$226-X143</f>
        <v/>
      </c>
      <c r="Z143" s="323">
        <f>IF(Y143&lt;0,Y144,H143)</f>
        <v/>
      </c>
      <c r="AA143" s="323" t="n"/>
      <c r="AB143" s="323">
        <f>K143</f>
        <v/>
      </c>
      <c r="AC143" s="323">
        <f>IF(AB143&lt;0,AC144,AC144+AB143)</f>
        <v/>
      </c>
      <c r="AD143" s="323">
        <f>$X$226-AC143</f>
        <v/>
      </c>
      <c r="AE143" s="323">
        <f>IF(AD143&lt;0,AD144,K143)</f>
        <v/>
      </c>
      <c r="AF143" s="323" t="n"/>
    </row>
    <row r="144" hidden="1">
      <c r="B144" s="60" t="n"/>
      <c r="C144" s="60" t="n"/>
      <c r="D144" s="320" t="n"/>
      <c r="E144" s="272" t="n"/>
      <c r="F144" s="275" t="n"/>
      <c r="G144" s="61" t="n"/>
      <c r="H144" s="321">
        <f>ROUND(G144*D144,2)</f>
        <v/>
      </c>
      <c r="I144" s="262" t="n"/>
      <c r="J144" s="263" t="n"/>
      <c r="K144" s="321">
        <f>ROUND(IF($I$28="YES",IF(G144&gt;0,D144*(1-G144),0),0),2)</f>
        <v/>
      </c>
      <c r="L144" s="321">
        <f>ROUND(IF(G144=0,D144,0),2)</f>
        <v/>
      </c>
      <c r="M144" s="321">
        <f>ROUND(IF($I$28="NO",IF(G144&gt;0,D144*(1-G144),0),0),2)</f>
        <v/>
      </c>
      <c r="N144" s="62" t="n"/>
      <c r="O144" s="322">
        <f>ROUND(IF(Z144&lt;0,0,Z144),2)</f>
        <v/>
      </c>
      <c r="P144" s="322">
        <f>ROUND(IF($I$28="YES",IF(AE144&lt;0,0,AE144),0),2)</f>
        <v/>
      </c>
      <c r="Q144" s="100" t="n"/>
      <c r="R144" s="272" t="n"/>
      <c r="S144" s="272" t="n"/>
      <c r="T144" s="272" t="n"/>
      <c r="U144" s="275" t="n"/>
      <c r="V144" s="28" t="n"/>
      <c r="W144" s="323">
        <f>H144</f>
        <v/>
      </c>
      <c r="X144" s="323">
        <f>IF(W144&lt;0,X145,X145+W144)</f>
        <v/>
      </c>
      <c r="Y144" s="323">
        <f>$W$226-X144</f>
        <v/>
      </c>
      <c r="Z144" s="323">
        <f>IF(Y144&lt;0,Y145,H144)</f>
        <v/>
      </c>
      <c r="AA144" s="323" t="n"/>
      <c r="AB144" s="323">
        <f>K144</f>
        <v/>
      </c>
      <c r="AC144" s="323">
        <f>IF(AB144&lt;0,AC145,AC145+AB144)</f>
        <v/>
      </c>
      <c r="AD144" s="323">
        <f>$X$226-AC144</f>
        <v/>
      </c>
      <c r="AE144" s="323">
        <f>IF(AD144&lt;0,AD145,K144)</f>
        <v/>
      </c>
      <c r="AF144" s="323" t="n"/>
    </row>
    <row r="145" hidden="1">
      <c r="B145" s="60" t="n"/>
      <c r="C145" s="60" t="n"/>
      <c r="D145" s="320" t="n"/>
      <c r="E145" s="272" t="n"/>
      <c r="F145" s="275" t="n"/>
      <c r="G145" s="61" t="n"/>
      <c r="H145" s="321">
        <f>ROUND(G145*D145,2)</f>
        <v/>
      </c>
      <c r="I145" s="262" t="n"/>
      <c r="J145" s="263" t="n"/>
      <c r="K145" s="321">
        <f>ROUND(IF($I$28="YES",IF(G145&gt;0,D145*(1-G145),0),0),2)</f>
        <v/>
      </c>
      <c r="L145" s="321">
        <f>ROUND(IF(G145=0,D145,0),2)</f>
        <v/>
      </c>
      <c r="M145" s="321">
        <f>ROUND(IF($I$28="NO",IF(G145&gt;0,D145*(1-G145),0),0),2)</f>
        <v/>
      </c>
      <c r="N145" s="62" t="n"/>
      <c r="O145" s="322">
        <f>ROUND(IF(Z145&lt;0,0,Z145),2)</f>
        <v/>
      </c>
      <c r="P145" s="322">
        <f>ROUND(IF($I$28="YES",IF(AE145&lt;0,0,AE145),0),2)</f>
        <v/>
      </c>
      <c r="Q145" s="100" t="n"/>
      <c r="R145" s="272" t="n"/>
      <c r="S145" s="272" t="n"/>
      <c r="T145" s="272" t="n"/>
      <c r="U145" s="275" t="n"/>
      <c r="V145" s="28" t="n"/>
      <c r="W145" s="323">
        <f>H145</f>
        <v/>
      </c>
      <c r="X145" s="323">
        <f>IF(W145&lt;0,X146,X146+W145)</f>
        <v/>
      </c>
      <c r="Y145" s="323">
        <f>$W$226-X145</f>
        <v/>
      </c>
      <c r="Z145" s="323">
        <f>IF(Y145&lt;0,Y146,H145)</f>
        <v/>
      </c>
      <c r="AA145" s="323" t="n"/>
      <c r="AB145" s="323">
        <f>K145</f>
        <v/>
      </c>
      <c r="AC145" s="323">
        <f>IF(AB145&lt;0,AC146,AC146+AB145)</f>
        <v/>
      </c>
      <c r="AD145" s="323">
        <f>$X$226-AC145</f>
        <v/>
      </c>
      <c r="AE145" s="323">
        <f>IF(AD145&lt;0,AD146,K145)</f>
        <v/>
      </c>
      <c r="AF145" s="323" t="n"/>
    </row>
    <row r="146" hidden="1">
      <c r="B146" s="60" t="n"/>
      <c r="C146" s="60" t="n"/>
      <c r="D146" s="324" t="n"/>
      <c r="E146" s="272" t="n"/>
      <c r="F146" s="275" t="n"/>
      <c r="G146" s="61" t="n"/>
      <c r="H146" s="321">
        <f>ROUND(G146*D146,2)</f>
        <v/>
      </c>
      <c r="I146" s="262" t="n"/>
      <c r="J146" s="263" t="n"/>
      <c r="K146" s="321">
        <f>ROUND(IF($I$28="YES",IF(G146&gt;0,D146*(1-G146),0),0),2)</f>
        <v/>
      </c>
      <c r="L146" s="321">
        <f>ROUND(IF(G146=0,D146,0),2)</f>
        <v/>
      </c>
      <c r="M146" s="321">
        <f>ROUND(IF($I$28="NO",IF(G146&gt;0,D146*(1-G146),0),0),2)</f>
        <v/>
      </c>
      <c r="N146" s="62" t="n"/>
      <c r="O146" s="322">
        <f>ROUND(IF(Z146&lt;0,0,Z146),2)</f>
        <v/>
      </c>
      <c r="P146" s="322">
        <f>ROUND(IF($I$28="YES",IF(AE146&lt;0,0,AE146),0),2)</f>
        <v/>
      </c>
      <c r="Q146" s="100" t="n"/>
      <c r="R146" s="272" t="n"/>
      <c r="S146" s="272" t="n"/>
      <c r="T146" s="272" t="n"/>
      <c r="U146" s="275" t="n"/>
      <c r="V146" s="28" t="n"/>
      <c r="W146" s="323">
        <f>H146</f>
        <v/>
      </c>
      <c r="X146" s="323">
        <f>IF(W146&lt;0,X147,X147+W146)</f>
        <v/>
      </c>
      <c r="Y146" s="323">
        <f>$W$226-X146</f>
        <v/>
      </c>
      <c r="Z146" s="323">
        <f>IF(Y146&lt;0,Y147,H146)</f>
        <v/>
      </c>
      <c r="AA146" s="323" t="n"/>
      <c r="AB146" s="323">
        <f>K146</f>
        <v/>
      </c>
      <c r="AC146" s="323">
        <f>IF(AB146&lt;0,AC147,AC147+AB146)</f>
        <v/>
      </c>
      <c r="AD146" s="323">
        <f>$X$226-AC146</f>
        <v/>
      </c>
      <c r="AE146" s="323">
        <f>IF(AD146&lt;0,AD147,K146)</f>
        <v/>
      </c>
      <c r="AF146" s="323" t="n"/>
    </row>
    <row r="147" hidden="1">
      <c r="B147" s="60" t="n"/>
      <c r="C147" s="60" t="n"/>
      <c r="D147" s="324" t="n"/>
      <c r="E147" s="272" t="n"/>
      <c r="F147" s="275" t="n"/>
      <c r="G147" s="61" t="n"/>
      <c r="H147" s="321">
        <f>ROUND(G147*D147,2)</f>
        <v/>
      </c>
      <c r="I147" s="262" t="n"/>
      <c r="J147" s="263" t="n"/>
      <c r="K147" s="321">
        <f>ROUND(IF($I$28="YES",IF(G147&gt;0,D147*(1-G147),0),0),2)</f>
        <v/>
      </c>
      <c r="L147" s="321">
        <f>ROUND(IF(G147=0,D147,0),2)</f>
        <v/>
      </c>
      <c r="M147" s="321">
        <f>ROUND(IF($I$28="NO",IF(G147&gt;0,D147*(1-G147),0),0),2)</f>
        <v/>
      </c>
      <c r="N147" s="62" t="n"/>
      <c r="O147" s="322">
        <f>ROUND(IF(Z147&lt;0,0,Z147),2)</f>
        <v/>
      </c>
      <c r="P147" s="322">
        <f>ROUND(IF($I$28="YES",IF(AE147&lt;0,0,AE147),0),2)</f>
        <v/>
      </c>
      <c r="Q147" s="100" t="n"/>
      <c r="R147" s="272" t="n"/>
      <c r="S147" s="272" t="n"/>
      <c r="T147" s="272" t="n"/>
      <c r="U147" s="275" t="n"/>
      <c r="V147" s="28" t="n"/>
      <c r="W147" s="323">
        <f>H147</f>
        <v/>
      </c>
      <c r="X147" s="323">
        <f>IF(W147&lt;0,X148,X148+W147)</f>
        <v/>
      </c>
      <c r="Y147" s="323">
        <f>$W$226-X147</f>
        <v/>
      </c>
      <c r="Z147" s="323">
        <f>IF(Y147&lt;0,Y148,H147)</f>
        <v/>
      </c>
      <c r="AA147" s="323" t="n"/>
      <c r="AB147" s="323">
        <f>K147</f>
        <v/>
      </c>
      <c r="AC147" s="323">
        <f>IF(AB147&lt;0,AC148,AC148+AB147)</f>
        <v/>
      </c>
      <c r="AD147" s="323">
        <f>$X$226-AC147</f>
        <v/>
      </c>
      <c r="AE147" s="323">
        <f>IF(AD147&lt;0,AD148,K147)</f>
        <v/>
      </c>
      <c r="AF147" s="323" t="n"/>
    </row>
    <row r="148" hidden="1">
      <c r="B148" s="60" t="n"/>
      <c r="C148" s="60" t="n"/>
      <c r="D148" s="324" t="n"/>
      <c r="E148" s="272" t="n"/>
      <c r="F148" s="275" t="n"/>
      <c r="G148" s="61" t="n"/>
      <c r="H148" s="321">
        <f>ROUND(G148*D148,2)</f>
        <v/>
      </c>
      <c r="I148" s="262" t="n"/>
      <c r="J148" s="263" t="n"/>
      <c r="K148" s="321">
        <f>ROUND(IF($I$28="YES",IF(G148&gt;0,D148*(1-G148),0),0),2)</f>
        <v/>
      </c>
      <c r="L148" s="321">
        <f>ROUND(IF(G148=0,D148,0),2)</f>
        <v/>
      </c>
      <c r="M148" s="321">
        <f>ROUND(IF($I$28="NO",IF(G148&gt;0,D148*(1-G148),0),0),2)</f>
        <v/>
      </c>
      <c r="N148" s="62" t="n"/>
      <c r="O148" s="322">
        <f>ROUND(IF(Z148&lt;0,0,Z148),2)</f>
        <v/>
      </c>
      <c r="P148" s="322">
        <f>ROUND(IF($I$28="YES",IF(AE148&lt;0,0,AE148),0),2)</f>
        <v/>
      </c>
      <c r="Q148" s="100" t="n"/>
      <c r="R148" s="272" t="n"/>
      <c r="S148" s="272" t="n"/>
      <c r="T148" s="272" t="n"/>
      <c r="U148" s="275" t="n"/>
      <c r="V148" s="28" t="n"/>
      <c r="W148" s="323">
        <f>H148</f>
        <v/>
      </c>
      <c r="X148" s="323">
        <f>IF(W148&lt;0,X149,X149+W148)</f>
        <v/>
      </c>
      <c r="Y148" s="323">
        <f>$W$226-X148</f>
        <v/>
      </c>
      <c r="Z148" s="323">
        <f>IF(Y148&lt;0,Y149,H148)</f>
        <v/>
      </c>
      <c r="AA148" s="323" t="n"/>
      <c r="AB148" s="323">
        <f>K148</f>
        <v/>
      </c>
      <c r="AC148" s="323">
        <f>IF(AB148&lt;0,AC149,AC149+AB148)</f>
        <v/>
      </c>
      <c r="AD148" s="323">
        <f>$X$226-AC148</f>
        <v/>
      </c>
      <c r="AE148" s="323">
        <f>IF(AD148&lt;0,AD149,K148)</f>
        <v/>
      </c>
      <c r="AF148" s="323" t="n"/>
    </row>
    <row r="149" hidden="1">
      <c r="B149" s="60" t="n"/>
      <c r="C149" s="60" t="n"/>
      <c r="D149" s="324" t="n"/>
      <c r="E149" s="272" t="n"/>
      <c r="F149" s="275" t="n"/>
      <c r="G149" s="61" t="n"/>
      <c r="H149" s="321">
        <f>ROUND(G149*D149,2)</f>
        <v/>
      </c>
      <c r="I149" s="262" t="n"/>
      <c r="J149" s="263" t="n"/>
      <c r="K149" s="321">
        <f>ROUND(IF($I$28="YES",IF(G149&gt;0,D149*(1-G149),0),0),2)</f>
        <v/>
      </c>
      <c r="L149" s="321">
        <f>ROUND(IF(G149=0,D149,0),2)</f>
        <v/>
      </c>
      <c r="M149" s="321">
        <f>ROUND(IF($I$28="NO",IF(G149&gt;0,D149*(1-G149),0),0),2)</f>
        <v/>
      </c>
      <c r="N149" s="62" t="n"/>
      <c r="O149" s="322">
        <f>ROUND(IF(Z149&lt;0,0,Z149),2)</f>
        <v/>
      </c>
      <c r="P149" s="322">
        <f>ROUND(IF($I$28="YES",IF(AE149&lt;0,0,AE149),0),2)</f>
        <v/>
      </c>
      <c r="Q149" s="100" t="n"/>
      <c r="R149" s="272" t="n"/>
      <c r="S149" s="272" t="n"/>
      <c r="T149" s="272" t="n"/>
      <c r="U149" s="275" t="n"/>
      <c r="V149" s="28" t="n"/>
      <c r="W149" s="323">
        <f>H149</f>
        <v/>
      </c>
      <c r="X149" s="323">
        <f>IF(W149&lt;0,X150,X150+W149)</f>
        <v/>
      </c>
      <c r="Y149" s="323">
        <f>$W$226-X149</f>
        <v/>
      </c>
      <c r="Z149" s="323">
        <f>IF(Y149&lt;0,Y150,H149)</f>
        <v/>
      </c>
      <c r="AA149" s="323" t="n"/>
      <c r="AB149" s="323">
        <f>K149</f>
        <v/>
      </c>
      <c r="AC149" s="323">
        <f>IF(AB149&lt;0,AC150,AC150+AB149)</f>
        <v/>
      </c>
      <c r="AD149" s="323">
        <f>$X$226-AC149</f>
        <v/>
      </c>
      <c r="AE149" s="323">
        <f>IF(AD149&lt;0,AD150,K149)</f>
        <v/>
      </c>
      <c r="AF149" s="323" t="n"/>
    </row>
    <row r="150" hidden="1">
      <c r="B150" s="60" t="n"/>
      <c r="C150" s="60" t="n"/>
      <c r="D150" s="324" t="n"/>
      <c r="E150" s="272" t="n"/>
      <c r="F150" s="275" t="n"/>
      <c r="G150" s="61" t="n"/>
      <c r="H150" s="321">
        <f>ROUND(G150*D150,2)</f>
        <v/>
      </c>
      <c r="I150" s="262" t="n"/>
      <c r="J150" s="263" t="n"/>
      <c r="K150" s="321">
        <f>ROUND(IF($I$28="YES",IF(G150&gt;0,D150*(1-G150),0),0),2)</f>
        <v/>
      </c>
      <c r="L150" s="321">
        <f>ROUND(IF(G150=0,D150,0),2)</f>
        <v/>
      </c>
      <c r="M150" s="321">
        <f>ROUND(IF($I$28="NO",IF(G150&gt;0,D150*(1-G150),0),0),2)</f>
        <v/>
      </c>
      <c r="N150" s="62" t="n"/>
      <c r="O150" s="322">
        <f>ROUND(IF(Z150&lt;0,0,Z150),2)</f>
        <v/>
      </c>
      <c r="P150" s="322">
        <f>ROUND(IF($I$28="YES",IF(AE150&lt;0,0,AE150),0),2)</f>
        <v/>
      </c>
      <c r="Q150" s="100" t="n"/>
      <c r="R150" s="272" t="n"/>
      <c r="S150" s="272" t="n"/>
      <c r="T150" s="272" t="n"/>
      <c r="U150" s="275" t="n"/>
      <c r="V150" s="28" t="n"/>
      <c r="W150" s="323">
        <f>H150</f>
        <v/>
      </c>
      <c r="X150" s="323">
        <f>IF(W150&lt;0,X151,X151+W150)</f>
        <v/>
      </c>
      <c r="Y150" s="323">
        <f>$W$226-X150</f>
        <v/>
      </c>
      <c r="Z150" s="323">
        <f>IF(Y150&lt;0,Y151,H150)</f>
        <v/>
      </c>
      <c r="AA150" s="323" t="n"/>
      <c r="AB150" s="323">
        <f>K150</f>
        <v/>
      </c>
      <c r="AC150" s="323">
        <f>IF(AB150&lt;0,AC151,AC151+AB150)</f>
        <v/>
      </c>
      <c r="AD150" s="323">
        <f>$X$226-AC150</f>
        <v/>
      </c>
      <c r="AE150" s="323">
        <f>IF(AD150&lt;0,AD151,K150)</f>
        <v/>
      </c>
      <c r="AF150" s="323" t="n"/>
    </row>
    <row r="151" hidden="1">
      <c r="B151" s="60" t="n"/>
      <c r="C151" s="60" t="n"/>
      <c r="D151" s="324" t="n"/>
      <c r="E151" s="272" t="n"/>
      <c r="F151" s="275" t="n"/>
      <c r="G151" s="61" t="n"/>
      <c r="H151" s="321">
        <f>ROUND(G151*D151,2)</f>
        <v/>
      </c>
      <c r="I151" s="262" t="n"/>
      <c r="J151" s="263" t="n"/>
      <c r="K151" s="321">
        <f>ROUND(IF($I$28="YES",IF(G151&gt;0,D151*(1-G151),0),0),2)</f>
        <v/>
      </c>
      <c r="L151" s="321">
        <f>ROUND(IF(G151=0,D151,0),2)</f>
        <v/>
      </c>
      <c r="M151" s="321">
        <f>ROUND(IF($I$28="NO",IF(G151&gt;0,D151*(1-G151),0),0),2)</f>
        <v/>
      </c>
      <c r="N151" s="62" t="n"/>
      <c r="O151" s="322">
        <f>ROUND(IF(Z151&lt;0,0,Z151),2)</f>
        <v/>
      </c>
      <c r="P151" s="322">
        <f>ROUND(IF($I$28="YES",IF(AE151&lt;0,0,AE151),0),2)</f>
        <v/>
      </c>
      <c r="Q151" s="100" t="n"/>
      <c r="R151" s="272" t="n"/>
      <c r="S151" s="272" t="n"/>
      <c r="T151" s="272" t="n"/>
      <c r="U151" s="275" t="n"/>
      <c r="V151" s="28" t="n"/>
      <c r="W151" s="323">
        <f>H151</f>
        <v/>
      </c>
      <c r="X151" s="323">
        <f>IF(W151&lt;0,X152,X152+W151)</f>
        <v/>
      </c>
      <c r="Y151" s="323">
        <f>$W$226-X151</f>
        <v/>
      </c>
      <c r="Z151" s="323">
        <f>IF(Y151&lt;0,Y152,H151)</f>
        <v/>
      </c>
      <c r="AA151" s="323" t="n"/>
      <c r="AB151" s="323">
        <f>K151</f>
        <v/>
      </c>
      <c r="AC151" s="323">
        <f>IF(AB151&lt;0,AC152,AC152+AB151)</f>
        <v/>
      </c>
      <c r="AD151" s="323">
        <f>$X$226-AC151</f>
        <v/>
      </c>
      <c r="AE151" s="323">
        <f>IF(AD151&lt;0,AD152,K151)</f>
        <v/>
      </c>
      <c r="AF151" s="323" t="n"/>
    </row>
    <row r="152" hidden="1">
      <c r="B152" s="60" t="n"/>
      <c r="C152" s="60" t="n"/>
      <c r="D152" s="324" t="n"/>
      <c r="E152" s="272" t="n"/>
      <c r="F152" s="275" t="n"/>
      <c r="G152" s="61" t="n"/>
      <c r="H152" s="321">
        <f>ROUND(G152*D152,2)</f>
        <v/>
      </c>
      <c r="I152" s="262" t="n"/>
      <c r="J152" s="263" t="n"/>
      <c r="K152" s="321">
        <f>ROUND(IF($I$28="YES",IF(G152&gt;0,D152*(1-G152),0),0),2)</f>
        <v/>
      </c>
      <c r="L152" s="321">
        <f>ROUND(IF(G152=0,D152,0),2)</f>
        <v/>
      </c>
      <c r="M152" s="321">
        <f>ROUND(IF($I$28="NO",IF(G152&gt;0,D152*(1-G152),0),0),2)</f>
        <v/>
      </c>
      <c r="N152" s="62" t="n"/>
      <c r="O152" s="322">
        <f>ROUND(IF(Z152&lt;0,0,Z152),2)</f>
        <v/>
      </c>
      <c r="P152" s="322">
        <f>ROUND(IF($I$28="YES",IF(AE152&lt;0,0,AE152),0),2)</f>
        <v/>
      </c>
      <c r="Q152" s="100" t="n"/>
      <c r="R152" s="272" t="n"/>
      <c r="S152" s="272" t="n"/>
      <c r="T152" s="272" t="n"/>
      <c r="U152" s="275" t="n"/>
      <c r="V152" s="28" t="n"/>
      <c r="W152" s="323">
        <f>H152</f>
        <v/>
      </c>
      <c r="X152" s="323">
        <f>IF(W152&lt;0,X153,X153+W152)</f>
        <v/>
      </c>
      <c r="Y152" s="323">
        <f>$W$226-X152</f>
        <v/>
      </c>
      <c r="Z152" s="323">
        <f>IF(Y152&lt;0,Y153,H152)</f>
        <v/>
      </c>
      <c r="AA152" s="323" t="n"/>
      <c r="AB152" s="323">
        <f>K152</f>
        <v/>
      </c>
      <c r="AC152" s="323">
        <f>IF(AB152&lt;0,AC153,AC153+AB152)</f>
        <v/>
      </c>
      <c r="AD152" s="323">
        <f>$X$226-AC152</f>
        <v/>
      </c>
      <c r="AE152" s="323">
        <f>IF(AD152&lt;0,AD153,K152)</f>
        <v/>
      </c>
      <c r="AF152" s="323" t="n"/>
    </row>
    <row r="153" hidden="1">
      <c r="B153" s="60" t="n"/>
      <c r="C153" s="60" t="n"/>
      <c r="D153" s="324" t="n"/>
      <c r="E153" s="272" t="n"/>
      <c r="F153" s="275" t="n"/>
      <c r="G153" s="61" t="n"/>
      <c r="H153" s="321">
        <f>ROUND(G153*D153,2)</f>
        <v/>
      </c>
      <c r="I153" s="262" t="n"/>
      <c r="J153" s="263" t="n"/>
      <c r="K153" s="321">
        <f>ROUND(IF($I$28="YES",IF(G153&gt;0,D153*(1-G153),0),0),2)</f>
        <v/>
      </c>
      <c r="L153" s="321">
        <f>ROUND(IF(G153=0,D153,0),2)</f>
        <v/>
      </c>
      <c r="M153" s="321">
        <f>ROUND(IF($I$28="NO",IF(G153&gt;0,D153*(1-G153),0),0),2)</f>
        <v/>
      </c>
      <c r="N153" s="62" t="n"/>
      <c r="O153" s="322">
        <f>ROUND(IF(Z153&lt;0,0,Z153),2)</f>
        <v/>
      </c>
      <c r="P153" s="322">
        <f>ROUND(IF($I$28="YES",IF(AE153&lt;0,0,AE153),0),2)</f>
        <v/>
      </c>
      <c r="Q153" s="100" t="n"/>
      <c r="R153" s="272" t="n"/>
      <c r="S153" s="272" t="n"/>
      <c r="T153" s="272" t="n"/>
      <c r="U153" s="275" t="n"/>
      <c r="V153" s="28" t="n"/>
      <c r="W153" s="323">
        <f>H153</f>
        <v/>
      </c>
      <c r="X153" s="323">
        <f>IF(W153&lt;0,X154,X154+W153)</f>
        <v/>
      </c>
      <c r="Y153" s="323">
        <f>$W$226-X153</f>
        <v/>
      </c>
      <c r="Z153" s="323">
        <f>IF(Y153&lt;0,Y154,H153)</f>
        <v/>
      </c>
      <c r="AA153" s="323" t="n"/>
      <c r="AB153" s="323">
        <f>K153</f>
        <v/>
      </c>
      <c r="AC153" s="323">
        <f>IF(AB153&lt;0,AC154,AC154+AB153)</f>
        <v/>
      </c>
      <c r="AD153" s="323">
        <f>$X$226-AC153</f>
        <v/>
      </c>
      <c r="AE153" s="323">
        <f>IF(AD153&lt;0,AD154,K153)</f>
        <v/>
      </c>
      <c r="AF153" s="323" t="n"/>
    </row>
    <row r="154" hidden="1">
      <c r="B154" s="60" t="n"/>
      <c r="C154" s="60" t="n"/>
      <c r="D154" s="324" t="n"/>
      <c r="E154" s="272" t="n"/>
      <c r="F154" s="275" t="n"/>
      <c r="G154" s="61" t="n"/>
      <c r="H154" s="321">
        <f>ROUND(G154*D154,2)</f>
        <v/>
      </c>
      <c r="I154" s="262" t="n"/>
      <c r="J154" s="263" t="n"/>
      <c r="K154" s="321">
        <f>ROUND(IF($I$28="YES",IF(G154&gt;0,D154*(1-G154),0),0),2)</f>
        <v/>
      </c>
      <c r="L154" s="321">
        <f>ROUND(IF(G154=0,D154,0),2)</f>
        <v/>
      </c>
      <c r="M154" s="321">
        <f>ROUND(IF($I$28="NO",IF(G154&gt;0,D154*(1-G154),0),0),2)</f>
        <v/>
      </c>
      <c r="N154" s="62" t="n"/>
      <c r="O154" s="322">
        <f>ROUND(IF(Z154&lt;0,0,Z154),2)</f>
        <v/>
      </c>
      <c r="P154" s="322">
        <f>ROUND(IF($I$28="YES",IF(AE154&lt;0,0,AE154),0),2)</f>
        <v/>
      </c>
      <c r="Q154" s="100" t="n"/>
      <c r="R154" s="272" t="n"/>
      <c r="S154" s="272" t="n"/>
      <c r="T154" s="272" t="n"/>
      <c r="U154" s="275" t="n"/>
      <c r="V154" s="28" t="n"/>
      <c r="W154" s="323">
        <f>H154</f>
        <v/>
      </c>
      <c r="X154" s="323">
        <f>IF(W154&lt;0,X155,X155+W154)</f>
        <v/>
      </c>
      <c r="Y154" s="323">
        <f>$W$226-X154</f>
        <v/>
      </c>
      <c r="Z154" s="323">
        <f>IF(Y154&lt;0,Y155,H154)</f>
        <v/>
      </c>
      <c r="AA154" s="323" t="n"/>
      <c r="AB154" s="323">
        <f>K154</f>
        <v/>
      </c>
      <c r="AC154" s="323">
        <f>IF(AB154&lt;0,AC155,AC155+AB154)</f>
        <v/>
      </c>
      <c r="AD154" s="323">
        <f>$X$226-AC154</f>
        <v/>
      </c>
      <c r="AE154" s="323">
        <f>IF(AD154&lt;0,AD155,K154)</f>
        <v/>
      </c>
      <c r="AF154" s="323" t="n"/>
    </row>
    <row r="155" hidden="1">
      <c r="B155" s="60" t="n"/>
      <c r="C155" s="60" t="n"/>
      <c r="D155" s="324" t="n"/>
      <c r="E155" s="272" t="n"/>
      <c r="F155" s="275" t="n"/>
      <c r="G155" s="61" t="n"/>
      <c r="H155" s="321">
        <f>ROUND(G155*D155,2)</f>
        <v/>
      </c>
      <c r="I155" s="262" t="n"/>
      <c r="J155" s="263" t="n"/>
      <c r="K155" s="321">
        <f>ROUND(IF($I$28="YES",IF(G155&gt;0,D155*(1-G155),0),0),2)</f>
        <v/>
      </c>
      <c r="L155" s="321">
        <f>ROUND(IF(G155=0,D155,0),2)</f>
        <v/>
      </c>
      <c r="M155" s="321">
        <f>ROUND(IF($I$28="NO",IF(G155&gt;0,D155*(1-G155),0),0),2)</f>
        <v/>
      </c>
      <c r="N155" s="62" t="n"/>
      <c r="O155" s="322">
        <f>ROUND(IF(Z155&lt;0,0,Z155),2)</f>
        <v/>
      </c>
      <c r="P155" s="322">
        <f>ROUND(IF($I$28="YES",IF(AE155&lt;0,0,AE155),0),2)</f>
        <v/>
      </c>
      <c r="Q155" s="100" t="n"/>
      <c r="R155" s="272" t="n"/>
      <c r="S155" s="272" t="n"/>
      <c r="T155" s="272" t="n"/>
      <c r="U155" s="275" t="n"/>
      <c r="V155" s="28" t="n"/>
      <c r="W155" s="323">
        <f>H155</f>
        <v/>
      </c>
      <c r="X155" s="323">
        <f>IF(W155&lt;0,X156,X156+W155)</f>
        <v/>
      </c>
      <c r="Y155" s="323">
        <f>$W$226-X155</f>
        <v/>
      </c>
      <c r="Z155" s="323">
        <f>IF(Y155&lt;0,Y156,H155)</f>
        <v/>
      </c>
      <c r="AA155" s="323" t="n"/>
      <c r="AB155" s="323">
        <f>K155</f>
        <v/>
      </c>
      <c r="AC155" s="323">
        <f>IF(AB155&lt;0,AC156,AC156+AB155)</f>
        <v/>
      </c>
      <c r="AD155" s="323">
        <f>$X$226-AC155</f>
        <v/>
      </c>
      <c r="AE155" s="323">
        <f>IF(AD155&lt;0,AD156,K155)</f>
        <v/>
      </c>
      <c r="AF155" s="323" t="n"/>
    </row>
    <row r="156" hidden="1">
      <c r="B156" s="60" t="n"/>
      <c r="C156" s="60" t="n"/>
      <c r="D156" s="324" t="n"/>
      <c r="E156" s="272" t="n"/>
      <c r="F156" s="275" t="n"/>
      <c r="G156" s="61" t="n"/>
      <c r="H156" s="321">
        <f>ROUND(G156*D156,2)</f>
        <v/>
      </c>
      <c r="I156" s="262" t="n"/>
      <c r="J156" s="263" t="n"/>
      <c r="K156" s="321">
        <f>ROUND(IF($I$28="YES",IF(G156&gt;0,D156*(1-G156),0),0),2)</f>
        <v/>
      </c>
      <c r="L156" s="321">
        <f>ROUND(IF(G156=0,D156,0),2)</f>
        <v/>
      </c>
      <c r="M156" s="321">
        <f>ROUND(IF($I$28="NO",IF(G156&gt;0,D156*(1-G156),0),0),2)</f>
        <v/>
      </c>
      <c r="N156" s="62" t="n"/>
      <c r="O156" s="322">
        <f>ROUND(IF(Z156&lt;0,0,Z156),2)</f>
        <v/>
      </c>
      <c r="P156" s="322">
        <f>ROUND(IF($I$28="YES",IF(AE156&lt;0,0,AE156),0),2)</f>
        <v/>
      </c>
      <c r="Q156" s="100" t="n"/>
      <c r="R156" s="272" t="n"/>
      <c r="S156" s="272" t="n"/>
      <c r="T156" s="272" t="n"/>
      <c r="U156" s="275" t="n"/>
      <c r="V156" s="28" t="n"/>
      <c r="W156" s="323">
        <f>H156</f>
        <v/>
      </c>
      <c r="X156" s="323">
        <f>IF(W156&lt;0,X157,X157+W156)</f>
        <v/>
      </c>
      <c r="Y156" s="323">
        <f>$W$226-X156</f>
        <v/>
      </c>
      <c r="Z156" s="323">
        <f>IF(Y156&lt;0,Y157,H156)</f>
        <v/>
      </c>
      <c r="AA156" s="323" t="n"/>
      <c r="AB156" s="323">
        <f>K156</f>
        <v/>
      </c>
      <c r="AC156" s="323">
        <f>IF(AB156&lt;0,AC157,AC157+AB156)</f>
        <v/>
      </c>
      <c r="AD156" s="323">
        <f>$X$226-AC156</f>
        <v/>
      </c>
      <c r="AE156" s="323">
        <f>IF(AD156&lt;0,AD157,K156)</f>
        <v/>
      </c>
      <c r="AF156" s="323" t="n"/>
    </row>
    <row r="157" hidden="1">
      <c r="B157" s="60" t="n"/>
      <c r="C157" s="60" t="n"/>
      <c r="D157" s="324" t="n"/>
      <c r="E157" s="272" t="n"/>
      <c r="F157" s="275" t="n"/>
      <c r="G157" s="61" t="n"/>
      <c r="H157" s="321">
        <f>ROUND(G157*D157,2)</f>
        <v/>
      </c>
      <c r="I157" s="262" t="n"/>
      <c r="J157" s="263" t="n"/>
      <c r="K157" s="321">
        <f>ROUND(IF($I$28="YES",IF(G157&gt;0,D157*(1-G157),0),0),2)</f>
        <v/>
      </c>
      <c r="L157" s="321">
        <f>ROUND(IF(G157=0,D157,0),2)</f>
        <v/>
      </c>
      <c r="M157" s="321">
        <f>ROUND(IF($I$28="NO",IF(G157&gt;0,D157*(1-G157),0),0),2)</f>
        <v/>
      </c>
      <c r="N157" s="62" t="n"/>
      <c r="O157" s="322">
        <f>ROUND(IF(Z157&lt;0,0,Z157),2)</f>
        <v/>
      </c>
      <c r="P157" s="322">
        <f>ROUND(IF($I$28="YES",IF(AE157&lt;0,0,AE157),0),2)</f>
        <v/>
      </c>
      <c r="Q157" s="100" t="n"/>
      <c r="R157" s="272" t="n"/>
      <c r="S157" s="272" t="n"/>
      <c r="T157" s="272" t="n"/>
      <c r="U157" s="275" t="n"/>
      <c r="V157" s="28" t="n"/>
      <c r="W157" s="323">
        <f>H157</f>
        <v/>
      </c>
      <c r="X157" s="323">
        <f>IF(W157&lt;0,X158,X158+W157)</f>
        <v/>
      </c>
      <c r="Y157" s="323">
        <f>$W$226-X157</f>
        <v/>
      </c>
      <c r="Z157" s="323">
        <f>IF(Y157&lt;0,Y158,H157)</f>
        <v/>
      </c>
      <c r="AA157" s="323" t="n"/>
      <c r="AB157" s="323">
        <f>K157</f>
        <v/>
      </c>
      <c r="AC157" s="323">
        <f>IF(AB157&lt;0,AC158,AC158+AB157)</f>
        <v/>
      </c>
      <c r="AD157" s="323">
        <f>$X$226-AC157</f>
        <v/>
      </c>
      <c r="AE157" s="323">
        <f>IF(AD157&lt;0,AD158,K157)</f>
        <v/>
      </c>
      <c r="AF157" s="323" t="n"/>
    </row>
    <row r="158" hidden="1">
      <c r="B158" s="60" t="n"/>
      <c r="C158" s="60" t="n"/>
      <c r="D158" s="324" t="n"/>
      <c r="E158" s="272" t="n"/>
      <c r="F158" s="275" t="n"/>
      <c r="G158" s="61" t="n"/>
      <c r="H158" s="321">
        <f>ROUND(G158*D158,2)</f>
        <v/>
      </c>
      <c r="I158" s="262" t="n"/>
      <c r="J158" s="263" t="n"/>
      <c r="K158" s="321">
        <f>ROUND(IF($I$28="YES",IF(G158&gt;0,D158*(1-G158),0),0),2)</f>
        <v/>
      </c>
      <c r="L158" s="321">
        <f>ROUND(IF(G158=0,D158,0),2)</f>
        <v/>
      </c>
      <c r="M158" s="321">
        <f>ROUND(IF($I$28="NO",IF(G158&gt;0,D158*(1-G158),0),0),2)</f>
        <v/>
      </c>
      <c r="N158" s="62" t="n"/>
      <c r="O158" s="322">
        <f>ROUND(IF(Z158&lt;0,0,Z158),2)</f>
        <v/>
      </c>
      <c r="P158" s="322">
        <f>ROUND(IF($I$28="YES",IF(AE158&lt;0,0,AE158),0),2)</f>
        <v/>
      </c>
      <c r="Q158" s="100" t="n"/>
      <c r="R158" s="272" t="n"/>
      <c r="S158" s="272" t="n"/>
      <c r="T158" s="272" t="n"/>
      <c r="U158" s="275" t="n"/>
      <c r="V158" s="28" t="n"/>
      <c r="W158" s="323">
        <f>H158</f>
        <v/>
      </c>
      <c r="X158" s="323">
        <f>IF(W158&lt;0,X159,X159+W158)</f>
        <v/>
      </c>
      <c r="Y158" s="323">
        <f>$W$226-X158</f>
        <v/>
      </c>
      <c r="Z158" s="323">
        <f>IF(Y158&lt;0,Y159,H158)</f>
        <v/>
      </c>
      <c r="AA158" s="323" t="n"/>
      <c r="AB158" s="323">
        <f>K158</f>
        <v/>
      </c>
      <c r="AC158" s="323">
        <f>IF(AB158&lt;0,AC159,AC159+AB158)</f>
        <v/>
      </c>
      <c r="AD158" s="323">
        <f>$X$226-AC158</f>
        <v/>
      </c>
      <c r="AE158" s="323">
        <f>IF(AD158&lt;0,AD159,K158)</f>
        <v/>
      </c>
      <c r="AF158" s="323" t="n"/>
    </row>
    <row r="159" hidden="1">
      <c r="B159" s="60" t="n"/>
      <c r="C159" s="60" t="n"/>
      <c r="D159" s="324" t="n"/>
      <c r="E159" s="272" t="n"/>
      <c r="F159" s="275" t="n"/>
      <c r="G159" s="61" t="n"/>
      <c r="H159" s="321">
        <f>ROUND(G159*D159,2)</f>
        <v/>
      </c>
      <c r="I159" s="262" t="n"/>
      <c r="J159" s="263" t="n"/>
      <c r="K159" s="321">
        <f>ROUND(IF($I$28="YES",IF(G159&gt;0,D159*(1-G159),0),0),2)</f>
        <v/>
      </c>
      <c r="L159" s="321">
        <f>ROUND(IF(G159=0,D159,0),2)</f>
        <v/>
      </c>
      <c r="M159" s="321">
        <f>ROUND(IF($I$28="NO",IF(G159&gt;0,D159*(1-G159),0),0),2)</f>
        <v/>
      </c>
      <c r="N159" s="62" t="n"/>
      <c r="O159" s="322">
        <f>ROUND(IF(Z159&lt;0,0,Z159),2)</f>
        <v/>
      </c>
      <c r="P159" s="322">
        <f>ROUND(IF($I$28="YES",IF(AE159&lt;0,0,AE159),0),2)</f>
        <v/>
      </c>
      <c r="Q159" s="100" t="n"/>
      <c r="R159" s="272" t="n"/>
      <c r="S159" s="272" t="n"/>
      <c r="T159" s="272" t="n"/>
      <c r="U159" s="275" t="n"/>
      <c r="V159" s="28" t="n"/>
      <c r="W159" s="323">
        <f>H159</f>
        <v/>
      </c>
      <c r="X159" s="323">
        <f>IF(W159&lt;0,X160,X160+W159)</f>
        <v/>
      </c>
      <c r="Y159" s="323">
        <f>$W$226-X159</f>
        <v/>
      </c>
      <c r="Z159" s="323">
        <f>IF(Y159&lt;0,Y160,H159)</f>
        <v/>
      </c>
      <c r="AA159" s="323" t="n"/>
      <c r="AB159" s="323">
        <f>K159</f>
        <v/>
      </c>
      <c r="AC159" s="323">
        <f>IF(AB159&lt;0,AC160,AC160+AB159)</f>
        <v/>
      </c>
      <c r="AD159" s="323">
        <f>$X$226-AC159</f>
        <v/>
      </c>
      <c r="AE159" s="323">
        <f>IF(AD159&lt;0,AD160,K159)</f>
        <v/>
      </c>
      <c r="AF159" s="323" t="n"/>
    </row>
    <row r="160" hidden="1">
      <c r="B160" s="60" t="n"/>
      <c r="C160" s="60" t="n"/>
      <c r="D160" s="324" t="n"/>
      <c r="E160" s="272" t="n"/>
      <c r="F160" s="275" t="n"/>
      <c r="G160" s="61" t="n"/>
      <c r="H160" s="321">
        <f>ROUND(G160*D160,2)</f>
        <v/>
      </c>
      <c r="I160" s="262" t="n"/>
      <c r="J160" s="263" t="n"/>
      <c r="K160" s="321">
        <f>ROUND(IF($I$28="YES",IF(G160&gt;0,D160*(1-G160),0),0),2)</f>
        <v/>
      </c>
      <c r="L160" s="321">
        <f>ROUND(IF(G160=0,D160,0),2)</f>
        <v/>
      </c>
      <c r="M160" s="321">
        <f>ROUND(IF($I$28="NO",IF(G160&gt;0,D160*(1-G160),0),0),2)</f>
        <v/>
      </c>
      <c r="N160" s="62" t="n"/>
      <c r="O160" s="322">
        <f>ROUND(IF(Z160&lt;0,0,Z160),2)</f>
        <v/>
      </c>
      <c r="P160" s="322">
        <f>ROUND(IF($I$28="YES",IF(AE160&lt;0,0,AE160),0),2)</f>
        <v/>
      </c>
      <c r="Q160" s="100" t="n"/>
      <c r="R160" s="272" t="n"/>
      <c r="S160" s="272" t="n"/>
      <c r="T160" s="272" t="n"/>
      <c r="U160" s="275" t="n"/>
      <c r="V160" s="28" t="n"/>
      <c r="W160" s="323">
        <f>H160</f>
        <v/>
      </c>
      <c r="X160" s="323">
        <f>IF(W160&lt;0,X161,X161+W160)</f>
        <v/>
      </c>
      <c r="Y160" s="323">
        <f>$W$226-X160</f>
        <v/>
      </c>
      <c r="Z160" s="323">
        <f>IF(Y160&lt;0,Y161,H160)</f>
        <v/>
      </c>
      <c r="AA160" s="323" t="n"/>
      <c r="AB160" s="323">
        <f>K160</f>
        <v/>
      </c>
      <c r="AC160" s="323">
        <f>IF(AB160&lt;0,AC161,AC161+AB160)</f>
        <v/>
      </c>
      <c r="AD160" s="323">
        <f>$X$226-AC160</f>
        <v/>
      </c>
      <c r="AE160" s="323">
        <f>IF(AD160&lt;0,AD161,K160)</f>
        <v/>
      </c>
      <c r="AF160" s="323" t="n"/>
    </row>
    <row r="161" hidden="1">
      <c r="B161" s="60" t="n"/>
      <c r="C161" s="60" t="n"/>
      <c r="D161" s="324" t="n"/>
      <c r="E161" s="272" t="n"/>
      <c r="F161" s="275" t="n"/>
      <c r="G161" s="61" t="n"/>
      <c r="H161" s="321">
        <f>ROUND(G161*D161,2)</f>
        <v/>
      </c>
      <c r="I161" s="262" t="n"/>
      <c r="J161" s="263" t="n"/>
      <c r="K161" s="321">
        <f>ROUND(IF($I$28="YES",IF(G161&gt;0,D161*(1-G161),0),0),2)</f>
        <v/>
      </c>
      <c r="L161" s="321">
        <f>ROUND(IF(G161=0,D161,0),2)</f>
        <v/>
      </c>
      <c r="M161" s="321">
        <f>ROUND(IF($I$28="NO",IF(G161&gt;0,D161*(1-G161),0),0),2)</f>
        <v/>
      </c>
      <c r="N161" s="62" t="n"/>
      <c r="O161" s="322">
        <f>ROUND(IF(Z161&lt;0,0,Z161),2)</f>
        <v/>
      </c>
      <c r="P161" s="322">
        <f>ROUND(IF($I$28="YES",IF(AE161&lt;0,0,AE161),0),2)</f>
        <v/>
      </c>
      <c r="Q161" s="100" t="n"/>
      <c r="R161" s="272" t="n"/>
      <c r="S161" s="272" t="n"/>
      <c r="T161" s="272" t="n"/>
      <c r="U161" s="275" t="n"/>
      <c r="V161" s="28" t="n"/>
      <c r="W161" s="323">
        <f>H161</f>
        <v/>
      </c>
      <c r="X161" s="323">
        <f>IF(W161&lt;0,X162,X162+W161)</f>
        <v/>
      </c>
      <c r="Y161" s="323">
        <f>$W$226-X161</f>
        <v/>
      </c>
      <c r="Z161" s="323">
        <f>IF(Y161&lt;0,Y162,H161)</f>
        <v/>
      </c>
      <c r="AA161" s="323" t="n"/>
      <c r="AB161" s="323">
        <f>K161</f>
        <v/>
      </c>
      <c r="AC161" s="323">
        <f>IF(AB161&lt;0,AC162,AC162+AB161)</f>
        <v/>
      </c>
      <c r="AD161" s="323">
        <f>$X$226-AC161</f>
        <v/>
      </c>
      <c r="AE161" s="323">
        <f>IF(AD161&lt;0,AD162,K161)</f>
        <v/>
      </c>
      <c r="AF161" s="323" t="n"/>
    </row>
    <row r="162" hidden="1">
      <c r="B162" s="60" t="n"/>
      <c r="C162" s="60" t="n"/>
      <c r="D162" s="324" t="n"/>
      <c r="E162" s="272" t="n"/>
      <c r="F162" s="275" t="n"/>
      <c r="G162" s="61" t="n"/>
      <c r="H162" s="321">
        <f>ROUND(G162*D162,2)</f>
        <v/>
      </c>
      <c r="I162" s="262" t="n"/>
      <c r="J162" s="263" t="n"/>
      <c r="K162" s="321">
        <f>ROUND(IF($I$28="YES",IF(G162&gt;0,D162*(1-G162),0),0),2)</f>
        <v/>
      </c>
      <c r="L162" s="321">
        <f>ROUND(IF(G162=0,D162,0),2)</f>
        <v/>
      </c>
      <c r="M162" s="321">
        <f>ROUND(IF($I$28="NO",IF(G162&gt;0,D162*(1-G162),0),0),2)</f>
        <v/>
      </c>
      <c r="N162" s="62" t="n"/>
      <c r="O162" s="322">
        <f>ROUND(IF(Z162&lt;0,0,Z162),2)</f>
        <v/>
      </c>
      <c r="P162" s="322">
        <f>ROUND(IF($I$28="YES",IF(AE162&lt;0,0,AE162),0),2)</f>
        <v/>
      </c>
      <c r="Q162" s="100" t="n"/>
      <c r="R162" s="272" t="n"/>
      <c r="S162" s="272" t="n"/>
      <c r="T162" s="272" t="n"/>
      <c r="U162" s="275" t="n"/>
      <c r="V162" s="28" t="n"/>
      <c r="W162" s="323">
        <f>H162</f>
        <v/>
      </c>
      <c r="X162" s="323">
        <f>IF(W162&lt;0,X163,X163+W162)</f>
        <v/>
      </c>
      <c r="Y162" s="323">
        <f>$W$226-X162</f>
        <v/>
      </c>
      <c r="Z162" s="323">
        <f>IF(Y162&lt;0,Y163,H162)</f>
        <v/>
      </c>
      <c r="AA162" s="323" t="n"/>
      <c r="AB162" s="323">
        <f>K162</f>
        <v/>
      </c>
      <c r="AC162" s="323">
        <f>IF(AB162&lt;0,AC163,AC163+AB162)</f>
        <v/>
      </c>
      <c r="AD162" s="323">
        <f>$X$226-AC162</f>
        <v/>
      </c>
      <c r="AE162" s="323">
        <f>IF(AD162&lt;0,AD163,K162)</f>
        <v/>
      </c>
      <c r="AF162" s="323" t="n"/>
    </row>
    <row r="163" hidden="1">
      <c r="B163" s="60" t="n"/>
      <c r="C163" s="60" t="n"/>
      <c r="D163" s="324" t="n"/>
      <c r="E163" s="272" t="n"/>
      <c r="F163" s="275" t="n"/>
      <c r="G163" s="61" t="n"/>
      <c r="H163" s="321">
        <f>ROUND(G163*D163,2)</f>
        <v/>
      </c>
      <c r="I163" s="262" t="n"/>
      <c r="J163" s="263" t="n"/>
      <c r="K163" s="321">
        <f>ROUND(IF($I$28="YES",IF(G163&gt;0,D163*(1-G163),0),0),2)</f>
        <v/>
      </c>
      <c r="L163" s="321">
        <f>ROUND(IF(G163=0,D163,0),2)</f>
        <v/>
      </c>
      <c r="M163" s="321">
        <f>ROUND(IF($I$28="NO",IF(G163&gt;0,D163*(1-G163),0),0),2)</f>
        <v/>
      </c>
      <c r="N163" s="62" t="n"/>
      <c r="O163" s="322">
        <f>ROUND(IF(Z163&lt;0,0,Z163),2)</f>
        <v/>
      </c>
      <c r="P163" s="322">
        <f>ROUND(IF($I$28="YES",IF(AE163&lt;0,0,AE163),0),2)</f>
        <v/>
      </c>
      <c r="Q163" s="100" t="n"/>
      <c r="R163" s="272" t="n"/>
      <c r="S163" s="272" t="n"/>
      <c r="T163" s="272" t="n"/>
      <c r="U163" s="275" t="n"/>
      <c r="V163" s="28" t="n"/>
      <c r="W163" s="323">
        <f>H163</f>
        <v/>
      </c>
      <c r="X163" s="323">
        <f>IF(W163&lt;0,X164,X164+W163)</f>
        <v/>
      </c>
      <c r="Y163" s="323">
        <f>$W$226-X163</f>
        <v/>
      </c>
      <c r="Z163" s="323">
        <f>IF(Y163&lt;0,Y164,H163)</f>
        <v/>
      </c>
      <c r="AA163" s="323" t="n"/>
      <c r="AB163" s="323">
        <f>K163</f>
        <v/>
      </c>
      <c r="AC163" s="323">
        <f>IF(AB163&lt;0,AC164,AC164+AB163)</f>
        <v/>
      </c>
      <c r="AD163" s="323">
        <f>$X$226-AC163</f>
        <v/>
      </c>
      <c r="AE163" s="323">
        <f>IF(AD163&lt;0,AD164,K163)</f>
        <v/>
      </c>
      <c r="AF163" s="323" t="n"/>
    </row>
    <row r="164" hidden="1">
      <c r="B164" s="60" t="n"/>
      <c r="C164" s="60" t="n"/>
      <c r="D164" s="324" t="n"/>
      <c r="E164" s="272" t="n"/>
      <c r="F164" s="275" t="n"/>
      <c r="G164" s="61" t="n"/>
      <c r="H164" s="321">
        <f>ROUND(G164*D164,2)</f>
        <v/>
      </c>
      <c r="I164" s="262" t="n"/>
      <c r="J164" s="263" t="n"/>
      <c r="K164" s="321">
        <f>ROUND(IF($I$28="YES",IF(G164&gt;0,D164*(1-G164),0),0),2)</f>
        <v/>
      </c>
      <c r="L164" s="321">
        <f>ROUND(IF(G164=0,D164,0),2)</f>
        <v/>
      </c>
      <c r="M164" s="321">
        <f>ROUND(IF($I$28="NO",IF(G164&gt;0,D164*(1-G164),0),0),2)</f>
        <v/>
      </c>
      <c r="N164" s="62" t="n"/>
      <c r="O164" s="322">
        <f>ROUND(IF(Z164&lt;0,0,Z164),2)</f>
        <v/>
      </c>
      <c r="P164" s="322">
        <f>ROUND(IF($I$28="YES",IF(AE164&lt;0,0,AE164),0),2)</f>
        <v/>
      </c>
      <c r="Q164" s="100" t="n"/>
      <c r="R164" s="272" t="n"/>
      <c r="S164" s="272" t="n"/>
      <c r="T164" s="272" t="n"/>
      <c r="U164" s="275" t="n"/>
      <c r="V164" s="28" t="n"/>
      <c r="W164" s="323">
        <f>H164</f>
        <v/>
      </c>
      <c r="X164" s="323">
        <f>IF(W164&lt;0,X165,X165+W164)</f>
        <v/>
      </c>
      <c r="Y164" s="323">
        <f>$W$226-X164</f>
        <v/>
      </c>
      <c r="Z164" s="323">
        <f>IF(Y164&lt;0,Y165,H164)</f>
        <v/>
      </c>
      <c r="AA164" s="323" t="n"/>
      <c r="AB164" s="323">
        <f>K164</f>
        <v/>
      </c>
      <c r="AC164" s="323">
        <f>IF(AB164&lt;0,AC165,AC165+AB164)</f>
        <v/>
      </c>
      <c r="AD164" s="323">
        <f>$X$226-AC164</f>
        <v/>
      </c>
      <c r="AE164" s="323">
        <f>IF(AD164&lt;0,AD165,K164)</f>
        <v/>
      </c>
      <c r="AF164" s="323" t="n"/>
    </row>
    <row r="165" hidden="1">
      <c r="B165" s="60" t="n"/>
      <c r="C165" s="60" t="n"/>
      <c r="D165" s="324" t="n"/>
      <c r="E165" s="272" t="n"/>
      <c r="F165" s="275" t="n"/>
      <c r="G165" s="61" t="n"/>
      <c r="H165" s="321">
        <f>ROUND(G165*D165,2)</f>
        <v/>
      </c>
      <c r="I165" s="262" t="n"/>
      <c r="J165" s="263" t="n"/>
      <c r="K165" s="321">
        <f>ROUND(IF($I$28="YES",IF(G165&gt;0,D165*(1-G165),0),0),2)</f>
        <v/>
      </c>
      <c r="L165" s="321">
        <f>ROUND(IF(G165=0,D165,0),2)</f>
        <v/>
      </c>
      <c r="M165" s="321">
        <f>ROUND(IF($I$28="NO",IF(G165&gt;0,D165*(1-G165),0),0),2)</f>
        <v/>
      </c>
      <c r="N165" s="62" t="n"/>
      <c r="O165" s="322">
        <f>ROUND(IF(Z165&lt;0,0,Z165),2)</f>
        <v/>
      </c>
      <c r="P165" s="322">
        <f>ROUND(IF($I$28="YES",IF(AE165&lt;0,0,AE165),0),2)</f>
        <v/>
      </c>
      <c r="Q165" s="100" t="n"/>
      <c r="R165" s="272" t="n"/>
      <c r="S165" s="272" t="n"/>
      <c r="T165" s="272" t="n"/>
      <c r="U165" s="275" t="n"/>
      <c r="V165" s="28" t="n"/>
      <c r="W165" s="323">
        <f>H165</f>
        <v/>
      </c>
      <c r="X165" s="323">
        <f>IF(W165&lt;0,X166,X166+W165)</f>
        <v/>
      </c>
      <c r="Y165" s="323">
        <f>$W$226-X165</f>
        <v/>
      </c>
      <c r="Z165" s="323">
        <f>IF(Y165&lt;0,Y166,H165)</f>
        <v/>
      </c>
      <c r="AA165" s="323" t="n"/>
      <c r="AB165" s="323">
        <f>K165</f>
        <v/>
      </c>
      <c r="AC165" s="323">
        <f>IF(AB165&lt;0,AC166,AC166+AB165)</f>
        <v/>
      </c>
      <c r="AD165" s="323">
        <f>$X$226-AC165</f>
        <v/>
      </c>
      <c r="AE165" s="323">
        <f>IF(AD165&lt;0,AD166,K165)</f>
        <v/>
      </c>
      <c r="AF165" s="323" t="n"/>
    </row>
    <row r="166" hidden="1">
      <c r="B166" s="60" t="n"/>
      <c r="C166" s="60" t="n"/>
      <c r="D166" s="324" t="n"/>
      <c r="E166" s="272" t="n"/>
      <c r="F166" s="275" t="n"/>
      <c r="G166" s="61" t="n"/>
      <c r="H166" s="321">
        <f>ROUND(G166*D166,2)</f>
        <v/>
      </c>
      <c r="I166" s="262" t="n"/>
      <c r="J166" s="263" t="n"/>
      <c r="K166" s="321">
        <f>ROUND(IF($I$28="YES",IF(G166&gt;0,D166*(1-G166),0),0),2)</f>
        <v/>
      </c>
      <c r="L166" s="321">
        <f>ROUND(IF(G166=0,D166,0),2)</f>
        <v/>
      </c>
      <c r="M166" s="321">
        <f>ROUND(IF($I$28="NO",IF(G166&gt;0,D166*(1-G166),0),0),2)</f>
        <v/>
      </c>
      <c r="N166" s="62" t="n"/>
      <c r="O166" s="322">
        <f>ROUND(IF(Z166&lt;0,0,Z166),2)</f>
        <v/>
      </c>
      <c r="P166" s="322">
        <f>ROUND(IF($I$28="YES",IF(AE166&lt;0,0,AE166),0),2)</f>
        <v/>
      </c>
      <c r="Q166" s="100" t="n"/>
      <c r="R166" s="272" t="n"/>
      <c r="S166" s="272" t="n"/>
      <c r="T166" s="272" t="n"/>
      <c r="U166" s="275" t="n"/>
      <c r="V166" s="28" t="n"/>
      <c r="W166" s="323">
        <f>H166</f>
        <v/>
      </c>
      <c r="X166" s="323">
        <f>IF(W166&lt;0,X167,X167+W166)</f>
        <v/>
      </c>
      <c r="Y166" s="323">
        <f>$W$226-X166</f>
        <v/>
      </c>
      <c r="Z166" s="323">
        <f>IF(Y166&lt;0,Y167,H166)</f>
        <v/>
      </c>
      <c r="AA166" s="323" t="n"/>
      <c r="AB166" s="323">
        <f>K166</f>
        <v/>
      </c>
      <c r="AC166" s="323">
        <f>IF(AB166&lt;0,AC167,AC167+AB166)</f>
        <v/>
      </c>
      <c r="AD166" s="323">
        <f>$X$226-AC166</f>
        <v/>
      </c>
      <c r="AE166" s="323">
        <f>IF(AD166&lt;0,AD167,K166)</f>
        <v/>
      </c>
      <c r="AF166" s="323" t="n"/>
    </row>
    <row r="167" hidden="1">
      <c r="B167" s="60" t="n"/>
      <c r="C167" s="60" t="n"/>
      <c r="D167" s="324" t="n"/>
      <c r="E167" s="272" t="n"/>
      <c r="F167" s="275" t="n"/>
      <c r="G167" s="61" t="n"/>
      <c r="H167" s="321">
        <f>ROUND(G167*D167,2)</f>
        <v/>
      </c>
      <c r="I167" s="262" t="n"/>
      <c r="J167" s="263" t="n"/>
      <c r="K167" s="321">
        <f>ROUND(IF($I$28="YES",IF(G167&gt;0,D167*(1-G167),0),0),2)</f>
        <v/>
      </c>
      <c r="L167" s="321">
        <f>ROUND(IF(G167=0,D167,0),2)</f>
        <v/>
      </c>
      <c r="M167" s="321">
        <f>ROUND(IF($I$28="NO",IF(G167&gt;0,D167*(1-G167),0),0),2)</f>
        <v/>
      </c>
      <c r="N167" s="62" t="n"/>
      <c r="O167" s="322">
        <f>ROUND(IF(Z167&lt;0,0,Z167),2)</f>
        <v/>
      </c>
      <c r="P167" s="322">
        <f>ROUND(IF($I$28="YES",IF(AE167&lt;0,0,AE167),0),2)</f>
        <v/>
      </c>
      <c r="Q167" s="100" t="n"/>
      <c r="R167" s="272" t="n"/>
      <c r="S167" s="272" t="n"/>
      <c r="T167" s="272" t="n"/>
      <c r="U167" s="275" t="n"/>
      <c r="V167" s="28" t="n"/>
      <c r="W167" s="323">
        <f>H167</f>
        <v/>
      </c>
      <c r="X167" s="323">
        <f>IF(W167&lt;0,X168,X168+W167)</f>
        <v/>
      </c>
      <c r="Y167" s="323">
        <f>$W$226-X167</f>
        <v/>
      </c>
      <c r="Z167" s="323">
        <f>IF(Y167&lt;0,Y168,H167)</f>
        <v/>
      </c>
      <c r="AA167" s="323" t="n"/>
      <c r="AB167" s="323">
        <f>K167</f>
        <v/>
      </c>
      <c r="AC167" s="323">
        <f>IF(AB167&lt;0,AC168,AC168+AB167)</f>
        <v/>
      </c>
      <c r="AD167" s="323">
        <f>$X$226-AC167</f>
        <v/>
      </c>
      <c r="AE167" s="323">
        <f>IF(AD167&lt;0,AD168,K167)</f>
        <v/>
      </c>
      <c r="AF167" s="323" t="n"/>
    </row>
    <row r="168" hidden="1">
      <c r="B168" s="60" t="n"/>
      <c r="C168" s="60" t="n"/>
      <c r="D168" s="324" t="n"/>
      <c r="E168" s="272" t="n"/>
      <c r="F168" s="275" t="n"/>
      <c r="G168" s="61" t="n"/>
      <c r="H168" s="321">
        <f>ROUND(G168*D168,2)</f>
        <v/>
      </c>
      <c r="I168" s="262" t="n"/>
      <c r="J168" s="263" t="n"/>
      <c r="K168" s="321">
        <f>ROUND(IF($I$28="YES",IF(G168&gt;0,D168*(1-G168),0),0),2)</f>
        <v/>
      </c>
      <c r="L168" s="321">
        <f>ROUND(IF(G168=0,D168,0),2)</f>
        <v/>
      </c>
      <c r="M168" s="321">
        <f>ROUND(IF($I$28="NO",IF(G168&gt;0,D168*(1-G168),0),0),2)</f>
        <v/>
      </c>
      <c r="N168" s="62" t="n"/>
      <c r="O168" s="322">
        <f>ROUND(IF(Z168&lt;0,0,Z168),2)</f>
        <v/>
      </c>
      <c r="P168" s="322">
        <f>ROUND(IF($I$28="YES",IF(AE168&lt;0,0,AE168),0),2)</f>
        <v/>
      </c>
      <c r="Q168" s="100" t="n"/>
      <c r="R168" s="272" t="n"/>
      <c r="S168" s="272" t="n"/>
      <c r="T168" s="272" t="n"/>
      <c r="U168" s="275" t="n"/>
      <c r="V168" s="28" t="n"/>
      <c r="W168" s="323">
        <f>H168</f>
        <v/>
      </c>
      <c r="X168" s="323">
        <f>IF(W168&lt;0,X169,X169+W168)</f>
        <v/>
      </c>
      <c r="Y168" s="323">
        <f>$W$226-X168</f>
        <v/>
      </c>
      <c r="Z168" s="323">
        <f>IF(Y168&lt;0,Y169,H168)</f>
        <v/>
      </c>
      <c r="AA168" s="323" t="n"/>
      <c r="AB168" s="323">
        <f>K168</f>
        <v/>
      </c>
      <c r="AC168" s="323">
        <f>IF(AB168&lt;0,AC169,AC169+AB168)</f>
        <v/>
      </c>
      <c r="AD168" s="323">
        <f>$X$226-AC168</f>
        <v/>
      </c>
      <c r="AE168" s="323">
        <f>IF(AD168&lt;0,AD169,K168)</f>
        <v/>
      </c>
      <c r="AF168" s="323" t="n"/>
    </row>
    <row r="169" hidden="1">
      <c r="B169" s="60" t="n"/>
      <c r="C169" s="60" t="n"/>
      <c r="D169" s="324" t="n"/>
      <c r="E169" s="272" t="n"/>
      <c r="F169" s="275" t="n"/>
      <c r="G169" s="61" t="n"/>
      <c r="H169" s="321">
        <f>ROUND(G169*D169,2)</f>
        <v/>
      </c>
      <c r="I169" s="262" t="n"/>
      <c r="J169" s="263" t="n"/>
      <c r="K169" s="321">
        <f>ROUND(IF($I$28="YES",IF(G169&gt;0,D169*(1-G169),0),0),2)</f>
        <v/>
      </c>
      <c r="L169" s="321">
        <f>ROUND(IF(G169=0,D169,0),2)</f>
        <v/>
      </c>
      <c r="M169" s="321">
        <f>ROUND(IF($I$28="NO",IF(G169&gt;0,D169*(1-G169),0),0),2)</f>
        <v/>
      </c>
      <c r="N169" s="62" t="n"/>
      <c r="O169" s="322">
        <f>ROUND(IF(Z169&lt;0,0,Z169),2)</f>
        <v/>
      </c>
      <c r="P169" s="322">
        <f>ROUND(IF($I$28="YES",IF(AE169&lt;0,0,AE169),0),2)</f>
        <v/>
      </c>
      <c r="Q169" s="100" t="n"/>
      <c r="R169" s="272" t="n"/>
      <c r="S169" s="272" t="n"/>
      <c r="T169" s="272" t="n"/>
      <c r="U169" s="275" t="n"/>
      <c r="V169" s="28" t="n"/>
      <c r="W169" s="323">
        <f>H169</f>
        <v/>
      </c>
      <c r="X169" s="323">
        <f>IF(W169&lt;0,X170,X170+W169)</f>
        <v/>
      </c>
      <c r="Y169" s="323">
        <f>$W$226-X169</f>
        <v/>
      </c>
      <c r="Z169" s="323">
        <f>IF(Y169&lt;0,Y170,H169)</f>
        <v/>
      </c>
      <c r="AA169" s="323" t="n"/>
      <c r="AB169" s="323">
        <f>K169</f>
        <v/>
      </c>
      <c r="AC169" s="323">
        <f>IF(AB169&lt;0,AC170,AC170+AB169)</f>
        <v/>
      </c>
      <c r="AD169" s="323">
        <f>$X$226-AC169</f>
        <v/>
      </c>
      <c r="AE169" s="323">
        <f>IF(AD169&lt;0,AD170,K169)</f>
        <v/>
      </c>
      <c r="AF169" s="323" t="n"/>
    </row>
    <row r="170" hidden="1">
      <c r="B170" s="60" t="n"/>
      <c r="C170" s="60" t="n"/>
      <c r="D170" s="324" t="n"/>
      <c r="E170" s="272" t="n"/>
      <c r="F170" s="275" t="n"/>
      <c r="G170" s="61" t="n"/>
      <c r="H170" s="321">
        <f>ROUND(G170*D170,2)</f>
        <v/>
      </c>
      <c r="I170" s="262" t="n"/>
      <c r="J170" s="263" t="n"/>
      <c r="K170" s="321">
        <f>ROUND(IF($I$28="YES",IF(G170&gt;0,D170*(1-G170),0),0),2)</f>
        <v/>
      </c>
      <c r="L170" s="321">
        <f>ROUND(IF(G170=0,D170,0),2)</f>
        <v/>
      </c>
      <c r="M170" s="321">
        <f>ROUND(IF($I$28="NO",IF(G170&gt;0,D170*(1-G170),0),0),2)</f>
        <v/>
      </c>
      <c r="N170" s="62" t="n"/>
      <c r="O170" s="322">
        <f>ROUND(IF(Z170&lt;0,0,Z170),2)</f>
        <v/>
      </c>
      <c r="P170" s="322">
        <f>ROUND(IF($I$28="YES",IF(AE170&lt;0,0,AE170),0),2)</f>
        <v/>
      </c>
      <c r="Q170" s="100" t="n"/>
      <c r="R170" s="272" t="n"/>
      <c r="S170" s="272" t="n"/>
      <c r="T170" s="272" t="n"/>
      <c r="U170" s="275" t="n"/>
      <c r="V170" s="28" t="n"/>
      <c r="W170" s="323">
        <f>H170</f>
        <v/>
      </c>
      <c r="X170" s="323">
        <f>IF(W170&lt;0,X171,X171+W170)</f>
        <v/>
      </c>
      <c r="Y170" s="323">
        <f>$W$226-X170</f>
        <v/>
      </c>
      <c r="Z170" s="323">
        <f>IF(Y170&lt;0,Y171,H170)</f>
        <v/>
      </c>
      <c r="AA170" s="323" t="n"/>
      <c r="AB170" s="323">
        <f>K170</f>
        <v/>
      </c>
      <c r="AC170" s="323">
        <f>IF(AB170&lt;0,AC171,AC171+AB170)</f>
        <v/>
      </c>
      <c r="AD170" s="323">
        <f>$X$226-AC170</f>
        <v/>
      </c>
      <c r="AE170" s="323">
        <f>IF(AD170&lt;0,AD171,K170)</f>
        <v/>
      </c>
      <c r="AF170" s="323" t="n"/>
    </row>
    <row r="171" hidden="1">
      <c r="B171" s="60" t="n"/>
      <c r="C171" s="60" t="n"/>
      <c r="D171" s="324" t="n"/>
      <c r="E171" s="272" t="n"/>
      <c r="F171" s="275" t="n"/>
      <c r="G171" s="61" t="n"/>
      <c r="H171" s="321">
        <f>ROUND(G171*D171,2)</f>
        <v/>
      </c>
      <c r="I171" s="262" t="n"/>
      <c r="J171" s="263" t="n"/>
      <c r="K171" s="321">
        <f>ROUND(IF($I$28="YES",IF(G171&gt;0,D171*(1-G171),0),0),2)</f>
        <v/>
      </c>
      <c r="L171" s="321">
        <f>ROUND(IF(G171=0,D171,0),2)</f>
        <v/>
      </c>
      <c r="M171" s="321">
        <f>ROUND(IF($I$28="NO",IF(G171&gt;0,D171*(1-G171),0),0),2)</f>
        <v/>
      </c>
      <c r="N171" s="62" t="n"/>
      <c r="O171" s="322">
        <f>ROUND(IF(Z171&lt;0,0,Z171),2)</f>
        <v/>
      </c>
      <c r="P171" s="322">
        <f>ROUND(IF($I$28="YES",IF(AE171&lt;0,0,AE171),0),2)</f>
        <v/>
      </c>
      <c r="Q171" s="100" t="n"/>
      <c r="R171" s="272" t="n"/>
      <c r="S171" s="272" t="n"/>
      <c r="T171" s="272" t="n"/>
      <c r="U171" s="275" t="n"/>
      <c r="V171" s="28" t="n"/>
      <c r="W171" s="323">
        <f>H171</f>
        <v/>
      </c>
      <c r="X171" s="323">
        <f>IF(W171&lt;0,X172,X172+W171)</f>
        <v/>
      </c>
      <c r="Y171" s="323">
        <f>$W$226-X171</f>
        <v/>
      </c>
      <c r="Z171" s="323">
        <f>IF(Y171&lt;0,Y172,H171)</f>
        <v/>
      </c>
      <c r="AA171" s="323" t="n"/>
      <c r="AB171" s="323">
        <f>K171</f>
        <v/>
      </c>
      <c r="AC171" s="323">
        <f>IF(AB171&lt;0,AC172,AC172+AB171)</f>
        <v/>
      </c>
      <c r="AD171" s="323">
        <f>$X$226-AC171</f>
        <v/>
      </c>
      <c r="AE171" s="323">
        <f>IF(AD171&lt;0,AD172,K171)</f>
        <v/>
      </c>
      <c r="AF171" s="323" t="n"/>
    </row>
    <row r="172" hidden="1">
      <c r="B172" s="60" t="n"/>
      <c r="C172" s="60" t="n"/>
      <c r="D172" s="324" t="n"/>
      <c r="E172" s="272" t="n"/>
      <c r="F172" s="275" t="n"/>
      <c r="G172" s="61" t="n"/>
      <c r="H172" s="321">
        <f>ROUND(G172*D172,2)</f>
        <v/>
      </c>
      <c r="I172" s="262" t="n"/>
      <c r="J172" s="263" t="n"/>
      <c r="K172" s="321">
        <f>ROUND(IF($I$28="YES",IF(G172&gt;0,D172*(1-G172),0),0),2)</f>
        <v/>
      </c>
      <c r="L172" s="321">
        <f>ROUND(IF(G172=0,D172,0),2)</f>
        <v/>
      </c>
      <c r="M172" s="321">
        <f>ROUND(IF($I$28="NO",IF(G172&gt;0,D172*(1-G172),0),0),2)</f>
        <v/>
      </c>
      <c r="N172" s="62" t="n"/>
      <c r="O172" s="322">
        <f>ROUND(IF(Z172&lt;0,0,Z172),2)</f>
        <v/>
      </c>
      <c r="P172" s="322">
        <f>ROUND(IF($I$28="YES",IF(AE172&lt;0,0,AE172),0),2)</f>
        <v/>
      </c>
      <c r="Q172" s="100" t="n"/>
      <c r="R172" s="272" t="n"/>
      <c r="S172" s="272" t="n"/>
      <c r="T172" s="272" t="n"/>
      <c r="U172" s="275" t="n"/>
      <c r="V172" s="28" t="n"/>
      <c r="W172" s="323">
        <f>H172</f>
        <v/>
      </c>
      <c r="X172" s="323">
        <f>IF(W172&lt;0,X173,X173+W172)</f>
        <v/>
      </c>
      <c r="Y172" s="323">
        <f>$W$226-X172</f>
        <v/>
      </c>
      <c r="Z172" s="323">
        <f>IF(Y172&lt;0,Y173,H172)</f>
        <v/>
      </c>
      <c r="AA172" s="323" t="n"/>
      <c r="AB172" s="323">
        <f>K172</f>
        <v/>
      </c>
      <c r="AC172" s="323">
        <f>IF(AB172&lt;0,AC173,AC173+AB172)</f>
        <v/>
      </c>
      <c r="AD172" s="323">
        <f>$X$226-AC172</f>
        <v/>
      </c>
      <c r="AE172" s="323">
        <f>IF(AD172&lt;0,AD173,K172)</f>
        <v/>
      </c>
      <c r="AF172" s="323" t="n"/>
    </row>
    <row r="173" hidden="1">
      <c r="B173" s="60" t="n"/>
      <c r="C173" s="60" t="n"/>
      <c r="D173" s="324" t="n"/>
      <c r="E173" s="272" t="n"/>
      <c r="F173" s="275" t="n"/>
      <c r="G173" s="61" t="n"/>
      <c r="H173" s="321">
        <f>ROUND(G173*D173,2)</f>
        <v/>
      </c>
      <c r="I173" s="262" t="n"/>
      <c r="J173" s="263" t="n"/>
      <c r="K173" s="321">
        <f>ROUND(IF($I$28="YES",IF(G173&gt;0,D173*(1-G173),0),0),2)</f>
        <v/>
      </c>
      <c r="L173" s="321">
        <f>ROUND(IF(G173=0,D173,0),2)</f>
        <v/>
      </c>
      <c r="M173" s="321">
        <f>ROUND(IF($I$28="NO",IF(G173&gt;0,D173*(1-G173),0),0),2)</f>
        <v/>
      </c>
      <c r="N173" s="62" t="n"/>
      <c r="O173" s="322">
        <f>ROUND(IF(Z173&lt;0,0,Z173),2)</f>
        <v/>
      </c>
      <c r="P173" s="322">
        <f>ROUND(IF($I$28="YES",IF(AE173&lt;0,0,AE173),0),2)</f>
        <v/>
      </c>
      <c r="Q173" s="100" t="n"/>
      <c r="R173" s="272" t="n"/>
      <c r="S173" s="272" t="n"/>
      <c r="T173" s="272" t="n"/>
      <c r="U173" s="275" t="n"/>
      <c r="V173" s="28" t="n"/>
      <c r="W173" s="323">
        <f>H173</f>
        <v/>
      </c>
      <c r="X173" s="323">
        <f>IF(W173&lt;0,X174,X174+W173)</f>
        <v/>
      </c>
      <c r="Y173" s="323">
        <f>$W$226-X173</f>
        <v/>
      </c>
      <c r="Z173" s="323">
        <f>IF(Y173&lt;0,Y174,H173)</f>
        <v/>
      </c>
      <c r="AA173" s="323" t="n"/>
      <c r="AB173" s="323">
        <f>K173</f>
        <v/>
      </c>
      <c r="AC173" s="323">
        <f>IF(AB173&lt;0,AC174,AC174+AB173)</f>
        <v/>
      </c>
      <c r="AD173" s="323">
        <f>$X$226-AC173</f>
        <v/>
      </c>
      <c r="AE173" s="323">
        <f>IF(AD173&lt;0,AD174,K173)</f>
        <v/>
      </c>
      <c r="AF173" s="323" t="n"/>
    </row>
    <row r="174" hidden="1">
      <c r="B174" s="60" t="n"/>
      <c r="C174" s="60" t="n"/>
      <c r="D174" s="324" t="n"/>
      <c r="E174" s="272" t="n"/>
      <c r="F174" s="275" t="n"/>
      <c r="G174" s="61" t="n"/>
      <c r="H174" s="321">
        <f>ROUND(G174*D174,2)</f>
        <v/>
      </c>
      <c r="I174" s="262" t="n"/>
      <c r="J174" s="263" t="n"/>
      <c r="K174" s="321">
        <f>ROUND(IF($I$28="YES",IF(G174&gt;0,D174*(1-G174),0),0),2)</f>
        <v/>
      </c>
      <c r="L174" s="321">
        <f>ROUND(IF(G174=0,D174,0),2)</f>
        <v/>
      </c>
      <c r="M174" s="321">
        <f>ROUND(IF($I$28="NO",IF(G174&gt;0,D174*(1-G174),0),0),2)</f>
        <v/>
      </c>
      <c r="N174" s="62" t="n"/>
      <c r="O174" s="322">
        <f>ROUND(IF(Z174&lt;0,0,Z174),2)</f>
        <v/>
      </c>
      <c r="P174" s="322">
        <f>ROUND(IF($I$28="YES",IF(AE174&lt;0,0,AE174),0),2)</f>
        <v/>
      </c>
      <c r="Q174" s="100" t="n"/>
      <c r="R174" s="272" t="n"/>
      <c r="S174" s="272" t="n"/>
      <c r="T174" s="272" t="n"/>
      <c r="U174" s="275" t="n"/>
      <c r="V174" s="28" t="n"/>
      <c r="W174" s="323">
        <f>H174</f>
        <v/>
      </c>
      <c r="X174" s="323">
        <f>IF(W174&lt;0,X175,X175+W174)</f>
        <v/>
      </c>
      <c r="Y174" s="323">
        <f>$W$226-X174</f>
        <v/>
      </c>
      <c r="Z174" s="323">
        <f>IF(Y174&lt;0,Y175,H174)</f>
        <v/>
      </c>
      <c r="AA174" s="323" t="n"/>
      <c r="AB174" s="323">
        <f>K174</f>
        <v/>
      </c>
      <c r="AC174" s="323">
        <f>IF(AB174&lt;0,AC175,AC175+AB174)</f>
        <v/>
      </c>
      <c r="AD174" s="323">
        <f>$X$226-AC174</f>
        <v/>
      </c>
      <c r="AE174" s="323">
        <f>IF(AD174&lt;0,AD175,K174)</f>
        <v/>
      </c>
      <c r="AF174" s="323" t="n"/>
    </row>
    <row r="175" hidden="1">
      <c r="B175" s="60" t="n"/>
      <c r="C175" s="60" t="n"/>
      <c r="D175" s="324" t="n"/>
      <c r="E175" s="272" t="n"/>
      <c r="F175" s="275" t="n"/>
      <c r="G175" s="61" t="n"/>
      <c r="H175" s="321">
        <f>ROUND(G175*D175,2)</f>
        <v/>
      </c>
      <c r="I175" s="262" t="n"/>
      <c r="J175" s="263" t="n"/>
      <c r="K175" s="321">
        <f>ROUND(IF($I$28="YES",IF(G175&gt;0,D175*(1-G175),0),0),2)</f>
        <v/>
      </c>
      <c r="L175" s="321">
        <f>ROUND(IF(G175=0,D175,0),2)</f>
        <v/>
      </c>
      <c r="M175" s="321">
        <f>ROUND(IF($I$28="NO",IF(G175&gt;0,D175*(1-G175),0),0),2)</f>
        <v/>
      </c>
      <c r="N175" s="62" t="n"/>
      <c r="O175" s="322">
        <f>ROUND(IF(Z175&lt;0,0,Z175),2)</f>
        <v/>
      </c>
      <c r="P175" s="322">
        <f>ROUND(IF($I$28="YES",IF(AE175&lt;0,0,AE175),0),2)</f>
        <v/>
      </c>
      <c r="Q175" s="100" t="n"/>
      <c r="R175" s="272" t="n"/>
      <c r="S175" s="272" t="n"/>
      <c r="T175" s="272" t="n"/>
      <c r="U175" s="275" t="n"/>
      <c r="V175" s="28" t="n"/>
      <c r="W175" s="323">
        <f>H175</f>
        <v/>
      </c>
      <c r="X175" s="323">
        <f>IF(W175&lt;0,X176,X176+W175)</f>
        <v/>
      </c>
      <c r="Y175" s="323">
        <f>$W$226-X175</f>
        <v/>
      </c>
      <c r="Z175" s="323">
        <f>IF(Y175&lt;0,Y176,H175)</f>
        <v/>
      </c>
      <c r="AA175" s="323" t="n"/>
      <c r="AB175" s="323">
        <f>K175</f>
        <v/>
      </c>
      <c r="AC175" s="323">
        <f>IF(AB175&lt;0,AC176,AC176+AB175)</f>
        <v/>
      </c>
      <c r="AD175" s="323">
        <f>$X$226-AC175</f>
        <v/>
      </c>
      <c r="AE175" s="323">
        <f>IF(AD175&lt;0,AD176,K175)</f>
        <v/>
      </c>
      <c r="AF175" s="323" t="n"/>
    </row>
    <row r="176" hidden="1">
      <c r="B176" s="60" t="n"/>
      <c r="C176" s="60" t="n"/>
      <c r="D176" s="320" t="n"/>
      <c r="E176" s="272" t="n"/>
      <c r="F176" s="275" t="n"/>
      <c r="G176" s="61" t="n"/>
      <c r="H176" s="321">
        <f>ROUND(G176*D176,2)</f>
        <v/>
      </c>
      <c r="I176" s="262" t="n"/>
      <c r="J176" s="263" t="n"/>
      <c r="K176" s="321">
        <f>ROUND(IF($I$28="YES",IF(G176&gt;0,D176*(1-G176),0),0),2)</f>
        <v/>
      </c>
      <c r="L176" s="321">
        <f>ROUND(IF(G176=0,D176,0),2)</f>
        <v/>
      </c>
      <c r="M176" s="321">
        <f>ROUND(IF($I$28="NO",IF(G176&gt;0,D176*(1-G176),0),0),2)</f>
        <v/>
      </c>
      <c r="N176" s="62" t="n"/>
      <c r="O176" s="322">
        <f>ROUND(IF(Z176&lt;0,0,Z176),2)</f>
        <v/>
      </c>
      <c r="P176" s="322">
        <f>ROUND(IF($I$28="YES",IF(AE176&lt;0,0,AE176),0),2)</f>
        <v/>
      </c>
      <c r="Q176" s="100" t="n"/>
      <c r="R176" s="272" t="n"/>
      <c r="S176" s="272" t="n"/>
      <c r="T176" s="272" t="n"/>
      <c r="U176" s="275" t="n"/>
      <c r="V176" s="28" t="n"/>
      <c r="W176" s="323">
        <f>H176</f>
        <v/>
      </c>
      <c r="X176" s="323">
        <f>IF(W176&lt;0,X177,X177+W176)</f>
        <v/>
      </c>
      <c r="Y176" s="323">
        <f>$W$226-X176</f>
        <v/>
      </c>
      <c r="Z176" s="323">
        <f>IF(Y176&lt;0,Y177,H176)</f>
        <v/>
      </c>
      <c r="AA176" s="323" t="n"/>
      <c r="AB176" s="323">
        <f>K176</f>
        <v/>
      </c>
      <c r="AC176" s="323">
        <f>IF(AB176&lt;0,AC177,AC177+AB176)</f>
        <v/>
      </c>
      <c r="AD176" s="323">
        <f>$X$226-AC176</f>
        <v/>
      </c>
      <c r="AE176" s="323">
        <f>IF(AD176&lt;0,AD177,K176)</f>
        <v/>
      </c>
      <c r="AF176" s="323" t="n"/>
    </row>
    <row r="177" hidden="1">
      <c r="B177" s="60" t="n"/>
      <c r="C177" s="60" t="n"/>
      <c r="D177" s="320" t="n"/>
      <c r="E177" s="272" t="n"/>
      <c r="F177" s="275" t="n"/>
      <c r="G177" s="61" t="n"/>
      <c r="H177" s="321">
        <f>ROUND(G177*D177,2)</f>
        <v/>
      </c>
      <c r="I177" s="262" t="n"/>
      <c r="J177" s="263" t="n"/>
      <c r="K177" s="321">
        <f>ROUND(IF($I$28="YES",IF(G177&gt;0,D177*(1-G177),0),0),2)</f>
        <v/>
      </c>
      <c r="L177" s="321">
        <f>ROUND(IF(G177=0,D177,0),2)</f>
        <v/>
      </c>
      <c r="M177" s="321">
        <f>ROUND(IF($I$28="NO",IF(G177&gt;0,D177*(1-G177),0),0),2)</f>
        <v/>
      </c>
      <c r="N177" s="62" t="n"/>
      <c r="O177" s="322">
        <f>ROUND(IF(Z177&lt;0,0,Z177),2)</f>
        <v/>
      </c>
      <c r="P177" s="322">
        <f>ROUND(IF($I$28="YES",IF(AE177&lt;0,0,AE177),0),2)</f>
        <v/>
      </c>
      <c r="Q177" s="100" t="n"/>
      <c r="R177" s="272" t="n"/>
      <c r="S177" s="272" t="n"/>
      <c r="T177" s="272" t="n"/>
      <c r="U177" s="275" t="n"/>
      <c r="V177" s="28" t="n"/>
      <c r="W177" s="323">
        <f>H177</f>
        <v/>
      </c>
      <c r="X177" s="323">
        <f>IF(W177&lt;0,X178,X178+W177)</f>
        <v/>
      </c>
      <c r="Y177" s="323">
        <f>$W$226-X177</f>
        <v/>
      </c>
      <c r="Z177" s="323">
        <f>IF(Y177&lt;0,Y178,H177)</f>
        <v/>
      </c>
      <c r="AA177" s="323" t="n"/>
      <c r="AB177" s="323">
        <f>K177</f>
        <v/>
      </c>
      <c r="AC177" s="323">
        <f>IF(AB177&lt;0,AC178,AC178+AB177)</f>
        <v/>
      </c>
      <c r="AD177" s="323">
        <f>$X$226-AC177</f>
        <v/>
      </c>
      <c r="AE177" s="323">
        <f>IF(AD177&lt;0,AD178,K177)</f>
        <v/>
      </c>
      <c r="AF177" s="323" t="n"/>
    </row>
    <row r="178" hidden="1">
      <c r="B178" s="60" t="n"/>
      <c r="C178" s="60" t="n"/>
      <c r="D178" s="320" t="n"/>
      <c r="E178" s="272" t="n"/>
      <c r="F178" s="275" t="n"/>
      <c r="G178" s="61" t="n"/>
      <c r="H178" s="321">
        <f>ROUND(G178*D178,2)</f>
        <v/>
      </c>
      <c r="I178" s="262" t="n"/>
      <c r="J178" s="263" t="n"/>
      <c r="K178" s="321">
        <f>ROUND(IF($I$28="YES",IF(G178&gt;0,D178*(1-G178),0),0),2)</f>
        <v/>
      </c>
      <c r="L178" s="321">
        <f>ROUND(IF(G178=0,D178,0),2)</f>
        <v/>
      </c>
      <c r="M178" s="321">
        <f>ROUND(IF($I$28="NO",IF(G178&gt;0,D178*(1-G178),0),0),2)</f>
        <v/>
      </c>
      <c r="N178" s="62" t="n"/>
      <c r="O178" s="322">
        <f>ROUND(IF(Z178&lt;0,0,Z178),2)</f>
        <v/>
      </c>
      <c r="P178" s="322">
        <f>ROUND(IF($I$28="YES",IF(AE178&lt;0,0,AE178),0),2)</f>
        <v/>
      </c>
      <c r="Q178" s="100" t="n"/>
      <c r="R178" s="272" t="n"/>
      <c r="S178" s="272" t="n"/>
      <c r="T178" s="272" t="n"/>
      <c r="U178" s="275" t="n"/>
      <c r="V178" s="28" t="n"/>
      <c r="W178" s="323">
        <f>H178</f>
        <v/>
      </c>
      <c r="X178" s="323">
        <f>IF(W178&lt;0,X179,X179+W178)</f>
        <v/>
      </c>
      <c r="Y178" s="323">
        <f>$W$226-X178</f>
        <v/>
      </c>
      <c r="Z178" s="323">
        <f>IF(Y178&lt;0,Y179,H178)</f>
        <v/>
      </c>
      <c r="AA178" s="323" t="n"/>
      <c r="AB178" s="323">
        <f>K178</f>
        <v/>
      </c>
      <c r="AC178" s="323">
        <f>IF(AB178&lt;0,AC179,AC179+AB178)</f>
        <v/>
      </c>
      <c r="AD178" s="323">
        <f>$X$226-AC178</f>
        <v/>
      </c>
      <c r="AE178" s="323">
        <f>IF(AD178&lt;0,AD179,K178)</f>
        <v/>
      </c>
      <c r="AF178" s="323" t="n"/>
    </row>
    <row r="179" hidden="1">
      <c r="B179" s="60" t="n"/>
      <c r="C179" s="60" t="n"/>
      <c r="D179" s="320" t="n"/>
      <c r="E179" s="272" t="n"/>
      <c r="F179" s="275" t="n"/>
      <c r="G179" s="61" t="n"/>
      <c r="H179" s="321">
        <f>ROUND(G179*D179,2)</f>
        <v/>
      </c>
      <c r="I179" s="262" t="n"/>
      <c r="J179" s="263" t="n"/>
      <c r="K179" s="321">
        <f>ROUND(IF($I$28="YES",IF(G179&gt;0,D179*(1-G179),0),0),2)</f>
        <v/>
      </c>
      <c r="L179" s="321">
        <f>ROUND(IF(G179=0,D179,0),2)</f>
        <v/>
      </c>
      <c r="M179" s="321">
        <f>ROUND(IF($I$28="NO",IF(G179&gt;0,D179*(1-G179),0),0),2)</f>
        <v/>
      </c>
      <c r="N179" s="62" t="n"/>
      <c r="O179" s="322">
        <f>ROUND(IF(Z179&lt;0,0,Z179),2)</f>
        <v/>
      </c>
      <c r="P179" s="322">
        <f>ROUND(IF($I$28="YES",IF(AE179&lt;0,0,AE179),0),2)</f>
        <v/>
      </c>
      <c r="Q179" s="100" t="n"/>
      <c r="R179" s="272" t="n"/>
      <c r="S179" s="272" t="n"/>
      <c r="T179" s="272" t="n"/>
      <c r="U179" s="275" t="n"/>
      <c r="V179" s="28" t="n"/>
      <c r="W179" s="323">
        <f>H179</f>
        <v/>
      </c>
      <c r="X179" s="323">
        <f>IF(W179&lt;0,X180,X180+W179)</f>
        <v/>
      </c>
      <c r="Y179" s="323">
        <f>$W$226-X179</f>
        <v/>
      </c>
      <c r="Z179" s="323">
        <f>IF(Y179&lt;0,Y180,H179)</f>
        <v/>
      </c>
      <c r="AA179" s="323" t="n"/>
      <c r="AB179" s="323">
        <f>K179</f>
        <v/>
      </c>
      <c r="AC179" s="323">
        <f>IF(AB179&lt;0,AC180,AC180+AB179)</f>
        <v/>
      </c>
      <c r="AD179" s="323">
        <f>$X$226-AC179</f>
        <v/>
      </c>
      <c r="AE179" s="323">
        <f>IF(AD179&lt;0,AD180,K179)</f>
        <v/>
      </c>
      <c r="AF179" s="323" t="n"/>
    </row>
    <row r="180" hidden="1">
      <c r="B180" s="60" t="n"/>
      <c r="C180" s="60" t="n"/>
      <c r="D180" s="320" t="n"/>
      <c r="E180" s="272" t="n"/>
      <c r="F180" s="275" t="n"/>
      <c r="G180" s="61" t="n"/>
      <c r="H180" s="321">
        <f>ROUND(G180*D180,2)</f>
        <v/>
      </c>
      <c r="I180" s="262" t="n"/>
      <c r="J180" s="263" t="n"/>
      <c r="K180" s="321">
        <f>ROUND(IF($I$28="YES",IF(G180&gt;0,D180*(1-G180),0),0),2)</f>
        <v/>
      </c>
      <c r="L180" s="321">
        <f>ROUND(IF(G180=0,D180,0),2)</f>
        <v/>
      </c>
      <c r="M180" s="321">
        <f>ROUND(IF($I$28="NO",IF(G180&gt;0,D180*(1-G180),0),0),2)</f>
        <v/>
      </c>
      <c r="N180" s="62" t="n"/>
      <c r="O180" s="322">
        <f>ROUND(IF(Z180&lt;0,0,Z180),2)</f>
        <v/>
      </c>
      <c r="P180" s="322">
        <f>ROUND(IF($I$28="YES",IF(AE180&lt;0,0,AE180),0),2)</f>
        <v/>
      </c>
      <c r="Q180" s="100" t="n"/>
      <c r="R180" s="272" t="n"/>
      <c r="S180" s="272" t="n"/>
      <c r="T180" s="272" t="n"/>
      <c r="U180" s="275" t="n"/>
      <c r="V180" s="28" t="n"/>
      <c r="W180" s="323">
        <f>H180</f>
        <v/>
      </c>
      <c r="X180" s="323">
        <f>IF(W180&lt;0,X181,X181+W180)</f>
        <v/>
      </c>
      <c r="Y180" s="323">
        <f>$W$226-X180</f>
        <v/>
      </c>
      <c r="Z180" s="323">
        <f>IF(Y180&lt;0,Y181,H180)</f>
        <v/>
      </c>
      <c r="AA180" s="323" t="n"/>
      <c r="AB180" s="323">
        <f>K180</f>
        <v/>
      </c>
      <c r="AC180" s="323">
        <f>IF(AB180&lt;0,AC181,AC181+AB180)</f>
        <v/>
      </c>
      <c r="AD180" s="323">
        <f>$X$226-AC180</f>
        <v/>
      </c>
      <c r="AE180" s="323">
        <f>IF(AD180&lt;0,AD181,K180)</f>
        <v/>
      </c>
      <c r="AF180" s="323" t="n"/>
    </row>
    <row r="181" hidden="1">
      <c r="B181" s="60" t="n"/>
      <c r="C181" s="60" t="n"/>
      <c r="D181" s="320" t="n"/>
      <c r="E181" s="272" t="n"/>
      <c r="F181" s="275" t="n"/>
      <c r="G181" s="61" t="n"/>
      <c r="H181" s="321">
        <f>ROUND(G181*D181,2)</f>
        <v/>
      </c>
      <c r="I181" s="262" t="n"/>
      <c r="J181" s="263" t="n"/>
      <c r="K181" s="321">
        <f>ROUND(IF($I$28="YES",IF(G181&gt;0,D181*(1-G181),0),0),2)</f>
        <v/>
      </c>
      <c r="L181" s="321">
        <f>ROUND(IF(G181=0,D181,0),2)</f>
        <v/>
      </c>
      <c r="M181" s="321">
        <f>ROUND(IF($I$28="NO",IF(G181&gt;0,D181*(1-G181),0),0),2)</f>
        <v/>
      </c>
      <c r="N181" s="62" t="n"/>
      <c r="O181" s="322">
        <f>ROUND(IF(Z181&lt;0,0,Z181),2)</f>
        <v/>
      </c>
      <c r="P181" s="322">
        <f>ROUND(IF($I$28="YES",IF(AE181&lt;0,0,AE181),0),2)</f>
        <v/>
      </c>
      <c r="Q181" s="100" t="n"/>
      <c r="R181" s="272" t="n"/>
      <c r="S181" s="272" t="n"/>
      <c r="T181" s="272" t="n"/>
      <c r="U181" s="275" t="n"/>
      <c r="V181" s="28" t="n"/>
      <c r="W181" s="323">
        <f>H181</f>
        <v/>
      </c>
      <c r="X181" s="323">
        <f>IF(W181&lt;0,X182,X182+W181)</f>
        <v/>
      </c>
      <c r="Y181" s="323">
        <f>$W$226-X181</f>
        <v/>
      </c>
      <c r="Z181" s="323">
        <f>IF(Y181&lt;0,Y182,H181)</f>
        <v/>
      </c>
      <c r="AA181" s="323" t="n"/>
      <c r="AB181" s="323">
        <f>K181</f>
        <v/>
      </c>
      <c r="AC181" s="323">
        <f>IF(AB181&lt;0,AC182,AC182+AB181)</f>
        <v/>
      </c>
      <c r="AD181" s="323">
        <f>$X$226-AC181</f>
        <v/>
      </c>
      <c r="AE181" s="323">
        <f>IF(AD181&lt;0,AD182,K181)</f>
        <v/>
      </c>
      <c r="AF181" s="323" t="n"/>
    </row>
    <row r="182" hidden="1">
      <c r="B182" s="60" t="n"/>
      <c r="C182" s="60" t="n"/>
      <c r="D182" s="320" t="n"/>
      <c r="E182" s="272" t="n"/>
      <c r="F182" s="275" t="n"/>
      <c r="G182" s="61" t="n"/>
      <c r="H182" s="321">
        <f>ROUND(G182*D182,2)</f>
        <v/>
      </c>
      <c r="I182" s="262" t="n"/>
      <c r="J182" s="263" t="n"/>
      <c r="K182" s="321">
        <f>ROUND(IF($I$28="YES",IF(G182&gt;0,D182*(1-G182),0),0),2)</f>
        <v/>
      </c>
      <c r="L182" s="321">
        <f>ROUND(IF(G182=0,D182,0),2)</f>
        <v/>
      </c>
      <c r="M182" s="321">
        <f>ROUND(IF($I$28="NO",IF(G182&gt;0,D182*(1-G182),0),0),2)</f>
        <v/>
      </c>
      <c r="N182" s="62" t="n"/>
      <c r="O182" s="322">
        <f>ROUND(IF(Z182&lt;0,0,Z182),2)</f>
        <v/>
      </c>
      <c r="P182" s="322">
        <f>ROUND(IF($I$28="YES",IF(AE182&lt;0,0,AE182),0),2)</f>
        <v/>
      </c>
      <c r="Q182" s="100" t="n"/>
      <c r="R182" s="272" t="n"/>
      <c r="S182" s="272" t="n"/>
      <c r="T182" s="272" t="n"/>
      <c r="U182" s="275" t="n"/>
      <c r="V182" s="28" t="n"/>
      <c r="W182" s="323">
        <f>H182</f>
        <v/>
      </c>
      <c r="X182" s="323">
        <f>IF(W182&lt;0,X183,X183+W182)</f>
        <v/>
      </c>
      <c r="Y182" s="323">
        <f>$W$226-X182</f>
        <v/>
      </c>
      <c r="Z182" s="323">
        <f>IF(Y182&lt;0,Y183,H182)</f>
        <v/>
      </c>
      <c r="AA182" s="323" t="n"/>
      <c r="AB182" s="323">
        <f>K182</f>
        <v/>
      </c>
      <c r="AC182" s="323">
        <f>IF(AB182&lt;0,AC183,AC183+AB182)</f>
        <v/>
      </c>
      <c r="AD182" s="323">
        <f>$X$226-AC182</f>
        <v/>
      </c>
      <c r="AE182" s="323">
        <f>IF(AD182&lt;0,AD183,K182)</f>
        <v/>
      </c>
      <c r="AF182" s="323" t="n"/>
    </row>
    <row r="183" hidden="1">
      <c r="B183" s="60" t="n"/>
      <c r="C183" s="60" t="n"/>
      <c r="D183" s="320" t="n"/>
      <c r="E183" s="272" t="n"/>
      <c r="F183" s="275" t="n"/>
      <c r="G183" s="61" t="n"/>
      <c r="H183" s="321">
        <f>ROUND(G183*D183,2)</f>
        <v/>
      </c>
      <c r="I183" s="262" t="n"/>
      <c r="J183" s="263" t="n"/>
      <c r="K183" s="321">
        <f>ROUND(IF($I$28="YES",IF(G183&gt;0,D183*(1-G183),0),0),2)</f>
        <v/>
      </c>
      <c r="L183" s="321">
        <f>ROUND(IF(G183=0,D183,0),2)</f>
        <v/>
      </c>
      <c r="M183" s="321">
        <f>ROUND(IF($I$28="NO",IF(G183&gt;0,D183*(1-G183),0),0),2)</f>
        <v/>
      </c>
      <c r="N183" s="62" t="n"/>
      <c r="O183" s="322">
        <f>ROUND(IF(Z183&lt;0,0,Z183),2)</f>
        <v/>
      </c>
      <c r="P183" s="322">
        <f>ROUND(IF($I$28="YES",IF(AE183&lt;0,0,AE183),0),2)</f>
        <v/>
      </c>
      <c r="Q183" s="100" t="n"/>
      <c r="R183" s="272" t="n"/>
      <c r="S183" s="272" t="n"/>
      <c r="T183" s="272" t="n"/>
      <c r="U183" s="275" t="n"/>
      <c r="V183" s="28" t="n"/>
      <c r="W183" s="323">
        <f>H183</f>
        <v/>
      </c>
      <c r="X183" s="323">
        <f>IF(W183&lt;0,X184,X184+W183)</f>
        <v/>
      </c>
      <c r="Y183" s="323">
        <f>$W$226-X183</f>
        <v/>
      </c>
      <c r="Z183" s="323">
        <f>IF(Y183&lt;0,Y184,H183)</f>
        <v/>
      </c>
      <c r="AA183" s="323" t="n"/>
      <c r="AB183" s="323">
        <f>K183</f>
        <v/>
      </c>
      <c r="AC183" s="323">
        <f>IF(AB183&lt;0,AC184,AC184+AB183)</f>
        <v/>
      </c>
      <c r="AD183" s="323">
        <f>$X$226-AC183</f>
        <v/>
      </c>
      <c r="AE183" s="323">
        <f>IF(AD183&lt;0,AD184,K183)</f>
        <v/>
      </c>
      <c r="AF183" s="323" t="n"/>
    </row>
    <row r="184" hidden="1">
      <c r="B184" s="60" t="n"/>
      <c r="C184" s="60" t="n"/>
      <c r="D184" s="320" t="n"/>
      <c r="E184" s="272" t="n"/>
      <c r="F184" s="275" t="n"/>
      <c r="G184" s="61" t="n"/>
      <c r="H184" s="321">
        <f>ROUND(G184*D184,2)</f>
        <v/>
      </c>
      <c r="I184" s="262" t="n"/>
      <c r="J184" s="263" t="n"/>
      <c r="K184" s="321">
        <f>ROUND(IF($I$28="YES",IF(G184&gt;0,D184*(1-G184),0),0),2)</f>
        <v/>
      </c>
      <c r="L184" s="321">
        <f>ROUND(IF(G184=0,D184,0),2)</f>
        <v/>
      </c>
      <c r="M184" s="321">
        <f>ROUND(IF($I$28="NO",IF(G184&gt;0,D184*(1-G184),0),0),2)</f>
        <v/>
      </c>
      <c r="N184" s="62" t="n"/>
      <c r="O184" s="322">
        <f>ROUND(IF(Z184&lt;0,0,Z184),2)</f>
        <v/>
      </c>
      <c r="P184" s="322">
        <f>ROUND(IF($I$28="YES",IF(AE184&lt;0,0,AE184),0),2)</f>
        <v/>
      </c>
      <c r="Q184" s="100" t="n"/>
      <c r="R184" s="272" t="n"/>
      <c r="S184" s="272" t="n"/>
      <c r="T184" s="272" t="n"/>
      <c r="U184" s="275" t="n"/>
      <c r="V184" s="28" t="n"/>
      <c r="W184" s="323">
        <f>H184</f>
        <v/>
      </c>
      <c r="X184" s="323">
        <f>IF(W184&lt;0,X185,X185+W184)</f>
        <v/>
      </c>
      <c r="Y184" s="323">
        <f>$W$226-X184</f>
        <v/>
      </c>
      <c r="Z184" s="323">
        <f>IF(Y184&lt;0,Y185,H184)</f>
        <v/>
      </c>
      <c r="AA184" s="323" t="n"/>
      <c r="AB184" s="323">
        <f>K184</f>
        <v/>
      </c>
      <c r="AC184" s="323">
        <f>IF(AB184&lt;0,AC185,AC185+AB184)</f>
        <v/>
      </c>
      <c r="AD184" s="323">
        <f>$X$226-AC184</f>
        <v/>
      </c>
      <c r="AE184" s="323">
        <f>IF(AD184&lt;0,AD185,K184)</f>
        <v/>
      </c>
      <c r="AF184" s="323" t="n"/>
    </row>
    <row r="185" hidden="1">
      <c r="B185" s="60" t="n"/>
      <c r="C185" s="60" t="n"/>
      <c r="D185" s="320" t="n"/>
      <c r="E185" s="272" t="n"/>
      <c r="F185" s="275" t="n"/>
      <c r="G185" s="61" t="n"/>
      <c r="H185" s="321">
        <f>ROUND(G185*D185,2)</f>
        <v/>
      </c>
      <c r="I185" s="262" t="n"/>
      <c r="J185" s="263" t="n"/>
      <c r="K185" s="321">
        <f>ROUND(IF($I$28="YES",IF(G185&gt;0,D185*(1-G185),0),0),2)</f>
        <v/>
      </c>
      <c r="L185" s="321">
        <f>ROUND(IF(G185=0,D185,0),2)</f>
        <v/>
      </c>
      <c r="M185" s="321">
        <f>ROUND(IF($I$28="NO",IF(G185&gt;0,D185*(1-G185),0),0),2)</f>
        <v/>
      </c>
      <c r="N185" s="62" t="n"/>
      <c r="O185" s="322">
        <f>ROUND(IF(Z185&lt;0,0,Z185),2)</f>
        <v/>
      </c>
      <c r="P185" s="322">
        <f>ROUND(IF($I$28="YES",IF(AE185&lt;0,0,AE185),0),2)</f>
        <v/>
      </c>
      <c r="Q185" s="100" t="n"/>
      <c r="R185" s="272" t="n"/>
      <c r="S185" s="272" t="n"/>
      <c r="T185" s="272" t="n"/>
      <c r="U185" s="275" t="n"/>
      <c r="V185" s="28" t="n"/>
      <c r="W185" s="323">
        <f>H185</f>
        <v/>
      </c>
      <c r="X185" s="323">
        <f>IF(W185&lt;0,X186,X186+W185)</f>
        <v/>
      </c>
      <c r="Y185" s="323">
        <f>$W$226-X185</f>
        <v/>
      </c>
      <c r="Z185" s="323">
        <f>IF(Y185&lt;0,Y186,H185)</f>
        <v/>
      </c>
      <c r="AA185" s="323" t="n"/>
      <c r="AB185" s="323">
        <f>K185</f>
        <v/>
      </c>
      <c r="AC185" s="323">
        <f>IF(AB185&lt;0,AC186,AC186+AB185)</f>
        <v/>
      </c>
      <c r="AD185" s="323">
        <f>$X$226-AC185</f>
        <v/>
      </c>
      <c r="AE185" s="323">
        <f>IF(AD185&lt;0,AD186,K185)</f>
        <v/>
      </c>
      <c r="AF185" s="323" t="n"/>
    </row>
    <row r="186" hidden="1">
      <c r="B186" s="60" t="n"/>
      <c r="C186" s="60" t="n"/>
      <c r="D186" s="320" t="n"/>
      <c r="E186" s="272" t="n"/>
      <c r="F186" s="275" t="n"/>
      <c r="G186" s="61" t="n"/>
      <c r="H186" s="321">
        <f>ROUND(G186*D186,2)</f>
        <v/>
      </c>
      <c r="I186" s="262" t="n"/>
      <c r="J186" s="263" t="n"/>
      <c r="K186" s="321">
        <f>ROUND(IF($I$28="YES",IF(G186&gt;0,D186*(1-G186),0),0),2)</f>
        <v/>
      </c>
      <c r="L186" s="321">
        <f>ROUND(IF(G186=0,D186,0),2)</f>
        <v/>
      </c>
      <c r="M186" s="321">
        <f>ROUND(IF($I$28="NO",IF(G186&gt;0,D186*(1-G186),0),0),2)</f>
        <v/>
      </c>
      <c r="N186" s="62" t="n"/>
      <c r="O186" s="322">
        <f>ROUND(IF(Z186&lt;0,0,Z186),2)</f>
        <v/>
      </c>
      <c r="P186" s="322">
        <f>ROUND(IF($I$28="YES",IF(AE186&lt;0,0,AE186),0),2)</f>
        <v/>
      </c>
      <c r="Q186" s="100" t="n"/>
      <c r="R186" s="272" t="n"/>
      <c r="S186" s="272" t="n"/>
      <c r="T186" s="272" t="n"/>
      <c r="U186" s="275" t="n"/>
      <c r="V186" s="28" t="n"/>
      <c r="W186" s="323">
        <f>H186</f>
        <v/>
      </c>
      <c r="X186" s="323">
        <f>IF(W186&lt;0,X187,X187+W186)</f>
        <v/>
      </c>
      <c r="Y186" s="323">
        <f>$W$226-X186</f>
        <v/>
      </c>
      <c r="Z186" s="323">
        <f>IF(Y186&lt;0,Y187,H186)</f>
        <v/>
      </c>
      <c r="AA186" s="323" t="n"/>
      <c r="AB186" s="323">
        <f>K186</f>
        <v/>
      </c>
      <c r="AC186" s="323">
        <f>IF(AB186&lt;0,AC187,AC187+AB186)</f>
        <v/>
      </c>
      <c r="AD186" s="323">
        <f>$X$226-AC186</f>
        <v/>
      </c>
      <c r="AE186" s="323">
        <f>IF(AD186&lt;0,AD187,K186)</f>
        <v/>
      </c>
      <c r="AF186" s="323" t="n"/>
    </row>
    <row r="187" hidden="1">
      <c r="B187" s="60" t="n"/>
      <c r="C187" s="60" t="n"/>
      <c r="D187" s="320" t="n"/>
      <c r="E187" s="272" t="n"/>
      <c r="F187" s="275" t="n"/>
      <c r="G187" s="61" t="n"/>
      <c r="H187" s="321">
        <f>ROUND(G187*D187,2)</f>
        <v/>
      </c>
      <c r="I187" s="262" t="n"/>
      <c r="J187" s="263" t="n"/>
      <c r="K187" s="321">
        <f>ROUND(IF($I$28="YES",IF(G187&gt;0,D187*(1-G187),0),0),2)</f>
        <v/>
      </c>
      <c r="L187" s="321">
        <f>ROUND(IF(G187=0,D187,0),2)</f>
        <v/>
      </c>
      <c r="M187" s="321">
        <f>ROUND(IF($I$28="NO",IF(G187&gt;0,D187*(1-G187),0),0),2)</f>
        <v/>
      </c>
      <c r="N187" s="62" t="n"/>
      <c r="O187" s="322">
        <f>ROUND(IF(Z187&lt;0,0,Z187),2)</f>
        <v/>
      </c>
      <c r="P187" s="322">
        <f>ROUND(IF($I$28="YES",IF(AE187&lt;0,0,AE187),0),2)</f>
        <v/>
      </c>
      <c r="Q187" s="100" t="n"/>
      <c r="R187" s="272" t="n"/>
      <c r="S187" s="272" t="n"/>
      <c r="T187" s="272" t="n"/>
      <c r="U187" s="275" t="n"/>
      <c r="V187" s="28" t="n"/>
      <c r="W187" s="323">
        <f>H187</f>
        <v/>
      </c>
      <c r="X187" s="323">
        <f>IF(W187&lt;0,X188,X188+W187)</f>
        <v/>
      </c>
      <c r="Y187" s="323">
        <f>$W$226-X187</f>
        <v/>
      </c>
      <c r="Z187" s="323">
        <f>IF(Y187&lt;0,Y188,H187)</f>
        <v/>
      </c>
      <c r="AA187" s="323" t="n"/>
      <c r="AB187" s="323">
        <f>K187</f>
        <v/>
      </c>
      <c r="AC187" s="323">
        <f>IF(AB187&lt;0,AC188,AC188+AB187)</f>
        <v/>
      </c>
      <c r="AD187" s="323">
        <f>$X$226-AC187</f>
        <v/>
      </c>
      <c r="AE187" s="323">
        <f>IF(AD187&lt;0,AD188,K187)</f>
        <v/>
      </c>
      <c r="AF187" s="323" t="n"/>
    </row>
    <row r="188" hidden="1">
      <c r="B188" s="60" t="n"/>
      <c r="C188" s="60" t="n"/>
      <c r="D188" s="320" t="n"/>
      <c r="E188" s="272" t="n"/>
      <c r="F188" s="275" t="n"/>
      <c r="G188" s="61" t="n"/>
      <c r="H188" s="321">
        <f>ROUND(G188*D188,2)</f>
        <v/>
      </c>
      <c r="I188" s="262" t="n"/>
      <c r="J188" s="263" t="n"/>
      <c r="K188" s="321">
        <f>ROUND(IF($I$28="YES",IF(G188&gt;0,D188*(1-G188),0),0),2)</f>
        <v/>
      </c>
      <c r="L188" s="321">
        <f>ROUND(IF(G188=0,D188,0),2)</f>
        <v/>
      </c>
      <c r="M188" s="321">
        <f>ROUND(IF($I$28="NO",IF(G188&gt;0,D188*(1-G188),0),0),2)</f>
        <v/>
      </c>
      <c r="N188" s="62" t="n"/>
      <c r="O188" s="322">
        <f>ROUND(IF(Z188&lt;0,0,Z188),2)</f>
        <v/>
      </c>
      <c r="P188" s="322">
        <f>ROUND(IF($I$28="YES",IF(AE188&lt;0,0,AE188),0),2)</f>
        <v/>
      </c>
      <c r="Q188" s="100" t="n"/>
      <c r="R188" s="272" t="n"/>
      <c r="S188" s="272" t="n"/>
      <c r="T188" s="272" t="n"/>
      <c r="U188" s="275" t="n"/>
      <c r="V188" s="28" t="n"/>
      <c r="W188" s="323">
        <f>H188</f>
        <v/>
      </c>
      <c r="X188" s="323">
        <f>IF(W188&lt;0,X189,X189+W188)</f>
        <v/>
      </c>
      <c r="Y188" s="323">
        <f>$W$226-X188</f>
        <v/>
      </c>
      <c r="Z188" s="323">
        <f>IF(Y188&lt;0,Y189,H188)</f>
        <v/>
      </c>
      <c r="AA188" s="323" t="n"/>
      <c r="AB188" s="323">
        <f>K188</f>
        <v/>
      </c>
      <c r="AC188" s="323">
        <f>IF(AB188&lt;0,AC189,AC189+AB188)</f>
        <v/>
      </c>
      <c r="AD188" s="323">
        <f>$X$226-AC188</f>
        <v/>
      </c>
      <c r="AE188" s="323">
        <f>IF(AD188&lt;0,AD189,K188)</f>
        <v/>
      </c>
      <c r="AF188" s="323" t="n"/>
    </row>
    <row r="189" hidden="1">
      <c r="B189" s="60" t="n"/>
      <c r="C189" s="60" t="n"/>
      <c r="D189" s="324" t="n"/>
      <c r="E189" s="272" t="n"/>
      <c r="F189" s="275" t="n"/>
      <c r="G189" s="61" t="n"/>
      <c r="H189" s="321">
        <f>ROUND(G189*D189,2)</f>
        <v/>
      </c>
      <c r="I189" s="262" t="n"/>
      <c r="J189" s="263" t="n"/>
      <c r="K189" s="321">
        <f>ROUND(IF($I$28="YES",IF(G189&gt;0,D189*(1-G189),0),0),2)</f>
        <v/>
      </c>
      <c r="L189" s="321">
        <f>ROUND(IF(G189=0,D189,0),2)</f>
        <v/>
      </c>
      <c r="M189" s="321">
        <f>ROUND(IF($I$28="NO",IF(G189&gt;0,D189*(1-G189),0),0),2)</f>
        <v/>
      </c>
      <c r="N189" s="62" t="n"/>
      <c r="O189" s="322">
        <f>ROUND(IF(Z189&lt;0,0,Z189),2)</f>
        <v/>
      </c>
      <c r="P189" s="322">
        <f>ROUND(IF($I$28="YES",IF(AE189&lt;0,0,AE189),0),2)</f>
        <v/>
      </c>
      <c r="Q189" s="100" t="n"/>
      <c r="R189" s="272" t="n"/>
      <c r="S189" s="272" t="n"/>
      <c r="T189" s="272" t="n"/>
      <c r="U189" s="275" t="n"/>
      <c r="V189" s="28" t="n"/>
      <c r="W189" s="323">
        <f>H189</f>
        <v/>
      </c>
      <c r="X189" s="323">
        <f>IF(W189&lt;0,X190,X190+W189)</f>
        <v/>
      </c>
      <c r="Y189" s="323">
        <f>$W$226-X189</f>
        <v/>
      </c>
      <c r="Z189" s="323">
        <f>IF(Y189&lt;0,Y190,H189)</f>
        <v/>
      </c>
      <c r="AA189" s="323" t="n"/>
      <c r="AB189" s="323">
        <f>K189</f>
        <v/>
      </c>
      <c r="AC189" s="323">
        <f>IF(AB189&lt;0,AC190,AC190+AB189)</f>
        <v/>
      </c>
      <c r="AD189" s="323">
        <f>$X$226-AC189</f>
        <v/>
      </c>
      <c r="AE189" s="323">
        <f>IF(AD189&lt;0,AD190,K189)</f>
        <v/>
      </c>
      <c r="AF189" s="323" t="n"/>
    </row>
    <row r="190" hidden="1">
      <c r="B190" s="60" t="n"/>
      <c r="C190" s="60" t="n"/>
      <c r="D190" s="324" t="n"/>
      <c r="E190" s="272" t="n"/>
      <c r="F190" s="275" t="n"/>
      <c r="G190" s="61" t="n"/>
      <c r="H190" s="321">
        <f>ROUND(G190*D190,2)</f>
        <v/>
      </c>
      <c r="I190" s="262" t="n"/>
      <c r="J190" s="263" t="n"/>
      <c r="K190" s="321">
        <f>ROUND(IF($I$28="YES",IF(G190&gt;0,D190*(1-G190),0),0),2)</f>
        <v/>
      </c>
      <c r="L190" s="321">
        <f>ROUND(IF(G190=0,D190,0),2)</f>
        <v/>
      </c>
      <c r="M190" s="321">
        <f>ROUND(IF($I$28="NO",IF(G190&gt;0,D190*(1-G190),0),0),2)</f>
        <v/>
      </c>
      <c r="N190" s="62" t="n"/>
      <c r="O190" s="322">
        <f>ROUND(IF(Z190&lt;0,0,Z190),2)</f>
        <v/>
      </c>
      <c r="P190" s="322">
        <f>ROUND(IF($I$28="YES",IF(AE190&lt;0,0,AE190),0),2)</f>
        <v/>
      </c>
      <c r="Q190" s="100" t="n"/>
      <c r="R190" s="272" t="n"/>
      <c r="S190" s="272" t="n"/>
      <c r="T190" s="272" t="n"/>
      <c r="U190" s="275" t="n"/>
      <c r="V190" s="28" t="n"/>
      <c r="W190" s="323">
        <f>H190</f>
        <v/>
      </c>
      <c r="X190" s="323">
        <f>IF(W190&lt;0,X191,X191+W190)</f>
        <v/>
      </c>
      <c r="Y190" s="323">
        <f>$W$226-X190</f>
        <v/>
      </c>
      <c r="Z190" s="323">
        <f>IF(Y190&lt;0,Y191,H190)</f>
        <v/>
      </c>
      <c r="AA190" s="323" t="n"/>
      <c r="AB190" s="323">
        <f>K190</f>
        <v/>
      </c>
      <c r="AC190" s="323">
        <f>IF(AB190&lt;0,AC191,AC191+AB190)</f>
        <v/>
      </c>
      <c r="AD190" s="323">
        <f>$X$226-AC190</f>
        <v/>
      </c>
      <c r="AE190" s="323">
        <f>IF(AD190&lt;0,AD191,K190)</f>
        <v/>
      </c>
      <c r="AF190" s="323" t="n"/>
    </row>
    <row r="191" hidden="1">
      <c r="B191" s="60" t="n"/>
      <c r="C191" s="60" t="n"/>
      <c r="D191" s="324" t="n"/>
      <c r="E191" s="272" t="n"/>
      <c r="F191" s="275" t="n"/>
      <c r="G191" s="61" t="n"/>
      <c r="H191" s="321">
        <f>ROUND(G191*D191,2)</f>
        <v/>
      </c>
      <c r="I191" s="262" t="n"/>
      <c r="J191" s="263" t="n"/>
      <c r="K191" s="321">
        <f>ROUND(IF($I$28="YES",IF(G191&gt;0,D191*(1-G191),0),0),2)</f>
        <v/>
      </c>
      <c r="L191" s="321">
        <f>ROUND(IF(G191=0,D191,0),2)</f>
        <v/>
      </c>
      <c r="M191" s="321">
        <f>ROUND(IF($I$28="NO",IF(G191&gt;0,D191*(1-G191),0),0),2)</f>
        <v/>
      </c>
      <c r="N191" s="62" t="n"/>
      <c r="O191" s="322">
        <f>ROUND(IF(Z191&lt;0,0,Z191),2)</f>
        <v/>
      </c>
      <c r="P191" s="322">
        <f>ROUND(IF($I$28="YES",IF(AE191&lt;0,0,AE191),0),2)</f>
        <v/>
      </c>
      <c r="Q191" s="100" t="n"/>
      <c r="R191" s="272" t="n"/>
      <c r="S191" s="272" t="n"/>
      <c r="T191" s="272" t="n"/>
      <c r="U191" s="275" t="n"/>
      <c r="V191" s="28" t="n"/>
      <c r="W191" s="323">
        <f>H191</f>
        <v/>
      </c>
      <c r="X191" s="323">
        <f>IF(W191&lt;0,X192,X192+W191)</f>
        <v/>
      </c>
      <c r="Y191" s="323">
        <f>$W$226-X191</f>
        <v/>
      </c>
      <c r="Z191" s="323">
        <f>IF(Y191&lt;0,Y192,H191)</f>
        <v/>
      </c>
      <c r="AA191" s="323" t="n"/>
      <c r="AB191" s="323">
        <f>K191</f>
        <v/>
      </c>
      <c r="AC191" s="323">
        <f>IF(AB191&lt;0,AC192,AC192+AB191)</f>
        <v/>
      </c>
      <c r="AD191" s="323">
        <f>$X$226-AC191</f>
        <v/>
      </c>
      <c r="AE191" s="323">
        <f>IF(AD191&lt;0,AD192,K191)</f>
        <v/>
      </c>
      <c r="AF191" s="323" t="n"/>
    </row>
    <row r="192" hidden="1">
      <c r="B192" s="60" t="n"/>
      <c r="C192" s="60" t="n"/>
      <c r="D192" s="324" t="n"/>
      <c r="E192" s="272" t="n"/>
      <c r="F192" s="275" t="n"/>
      <c r="G192" s="61" t="n"/>
      <c r="H192" s="321">
        <f>ROUND(G192*D192,2)</f>
        <v/>
      </c>
      <c r="I192" s="262" t="n"/>
      <c r="J192" s="263" t="n"/>
      <c r="K192" s="321">
        <f>ROUND(IF($I$28="YES",IF(G192&gt;0,D192*(1-G192),0),0),2)</f>
        <v/>
      </c>
      <c r="L192" s="321">
        <f>ROUND(IF(G192=0,D192,0),2)</f>
        <v/>
      </c>
      <c r="M192" s="321">
        <f>ROUND(IF($I$28="NO",IF(G192&gt;0,D192*(1-G192),0),0),2)</f>
        <v/>
      </c>
      <c r="N192" s="62" t="n"/>
      <c r="O192" s="322">
        <f>ROUND(IF(Z192&lt;0,0,Z192),2)</f>
        <v/>
      </c>
      <c r="P192" s="322">
        <f>ROUND(IF($I$28="YES",IF(AE192&lt;0,0,AE192),0),2)</f>
        <v/>
      </c>
      <c r="Q192" s="100" t="n"/>
      <c r="R192" s="272" t="n"/>
      <c r="S192" s="272" t="n"/>
      <c r="T192" s="272" t="n"/>
      <c r="U192" s="275" t="n"/>
      <c r="V192" s="28" t="n"/>
      <c r="W192" s="323">
        <f>H192</f>
        <v/>
      </c>
      <c r="X192" s="323">
        <f>IF(W192&lt;0,X193,X193+W192)</f>
        <v/>
      </c>
      <c r="Y192" s="323">
        <f>$W$226-X192</f>
        <v/>
      </c>
      <c r="Z192" s="323">
        <f>IF(Y192&lt;0,Y193,H192)</f>
        <v/>
      </c>
      <c r="AA192" s="323" t="n"/>
      <c r="AB192" s="323">
        <f>K192</f>
        <v/>
      </c>
      <c r="AC192" s="323">
        <f>IF(AB192&lt;0,AC193,AC193+AB192)</f>
        <v/>
      </c>
      <c r="AD192" s="323">
        <f>$X$226-AC192</f>
        <v/>
      </c>
      <c r="AE192" s="323">
        <f>IF(AD192&lt;0,AD193,K192)</f>
        <v/>
      </c>
      <c r="AF192" s="323" t="n"/>
    </row>
    <row r="193" hidden="1">
      <c r="B193" s="60" t="n"/>
      <c r="C193" s="60" t="n"/>
      <c r="D193" s="324" t="n"/>
      <c r="E193" s="272" t="n"/>
      <c r="F193" s="275" t="n"/>
      <c r="G193" s="61" t="n"/>
      <c r="H193" s="321">
        <f>ROUND(G193*D193,2)</f>
        <v/>
      </c>
      <c r="I193" s="262" t="n"/>
      <c r="J193" s="263" t="n"/>
      <c r="K193" s="321">
        <f>ROUND(IF($I$28="YES",IF(G193&gt;0,D193*(1-G193),0),0),2)</f>
        <v/>
      </c>
      <c r="L193" s="321">
        <f>ROUND(IF(G193=0,D193,0),2)</f>
        <v/>
      </c>
      <c r="M193" s="321">
        <f>ROUND(IF($I$28="NO",IF(G193&gt;0,D193*(1-G193),0),0),2)</f>
        <v/>
      </c>
      <c r="N193" s="62" t="n"/>
      <c r="O193" s="322">
        <f>ROUND(IF(Z193&lt;0,0,Z193),2)</f>
        <v/>
      </c>
      <c r="P193" s="322">
        <f>ROUND(IF($I$28="YES",IF(AE193&lt;0,0,AE193),0),2)</f>
        <v/>
      </c>
      <c r="Q193" s="100" t="n"/>
      <c r="R193" s="272" t="n"/>
      <c r="S193" s="272" t="n"/>
      <c r="T193" s="272" t="n"/>
      <c r="U193" s="275" t="n"/>
      <c r="V193" s="28" t="n"/>
      <c r="W193" s="323">
        <f>H193</f>
        <v/>
      </c>
      <c r="X193" s="323">
        <f>IF(W193&lt;0,X194,X194+W193)</f>
        <v/>
      </c>
      <c r="Y193" s="323">
        <f>$W$226-X193</f>
        <v/>
      </c>
      <c r="Z193" s="323">
        <f>IF(Y193&lt;0,Y194,H193)</f>
        <v/>
      </c>
      <c r="AA193" s="323" t="n"/>
      <c r="AB193" s="323">
        <f>K193</f>
        <v/>
      </c>
      <c r="AC193" s="323">
        <f>IF(AB193&lt;0,AC194,AC194+AB193)</f>
        <v/>
      </c>
      <c r="AD193" s="323">
        <f>$X$226-AC193</f>
        <v/>
      </c>
      <c r="AE193" s="323">
        <f>IF(AD193&lt;0,AD194,K193)</f>
        <v/>
      </c>
      <c r="AF193" s="323" t="n"/>
    </row>
    <row r="194" hidden="1">
      <c r="B194" s="60" t="n"/>
      <c r="C194" s="60" t="n"/>
      <c r="D194" s="324" t="n"/>
      <c r="E194" s="272" t="n"/>
      <c r="F194" s="275" t="n"/>
      <c r="G194" s="61" t="n"/>
      <c r="H194" s="321">
        <f>ROUND(G194*D194,2)</f>
        <v/>
      </c>
      <c r="I194" s="262" t="n"/>
      <c r="J194" s="263" t="n"/>
      <c r="K194" s="321">
        <f>ROUND(IF($I$28="YES",IF(G194&gt;0,D194*(1-G194),0),0),2)</f>
        <v/>
      </c>
      <c r="L194" s="321">
        <f>ROUND(IF(G194=0,D194,0),2)</f>
        <v/>
      </c>
      <c r="M194" s="321">
        <f>ROUND(IF($I$28="NO",IF(G194&gt;0,D194*(1-G194),0),0),2)</f>
        <v/>
      </c>
      <c r="N194" s="62" t="n"/>
      <c r="O194" s="322">
        <f>ROUND(IF(Z194&lt;0,0,Z194),2)</f>
        <v/>
      </c>
      <c r="P194" s="322">
        <f>ROUND(IF($I$28="YES",IF(AE194&lt;0,0,AE194),0),2)</f>
        <v/>
      </c>
      <c r="Q194" s="100" t="n"/>
      <c r="R194" s="272" t="n"/>
      <c r="S194" s="272" t="n"/>
      <c r="T194" s="272" t="n"/>
      <c r="U194" s="275" t="n"/>
      <c r="V194" s="28" t="n"/>
      <c r="W194" s="323">
        <f>H194</f>
        <v/>
      </c>
      <c r="X194" s="323">
        <f>IF(W194&lt;0,X195,X195+W194)</f>
        <v/>
      </c>
      <c r="Y194" s="323">
        <f>$W$226-X194</f>
        <v/>
      </c>
      <c r="Z194" s="323">
        <f>IF(Y194&lt;0,Y195,H194)</f>
        <v/>
      </c>
      <c r="AA194" s="323" t="n"/>
      <c r="AB194" s="323">
        <f>K194</f>
        <v/>
      </c>
      <c r="AC194" s="323">
        <f>IF(AB194&lt;0,AC195,AC195+AB194)</f>
        <v/>
      </c>
      <c r="AD194" s="323">
        <f>$X$226-AC194</f>
        <v/>
      </c>
      <c r="AE194" s="323">
        <f>IF(AD194&lt;0,AD195,K194)</f>
        <v/>
      </c>
      <c r="AF194" s="323" t="n"/>
    </row>
    <row r="195" hidden="1">
      <c r="B195" s="60" t="n"/>
      <c r="C195" s="60" t="n"/>
      <c r="D195" s="324" t="n"/>
      <c r="E195" s="272" t="n"/>
      <c r="F195" s="275" t="n"/>
      <c r="G195" s="61" t="n"/>
      <c r="H195" s="321">
        <f>ROUND(G195*D195,2)</f>
        <v/>
      </c>
      <c r="I195" s="262" t="n"/>
      <c r="J195" s="263" t="n"/>
      <c r="K195" s="321">
        <f>ROUND(IF($I$28="YES",IF(G195&gt;0,D195*(1-G195),0),0),2)</f>
        <v/>
      </c>
      <c r="L195" s="321">
        <f>ROUND(IF(G195=0,D195,0),2)</f>
        <v/>
      </c>
      <c r="M195" s="321">
        <f>ROUND(IF($I$28="NO",IF(G195&gt;0,D195*(1-G195),0),0),2)</f>
        <v/>
      </c>
      <c r="N195" s="62" t="n"/>
      <c r="O195" s="322">
        <f>ROUND(IF(Z195&lt;0,0,Z195),2)</f>
        <v/>
      </c>
      <c r="P195" s="322">
        <f>ROUND(IF($I$28="YES",IF(AE195&lt;0,0,AE195),0),2)</f>
        <v/>
      </c>
      <c r="Q195" s="100" t="n"/>
      <c r="R195" s="272" t="n"/>
      <c r="S195" s="272" t="n"/>
      <c r="T195" s="272" t="n"/>
      <c r="U195" s="275" t="n"/>
      <c r="V195" s="28" t="n"/>
      <c r="W195" s="323">
        <f>H195</f>
        <v/>
      </c>
      <c r="X195" s="323">
        <f>IF(W195&lt;0,X196,X196+W195)</f>
        <v/>
      </c>
      <c r="Y195" s="323">
        <f>$W$226-X195</f>
        <v/>
      </c>
      <c r="Z195" s="323">
        <f>IF(Y195&lt;0,Y196,H195)</f>
        <v/>
      </c>
      <c r="AA195" s="323" t="n"/>
      <c r="AB195" s="323">
        <f>K195</f>
        <v/>
      </c>
      <c r="AC195" s="323">
        <f>IF(AB195&lt;0,AC196,AC196+AB195)</f>
        <v/>
      </c>
      <c r="AD195" s="323">
        <f>$X$226-AC195</f>
        <v/>
      </c>
      <c r="AE195" s="323">
        <f>IF(AD195&lt;0,AD196,K195)</f>
        <v/>
      </c>
      <c r="AF195" s="323" t="n"/>
    </row>
    <row r="196" hidden="1">
      <c r="B196" s="60" t="n"/>
      <c r="C196" s="60" t="n"/>
      <c r="D196" s="324" t="n"/>
      <c r="E196" s="272" t="n"/>
      <c r="F196" s="275" t="n"/>
      <c r="G196" s="61" t="n"/>
      <c r="H196" s="321">
        <f>ROUND(G196*D196,2)</f>
        <v/>
      </c>
      <c r="I196" s="262" t="n"/>
      <c r="J196" s="263" t="n"/>
      <c r="K196" s="321">
        <f>ROUND(IF($I$28="YES",IF(G196&gt;0,D196*(1-G196),0),0),2)</f>
        <v/>
      </c>
      <c r="L196" s="321">
        <f>ROUND(IF(G196=0,D196,0),2)</f>
        <v/>
      </c>
      <c r="M196" s="321">
        <f>ROUND(IF($I$28="NO",IF(G196&gt;0,D196*(1-G196),0),0),2)</f>
        <v/>
      </c>
      <c r="N196" s="62" t="n"/>
      <c r="O196" s="322">
        <f>ROUND(IF(Z196&lt;0,0,Z196),2)</f>
        <v/>
      </c>
      <c r="P196" s="322">
        <f>ROUND(IF($I$28="YES",IF(AE196&lt;0,0,AE196),0),2)</f>
        <v/>
      </c>
      <c r="Q196" s="100" t="n"/>
      <c r="R196" s="272" t="n"/>
      <c r="S196" s="272" t="n"/>
      <c r="T196" s="272" t="n"/>
      <c r="U196" s="275" t="n"/>
      <c r="V196" s="28" t="n"/>
      <c r="W196" s="323">
        <f>H196</f>
        <v/>
      </c>
      <c r="X196" s="323">
        <f>IF(W196&lt;0,X197,X197+W196)</f>
        <v/>
      </c>
      <c r="Y196" s="323">
        <f>$W$226-X196</f>
        <v/>
      </c>
      <c r="Z196" s="323">
        <f>IF(Y196&lt;0,Y197,H196)</f>
        <v/>
      </c>
      <c r="AA196" s="323" t="n"/>
      <c r="AB196" s="323">
        <f>K196</f>
        <v/>
      </c>
      <c r="AC196" s="323">
        <f>IF(AB196&lt;0,AC197,AC197+AB196)</f>
        <v/>
      </c>
      <c r="AD196" s="323">
        <f>$X$226-AC196</f>
        <v/>
      </c>
      <c r="AE196" s="323">
        <f>IF(AD196&lt;0,AD197,K196)</f>
        <v/>
      </c>
      <c r="AF196" s="323" t="n"/>
    </row>
    <row r="197" hidden="1">
      <c r="B197" s="60" t="n"/>
      <c r="C197" s="60" t="n"/>
      <c r="D197" s="324" t="n"/>
      <c r="E197" s="272" t="n"/>
      <c r="F197" s="275" t="n"/>
      <c r="G197" s="61" t="n"/>
      <c r="H197" s="321">
        <f>ROUND(G197*D197,2)</f>
        <v/>
      </c>
      <c r="I197" s="262" t="n"/>
      <c r="J197" s="263" t="n"/>
      <c r="K197" s="321">
        <f>ROUND(IF($I$28="YES",IF(G197&gt;0,D197*(1-G197),0),0),2)</f>
        <v/>
      </c>
      <c r="L197" s="321">
        <f>ROUND(IF(G197=0,D197,0),2)</f>
        <v/>
      </c>
      <c r="M197" s="321">
        <f>ROUND(IF($I$28="NO",IF(G197&gt;0,D197*(1-G197),0),0),2)</f>
        <v/>
      </c>
      <c r="N197" s="62" t="n"/>
      <c r="O197" s="322">
        <f>ROUND(IF(Z197&lt;0,0,Z197),2)</f>
        <v/>
      </c>
      <c r="P197" s="322">
        <f>ROUND(IF($I$28="YES",IF(AE197&lt;0,0,AE197),0),2)</f>
        <v/>
      </c>
      <c r="Q197" s="100" t="n"/>
      <c r="R197" s="272" t="n"/>
      <c r="S197" s="272" t="n"/>
      <c r="T197" s="272" t="n"/>
      <c r="U197" s="275" t="n"/>
      <c r="V197" s="28" t="n"/>
      <c r="W197" s="323">
        <f>H197</f>
        <v/>
      </c>
      <c r="X197" s="323">
        <f>IF(W197&lt;0,X198,X198+W197)</f>
        <v/>
      </c>
      <c r="Y197" s="323">
        <f>$W$226-X197</f>
        <v/>
      </c>
      <c r="Z197" s="323">
        <f>IF(Y197&lt;0,Y198,H197)</f>
        <v/>
      </c>
      <c r="AA197" s="323" t="n"/>
      <c r="AB197" s="323">
        <f>K197</f>
        <v/>
      </c>
      <c r="AC197" s="323">
        <f>IF(AB197&lt;0,AC198,AC198+AB197)</f>
        <v/>
      </c>
      <c r="AD197" s="323">
        <f>$X$226-AC197</f>
        <v/>
      </c>
      <c r="AE197" s="323">
        <f>IF(AD197&lt;0,AD198,K197)</f>
        <v/>
      </c>
      <c r="AF197" s="323" t="n"/>
    </row>
    <row r="198" hidden="1">
      <c r="B198" s="60" t="n"/>
      <c r="C198" s="60" t="n"/>
      <c r="D198" s="324" t="n"/>
      <c r="E198" s="272" t="n"/>
      <c r="F198" s="275" t="n"/>
      <c r="G198" s="61" t="n"/>
      <c r="H198" s="321">
        <f>ROUND(G198*D198,2)</f>
        <v/>
      </c>
      <c r="I198" s="262" t="n"/>
      <c r="J198" s="263" t="n"/>
      <c r="K198" s="321">
        <f>ROUND(IF($I$28="YES",IF(G198&gt;0,D198*(1-G198),0),0),2)</f>
        <v/>
      </c>
      <c r="L198" s="321">
        <f>ROUND(IF(G198=0,D198,0),2)</f>
        <v/>
      </c>
      <c r="M198" s="321">
        <f>ROUND(IF($I$28="NO",IF(G198&gt;0,D198*(1-G198),0),0),2)</f>
        <v/>
      </c>
      <c r="N198" s="62" t="n"/>
      <c r="O198" s="322">
        <f>ROUND(IF(Z198&lt;0,0,Z198),2)</f>
        <v/>
      </c>
      <c r="P198" s="322">
        <f>ROUND(IF($I$28="YES",IF(AE198&lt;0,0,AE198),0),2)</f>
        <v/>
      </c>
      <c r="Q198" s="100" t="n"/>
      <c r="R198" s="272" t="n"/>
      <c r="S198" s="272" t="n"/>
      <c r="T198" s="272" t="n"/>
      <c r="U198" s="275" t="n"/>
      <c r="V198" s="28" t="n"/>
      <c r="W198" s="323">
        <f>H198</f>
        <v/>
      </c>
      <c r="X198" s="323">
        <f>IF(W198&lt;0,X199,X199+W198)</f>
        <v/>
      </c>
      <c r="Y198" s="323">
        <f>$W$226-X198</f>
        <v/>
      </c>
      <c r="Z198" s="323">
        <f>IF(Y198&lt;0,Y199,H198)</f>
        <v/>
      </c>
      <c r="AA198" s="323" t="n"/>
      <c r="AB198" s="323">
        <f>K198</f>
        <v/>
      </c>
      <c r="AC198" s="323">
        <f>IF(AB198&lt;0,AC199,AC199+AB198)</f>
        <v/>
      </c>
      <c r="AD198" s="323">
        <f>$X$226-AC198</f>
        <v/>
      </c>
      <c r="AE198" s="323">
        <f>IF(AD198&lt;0,AD199,K198)</f>
        <v/>
      </c>
      <c r="AF198" s="323" t="n"/>
    </row>
    <row r="199" hidden="1">
      <c r="B199" s="60" t="n"/>
      <c r="C199" s="60" t="n"/>
      <c r="D199" s="324" t="n"/>
      <c r="E199" s="272" t="n"/>
      <c r="F199" s="275" t="n"/>
      <c r="G199" s="61" t="n"/>
      <c r="H199" s="321">
        <f>ROUND(G199*D199,2)</f>
        <v/>
      </c>
      <c r="I199" s="262" t="n"/>
      <c r="J199" s="263" t="n"/>
      <c r="K199" s="321">
        <f>ROUND(IF($I$28="YES",IF(G199&gt;0,D199*(1-G199),0),0),2)</f>
        <v/>
      </c>
      <c r="L199" s="321">
        <f>ROUND(IF(G199=0,D199,0),2)</f>
        <v/>
      </c>
      <c r="M199" s="321">
        <f>ROUND(IF($I$28="NO",IF(G199&gt;0,D199*(1-G199),0),0),2)</f>
        <v/>
      </c>
      <c r="N199" s="62" t="n"/>
      <c r="O199" s="322">
        <f>ROUND(IF(Z199&lt;0,0,Z199),2)</f>
        <v/>
      </c>
      <c r="P199" s="322">
        <f>ROUND(IF($I$28="YES",IF(AE199&lt;0,0,AE199),0),2)</f>
        <v/>
      </c>
      <c r="Q199" s="100" t="n"/>
      <c r="R199" s="272" t="n"/>
      <c r="S199" s="272" t="n"/>
      <c r="T199" s="272" t="n"/>
      <c r="U199" s="275" t="n"/>
      <c r="V199" s="28" t="n"/>
      <c r="W199" s="323">
        <f>H199</f>
        <v/>
      </c>
      <c r="X199" s="323">
        <f>IF(W199&lt;0,X200,X200+W199)</f>
        <v/>
      </c>
      <c r="Y199" s="323">
        <f>$W$226-X199</f>
        <v/>
      </c>
      <c r="Z199" s="323">
        <f>IF(Y199&lt;0,Y200,H199)</f>
        <v/>
      </c>
      <c r="AA199" s="323" t="n"/>
      <c r="AB199" s="323">
        <f>K199</f>
        <v/>
      </c>
      <c r="AC199" s="323">
        <f>IF(AB199&lt;0,AC200,AC200+AB199)</f>
        <v/>
      </c>
      <c r="AD199" s="323">
        <f>$X$226-AC199</f>
        <v/>
      </c>
      <c r="AE199" s="323">
        <f>IF(AD199&lt;0,AD200,K199)</f>
        <v/>
      </c>
      <c r="AF199" s="323" t="n"/>
    </row>
    <row r="200" hidden="1">
      <c r="B200" s="60" t="n"/>
      <c r="C200" s="60" t="n"/>
      <c r="D200" s="324" t="n"/>
      <c r="E200" s="272" t="n"/>
      <c r="F200" s="275" t="n"/>
      <c r="G200" s="61" t="n"/>
      <c r="H200" s="321">
        <f>ROUND(G200*D200,2)</f>
        <v/>
      </c>
      <c r="I200" s="262" t="n"/>
      <c r="J200" s="263" t="n"/>
      <c r="K200" s="321">
        <f>ROUND(IF($I$28="YES",IF(G200&gt;0,D200*(1-G200),0),0),2)</f>
        <v/>
      </c>
      <c r="L200" s="321">
        <f>ROUND(IF(G200=0,D200,0),2)</f>
        <v/>
      </c>
      <c r="M200" s="321">
        <f>ROUND(IF($I$28="NO",IF(G200&gt;0,D200*(1-G200),0),0),2)</f>
        <v/>
      </c>
      <c r="N200" s="62" t="n"/>
      <c r="O200" s="322">
        <f>ROUND(IF(Z200&lt;0,0,Z200),2)</f>
        <v/>
      </c>
      <c r="P200" s="322">
        <f>ROUND(IF($I$28="YES",IF(AE200&lt;0,0,AE200),0),2)</f>
        <v/>
      </c>
      <c r="Q200" s="100" t="n"/>
      <c r="R200" s="272" t="n"/>
      <c r="S200" s="272" t="n"/>
      <c r="T200" s="272" t="n"/>
      <c r="U200" s="275" t="n"/>
      <c r="V200" s="28" t="n"/>
      <c r="W200" s="323">
        <f>H200</f>
        <v/>
      </c>
      <c r="X200" s="323">
        <f>IF(W200&lt;0,X201,X201+W200)</f>
        <v/>
      </c>
      <c r="Y200" s="323">
        <f>$W$226-X200</f>
        <v/>
      </c>
      <c r="Z200" s="323">
        <f>IF(Y200&lt;0,Y201,H200)</f>
        <v/>
      </c>
      <c r="AA200" s="323" t="n"/>
      <c r="AB200" s="323">
        <f>K200</f>
        <v/>
      </c>
      <c r="AC200" s="323">
        <f>IF(AB200&lt;0,AC201,AC201+AB200)</f>
        <v/>
      </c>
      <c r="AD200" s="323">
        <f>$X$226-AC200</f>
        <v/>
      </c>
      <c r="AE200" s="323">
        <f>IF(AD200&lt;0,AD201,K200)</f>
        <v/>
      </c>
      <c r="AF200" s="323" t="n"/>
    </row>
    <row r="201" hidden="1">
      <c r="B201" s="60" t="n"/>
      <c r="C201" s="60" t="n"/>
      <c r="D201" s="324" t="n"/>
      <c r="E201" s="272" t="n"/>
      <c r="F201" s="275" t="n"/>
      <c r="G201" s="61" t="n"/>
      <c r="H201" s="321">
        <f>ROUND(G201*D201,2)</f>
        <v/>
      </c>
      <c r="I201" s="262" t="n"/>
      <c r="J201" s="263" t="n"/>
      <c r="K201" s="321">
        <f>ROUND(IF($I$28="YES",IF(G201&gt;0,D201*(1-G201),0),0),2)</f>
        <v/>
      </c>
      <c r="L201" s="321">
        <f>ROUND(IF(G201=0,D201,0),2)</f>
        <v/>
      </c>
      <c r="M201" s="321">
        <f>ROUND(IF($I$28="NO",IF(G201&gt;0,D201*(1-G201),0),0),2)</f>
        <v/>
      </c>
      <c r="N201" s="62" t="n"/>
      <c r="O201" s="322">
        <f>ROUND(IF(Z201&lt;0,0,Z201),2)</f>
        <v/>
      </c>
      <c r="P201" s="322">
        <f>ROUND(IF($I$28="YES",IF(AE201&lt;0,0,AE201),0),2)</f>
        <v/>
      </c>
      <c r="Q201" s="100" t="n"/>
      <c r="R201" s="272" t="n"/>
      <c r="S201" s="272" t="n"/>
      <c r="T201" s="272" t="n"/>
      <c r="U201" s="275" t="n"/>
      <c r="V201" s="28" t="n"/>
      <c r="W201" s="323">
        <f>H201</f>
        <v/>
      </c>
      <c r="X201" s="323">
        <f>IF(W201&lt;0,X202,X202+W201)</f>
        <v/>
      </c>
      <c r="Y201" s="323">
        <f>$W$226-X201</f>
        <v/>
      </c>
      <c r="Z201" s="323">
        <f>IF(Y201&lt;0,Y202,H201)</f>
        <v/>
      </c>
      <c r="AA201" s="323" t="n"/>
      <c r="AB201" s="323">
        <f>K201</f>
        <v/>
      </c>
      <c r="AC201" s="323">
        <f>IF(AB201&lt;0,AC202,AC202+AB201)</f>
        <v/>
      </c>
      <c r="AD201" s="323">
        <f>$X$226-AC201</f>
        <v/>
      </c>
      <c r="AE201" s="323">
        <f>IF(AD201&lt;0,AD202,K201)</f>
        <v/>
      </c>
      <c r="AF201" s="323" t="n"/>
    </row>
    <row r="202" hidden="1">
      <c r="B202" s="60" t="n"/>
      <c r="C202" s="60" t="n"/>
      <c r="D202" s="324" t="n"/>
      <c r="E202" s="272" t="n"/>
      <c r="F202" s="275" t="n"/>
      <c r="G202" s="61" t="n"/>
      <c r="H202" s="321">
        <f>ROUND(G202*D202,2)</f>
        <v/>
      </c>
      <c r="I202" s="262" t="n"/>
      <c r="J202" s="263" t="n"/>
      <c r="K202" s="321">
        <f>ROUND(IF($I$28="YES",IF(G202&gt;0,D202*(1-G202),0),0),2)</f>
        <v/>
      </c>
      <c r="L202" s="321">
        <f>ROUND(IF(G202=0,D202,0),2)</f>
        <v/>
      </c>
      <c r="M202" s="321">
        <f>ROUND(IF($I$28="NO",IF(G202&gt;0,D202*(1-G202),0),0),2)</f>
        <v/>
      </c>
      <c r="N202" s="62" t="n"/>
      <c r="O202" s="322">
        <f>ROUND(IF(Z202&lt;0,0,Z202),2)</f>
        <v/>
      </c>
      <c r="P202" s="322">
        <f>ROUND(IF($I$28="YES",IF(AE202&lt;0,0,AE202),0),2)</f>
        <v/>
      </c>
      <c r="Q202" s="100" t="n"/>
      <c r="R202" s="272" t="n"/>
      <c r="S202" s="272" t="n"/>
      <c r="T202" s="272" t="n"/>
      <c r="U202" s="275" t="n"/>
      <c r="V202" s="28" t="n"/>
      <c r="W202" s="323">
        <f>H202</f>
        <v/>
      </c>
      <c r="X202" s="323">
        <f>IF(W202&lt;0,X203,X203+W202)</f>
        <v/>
      </c>
      <c r="Y202" s="323">
        <f>$W$226-X202</f>
        <v/>
      </c>
      <c r="Z202" s="323">
        <f>IF(Y202&lt;0,Y203,H202)</f>
        <v/>
      </c>
      <c r="AA202" s="323" t="n"/>
      <c r="AB202" s="323">
        <f>K202</f>
        <v/>
      </c>
      <c r="AC202" s="323">
        <f>IF(AB202&lt;0,AC203,AC203+AB202)</f>
        <v/>
      </c>
      <c r="AD202" s="323">
        <f>$X$226-AC202</f>
        <v/>
      </c>
      <c r="AE202" s="323">
        <f>IF(AD202&lt;0,AD203,K202)</f>
        <v/>
      </c>
      <c r="AF202" s="323" t="n"/>
    </row>
    <row r="203" hidden="1">
      <c r="B203" s="60" t="n"/>
      <c r="C203" s="60" t="n"/>
      <c r="D203" s="324" t="n"/>
      <c r="E203" s="272" t="n"/>
      <c r="F203" s="275" t="n"/>
      <c r="G203" s="61" t="n"/>
      <c r="H203" s="321">
        <f>ROUND(G203*D203,2)</f>
        <v/>
      </c>
      <c r="I203" s="262" t="n"/>
      <c r="J203" s="263" t="n"/>
      <c r="K203" s="321">
        <f>ROUND(IF($I$28="YES",IF(G203&gt;0,D203*(1-G203),0),0),2)</f>
        <v/>
      </c>
      <c r="L203" s="321">
        <f>ROUND(IF(G203=0,D203,0),2)</f>
        <v/>
      </c>
      <c r="M203" s="321">
        <f>ROUND(IF($I$28="NO",IF(G203&gt;0,D203*(1-G203),0),0),2)</f>
        <v/>
      </c>
      <c r="N203" s="62" t="n"/>
      <c r="O203" s="322">
        <f>ROUND(IF(Z203&lt;0,0,Z203),2)</f>
        <v/>
      </c>
      <c r="P203" s="322">
        <f>ROUND(IF($I$28="YES",IF(AE203&lt;0,0,AE203),0),2)</f>
        <v/>
      </c>
      <c r="Q203" s="100" t="n"/>
      <c r="R203" s="272" t="n"/>
      <c r="S203" s="272" t="n"/>
      <c r="T203" s="272" t="n"/>
      <c r="U203" s="275" t="n"/>
      <c r="V203" s="28" t="n"/>
      <c r="W203" s="323">
        <f>H203</f>
        <v/>
      </c>
      <c r="X203" s="323">
        <f>IF(W203&lt;0,X204,X204+W203)</f>
        <v/>
      </c>
      <c r="Y203" s="323">
        <f>$W$226-X203</f>
        <v/>
      </c>
      <c r="Z203" s="323">
        <f>IF(Y203&lt;0,Y204,H203)</f>
        <v/>
      </c>
      <c r="AA203" s="323" t="n"/>
      <c r="AB203" s="323">
        <f>K203</f>
        <v/>
      </c>
      <c r="AC203" s="323">
        <f>IF(AB203&lt;0,AC204,AC204+AB203)</f>
        <v/>
      </c>
      <c r="AD203" s="323">
        <f>$X$226-AC203</f>
        <v/>
      </c>
      <c r="AE203" s="323">
        <f>IF(AD203&lt;0,AD204,K203)</f>
        <v/>
      </c>
      <c r="AF203" s="323" t="n"/>
    </row>
    <row r="204" hidden="1">
      <c r="B204" s="60" t="n"/>
      <c r="C204" s="60" t="n"/>
      <c r="D204" s="324" t="n"/>
      <c r="E204" s="272" t="n"/>
      <c r="F204" s="275" t="n"/>
      <c r="G204" s="61" t="n"/>
      <c r="H204" s="321">
        <f>ROUND(G204*D204,2)</f>
        <v/>
      </c>
      <c r="I204" s="262" t="n"/>
      <c r="J204" s="263" t="n"/>
      <c r="K204" s="321">
        <f>ROUND(IF($I$28="YES",IF(G204&gt;0,D204*(1-G204),0),0),2)</f>
        <v/>
      </c>
      <c r="L204" s="321">
        <f>ROUND(IF(G204=0,D204,0),2)</f>
        <v/>
      </c>
      <c r="M204" s="321">
        <f>ROUND(IF($I$28="NO",IF(G204&gt;0,D204*(1-G204),0),0),2)</f>
        <v/>
      </c>
      <c r="N204" s="62" t="n"/>
      <c r="O204" s="322">
        <f>ROUND(IF(Z204&lt;0,0,Z204),2)</f>
        <v/>
      </c>
      <c r="P204" s="322">
        <f>ROUND(IF($I$28="YES",IF(AE204&lt;0,0,AE204),0),2)</f>
        <v/>
      </c>
      <c r="Q204" s="100" t="n"/>
      <c r="R204" s="272" t="n"/>
      <c r="S204" s="272" t="n"/>
      <c r="T204" s="272" t="n"/>
      <c r="U204" s="275" t="n"/>
      <c r="V204" s="28" t="n"/>
      <c r="W204" s="323">
        <f>H204</f>
        <v/>
      </c>
      <c r="X204" s="323">
        <f>IF(W204&lt;0,X205,X205+W204)</f>
        <v/>
      </c>
      <c r="Y204" s="323">
        <f>$W$226-X204</f>
        <v/>
      </c>
      <c r="Z204" s="323">
        <f>IF(Y204&lt;0,Y205,H204)</f>
        <v/>
      </c>
      <c r="AA204" s="323" t="n"/>
      <c r="AB204" s="323">
        <f>K204</f>
        <v/>
      </c>
      <c r="AC204" s="323">
        <f>IF(AB204&lt;0,AC205,AC205+AB204)</f>
        <v/>
      </c>
      <c r="AD204" s="323">
        <f>$X$226-AC204</f>
        <v/>
      </c>
      <c r="AE204" s="323">
        <f>IF(AD204&lt;0,AD205,K204)</f>
        <v/>
      </c>
      <c r="AF204" s="323" t="n"/>
    </row>
    <row r="205" hidden="1">
      <c r="B205" s="60" t="n"/>
      <c r="C205" s="60" t="n"/>
      <c r="D205" s="324" t="n"/>
      <c r="E205" s="272" t="n"/>
      <c r="F205" s="275" t="n"/>
      <c r="G205" s="61" t="n"/>
      <c r="H205" s="321">
        <f>ROUND(G205*D205,2)</f>
        <v/>
      </c>
      <c r="I205" s="262" t="n"/>
      <c r="J205" s="263" t="n"/>
      <c r="K205" s="321">
        <f>ROUND(IF($I$28="YES",IF(G205&gt;0,D205*(1-G205),0),0),2)</f>
        <v/>
      </c>
      <c r="L205" s="321">
        <f>ROUND(IF(G205=0,D205,0),2)</f>
        <v/>
      </c>
      <c r="M205" s="321">
        <f>ROUND(IF($I$28="NO",IF(G205&gt;0,D205*(1-G205),0),0),2)</f>
        <v/>
      </c>
      <c r="N205" s="62" t="n"/>
      <c r="O205" s="322">
        <f>ROUND(IF(Z205&lt;0,0,Z205),2)</f>
        <v/>
      </c>
      <c r="P205" s="322">
        <f>ROUND(IF($I$28="YES",IF(AE205&lt;0,0,AE205),0),2)</f>
        <v/>
      </c>
      <c r="Q205" s="100" t="n"/>
      <c r="R205" s="272" t="n"/>
      <c r="S205" s="272" t="n"/>
      <c r="T205" s="272" t="n"/>
      <c r="U205" s="275" t="n"/>
      <c r="V205" s="28" t="n"/>
      <c r="W205" s="323">
        <f>H205</f>
        <v/>
      </c>
      <c r="X205" s="323">
        <f>IF(W205&lt;0,X206,X206+W205)</f>
        <v/>
      </c>
      <c r="Y205" s="323">
        <f>$W$226-X205</f>
        <v/>
      </c>
      <c r="Z205" s="323">
        <f>IF(Y205&lt;0,Y206,H205)</f>
        <v/>
      </c>
      <c r="AA205" s="323" t="n"/>
      <c r="AB205" s="323">
        <f>K205</f>
        <v/>
      </c>
      <c r="AC205" s="323">
        <f>IF(AB205&lt;0,AC206,AC206+AB205)</f>
        <v/>
      </c>
      <c r="AD205" s="323">
        <f>$X$226-AC205</f>
        <v/>
      </c>
      <c r="AE205" s="323">
        <f>IF(AD205&lt;0,AD206,K205)</f>
        <v/>
      </c>
      <c r="AF205" s="323" t="n"/>
    </row>
    <row r="206" hidden="1">
      <c r="B206" s="60" t="n"/>
      <c r="C206" s="60" t="n"/>
      <c r="D206" s="324" t="n"/>
      <c r="E206" s="272" t="n"/>
      <c r="F206" s="275" t="n"/>
      <c r="G206" s="61" t="n"/>
      <c r="H206" s="321">
        <f>ROUND(G206*D206,2)</f>
        <v/>
      </c>
      <c r="I206" s="262" t="n"/>
      <c r="J206" s="263" t="n"/>
      <c r="K206" s="321">
        <f>ROUND(IF($I$28="YES",IF(G206&gt;0,D206*(1-G206),0),0),2)</f>
        <v/>
      </c>
      <c r="L206" s="321">
        <f>ROUND(IF(G206=0,D206,0),2)</f>
        <v/>
      </c>
      <c r="M206" s="321">
        <f>ROUND(IF($I$28="NO",IF(G206&gt;0,D206*(1-G206),0),0),2)</f>
        <v/>
      </c>
      <c r="N206" s="62" t="n"/>
      <c r="O206" s="322">
        <f>ROUND(IF(Z206&lt;0,0,Z206),2)</f>
        <v/>
      </c>
      <c r="P206" s="322">
        <f>ROUND(IF($I$28="YES",IF(AE206&lt;0,0,AE206),0),2)</f>
        <v/>
      </c>
      <c r="Q206" s="100" t="n"/>
      <c r="R206" s="272" t="n"/>
      <c r="S206" s="272" t="n"/>
      <c r="T206" s="272" t="n"/>
      <c r="U206" s="275" t="n"/>
      <c r="V206" s="28" t="n"/>
      <c r="W206" s="323">
        <f>H206</f>
        <v/>
      </c>
      <c r="X206" s="323">
        <f>IF(W206&lt;0,X207,X207+W206)</f>
        <v/>
      </c>
      <c r="Y206" s="323">
        <f>$W$226-X206</f>
        <v/>
      </c>
      <c r="Z206" s="323">
        <f>IF(Y206&lt;0,Y207,H206)</f>
        <v/>
      </c>
      <c r="AA206" s="323" t="n"/>
      <c r="AB206" s="323">
        <f>K206</f>
        <v/>
      </c>
      <c r="AC206" s="323">
        <f>IF(AB206&lt;0,AC207,AC207+AB206)</f>
        <v/>
      </c>
      <c r="AD206" s="323">
        <f>$X$226-AC206</f>
        <v/>
      </c>
      <c r="AE206" s="323">
        <f>IF(AD206&lt;0,AD207,K206)</f>
        <v/>
      </c>
      <c r="AF206" s="323" t="n"/>
    </row>
    <row r="207" hidden="1">
      <c r="B207" s="60" t="n"/>
      <c r="C207" s="60" t="n"/>
      <c r="D207" s="324" t="n"/>
      <c r="E207" s="272" t="n"/>
      <c r="F207" s="275" t="n"/>
      <c r="G207" s="61" t="n"/>
      <c r="H207" s="321">
        <f>ROUND(G207*D207,2)</f>
        <v/>
      </c>
      <c r="I207" s="262" t="n"/>
      <c r="J207" s="263" t="n"/>
      <c r="K207" s="321">
        <f>ROUND(IF($I$28="YES",IF(G207&gt;0,D207*(1-G207),0),0),2)</f>
        <v/>
      </c>
      <c r="L207" s="321">
        <f>ROUND(IF(G207=0,D207,0),2)</f>
        <v/>
      </c>
      <c r="M207" s="321">
        <f>ROUND(IF($I$28="NO",IF(G207&gt;0,D207*(1-G207),0),0),2)</f>
        <v/>
      </c>
      <c r="N207" s="62" t="n"/>
      <c r="O207" s="322">
        <f>ROUND(IF(Z207&lt;0,0,Z207),2)</f>
        <v/>
      </c>
      <c r="P207" s="322">
        <f>ROUND(IF($I$28="YES",IF(AE207&lt;0,0,AE207),0),2)</f>
        <v/>
      </c>
      <c r="Q207" s="100" t="n"/>
      <c r="R207" s="272" t="n"/>
      <c r="S207" s="272" t="n"/>
      <c r="T207" s="272" t="n"/>
      <c r="U207" s="275" t="n"/>
      <c r="V207" s="28" t="n"/>
      <c r="W207" s="323">
        <f>H207</f>
        <v/>
      </c>
      <c r="X207" s="323">
        <f>IF(W207&lt;0,X208,X208+W207)</f>
        <v/>
      </c>
      <c r="Y207" s="323">
        <f>$W$226-X207</f>
        <v/>
      </c>
      <c r="Z207" s="323">
        <f>IF(Y207&lt;0,Y208,H207)</f>
        <v/>
      </c>
      <c r="AA207" s="323" t="n"/>
      <c r="AB207" s="323">
        <f>K207</f>
        <v/>
      </c>
      <c r="AC207" s="323">
        <f>IF(AB207&lt;0,AC208,AC208+AB207)</f>
        <v/>
      </c>
      <c r="AD207" s="323">
        <f>$X$226-AC207</f>
        <v/>
      </c>
      <c r="AE207" s="323">
        <f>IF(AD207&lt;0,AD208,K207)</f>
        <v/>
      </c>
      <c r="AF207" s="323" t="n"/>
    </row>
    <row r="208" hidden="1">
      <c r="B208" s="60" t="n"/>
      <c r="C208" s="60" t="n"/>
      <c r="D208" s="324" t="n"/>
      <c r="E208" s="272" t="n"/>
      <c r="F208" s="275" t="n"/>
      <c r="G208" s="61" t="n"/>
      <c r="H208" s="321">
        <f>ROUND(G208*D208,2)</f>
        <v/>
      </c>
      <c r="I208" s="262" t="n"/>
      <c r="J208" s="263" t="n"/>
      <c r="K208" s="321">
        <f>ROUND(IF($I$28="YES",IF(G208&gt;0,D208*(1-G208),0),0),2)</f>
        <v/>
      </c>
      <c r="L208" s="321">
        <f>ROUND(IF(G208=0,D208,0),2)</f>
        <v/>
      </c>
      <c r="M208" s="321">
        <f>ROUND(IF($I$28="NO",IF(G208&gt;0,D208*(1-G208),0),0),2)</f>
        <v/>
      </c>
      <c r="N208" s="62" t="n"/>
      <c r="O208" s="322">
        <f>ROUND(IF(Z208&lt;0,0,Z208),2)</f>
        <v/>
      </c>
      <c r="P208" s="322">
        <f>ROUND(IF($I$28="YES",IF(AE208&lt;0,0,AE208),0),2)</f>
        <v/>
      </c>
      <c r="Q208" s="100" t="n"/>
      <c r="R208" s="272" t="n"/>
      <c r="S208" s="272" t="n"/>
      <c r="T208" s="272" t="n"/>
      <c r="U208" s="275" t="n"/>
      <c r="V208" s="28" t="n"/>
      <c r="W208" s="323">
        <f>H208</f>
        <v/>
      </c>
      <c r="X208" s="323">
        <f>IF(W208&lt;0,X209,X209+W208)</f>
        <v/>
      </c>
      <c r="Y208" s="323">
        <f>$W$226-X208</f>
        <v/>
      </c>
      <c r="Z208" s="323">
        <f>IF(Y208&lt;0,Y209,H208)</f>
        <v/>
      </c>
      <c r="AA208" s="323" t="n"/>
      <c r="AB208" s="323">
        <f>K208</f>
        <v/>
      </c>
      <c r="AC208" s="323">
        <f>IF(AB208&lt;0,AC209,AC209+AB208)</f>
        <v/>
      </c>
      <c r="AD208" s="323">
        <f>$X$226-AC208</f>
        <v/>
      </c>
      <c r="AE208" s="323">
        <f>IF(AD208&lt;0,AD209,K208)</f>
        <v/>
      </c>
      <c r="AF208" s="323" t="n"/>
    </row>
    <row r="209" hidden="1">
      <c r="B209" s="60" t="n"/>
      <c r="C209" s="60" t="n"/>
      <c r="D209" s="324" t="n"/>
      <c r="E209" s="272" t="n"/>
      <c r="F209" s="275" t="n"/>
      <c r="G209" s="61" t="n"/>
      <c r="H209" s="321">
        <f>ROUND(G209*D209,2)</f>
        <v/>
      </c>
      <c r="I209" s="262" t="n"/>
      <c r="J209" s="263" t="n"/>
      <c r="K209" s="321">
        <f>ROUND(IF($I$28="YES",IF(G209&gt;0,D209*(1-G209),0),0),2)</f>
        <v/>
      </c>
      <c r="L209" s="321">
        <f>ROUND(IF(G209=0,D209,0),2)</f>
        <v/>
      </c>
      <c r="M209" s="321">
        <f>ROUND(IF($I$28="NO",IF(G209&gt;0,D209*(1-G209),0),0),2)</f>
        <v/>
      </c>
      <c r="N209" s="62" t="n"/>
      <c r="O209" s="322">
        <f>ROUND(IF(Z209&lt;0,0,Z209),2)</f>
        <v/>
      </c>
      <c r="P209" s="322">
        <f>ROUND(IF($I$28="YES",IF(AE209&lt;0,0,AE209),0),2)</f>
        <v/>
      </c>
      <c r="Q209" s="100" t="n"/>
      <c r="R209" s="272" t="n"/>
      <c r="S209" s="272" t="n"/>
      <c r="T209" s="272" t="n"/>
      <c r="U209" s="275" t="n"/>
      <c r="V209" s="28" t="n"/>
      <c r="W209" s="323">
        <f>H209</f>
        <v/>
      </c>
      <c r="X209" s="323">
        <f>IF(W209&lt;0,X210,X210+W209)</f>
        <v/>
      </c>
      <c r="Y209" s="323">
        <f>$W$226-X209</f>
        <v/>
      </c>
      <c r="Z209" s="323">
        <f>IF(Y209&lt;0,Y210,H209)</f>
        <v/>
      </c>
      <c r="AA209" s="323" t="n"/>
      <c r="AB209" s="323">
        <f>K209</f>
        <v/>
      </c>
      <c r="AC209" s="323">
        <f>IF(AB209&lt;0,AC210,AC210+AB209)</f>
        <v/>
      </c>
      <c r="AD209" s="323">
        <f>$X$226-AC209</f>
        <v/>
      </c>
      <c r="AE209" s="323">
        <f>IF(AD209&lt;0,AD210,K209)</f>
        <v/>
      </c>
      <c r="AF209" s="323" t="n"/>
    </row>
    <row r="210" hidden="1">
      <c r="B210" s="60" t="n"/>
      <c r="C210" s="60" t="n"/>
      <c r="D210" s="324" t="n"/>
      <c r="E210" s="272" t="n"/>
      <c r="F210" s="275" t="n"/>
      <c r="G210" s="61" t="n"/>
      <c r="H210" s="321">
        <f>ROUND(G210*D210,2)</f>
        <v/>
      </c>
      <c r="I210" s="262" t="n"/>
      <c r="J210" s="263" t="n"/>
      <c r="K210" s="321">
        <f>ROUND(IF($I$28="YES",IF(G210&gt;0,D210*(1-G210),0),0),2)</f>
        <v/>
      </c>
      <c r="L210" s="321">
        <f>ROUND(IF(G210=0,D210,0),2)</f>
        <v/>
      </c>
      <c r="M210" s="321">
        <f>ROUND(IF($I$28="NO",IF(G210&gt;0,D210*(1-G210),0),0),2)</f>
        <v/>
      </c>
      <c r="N210" s="62" t="n"/>
      <c r="O210" s="322">
        <f>ROUND(IF(Z210&lt;0,0,Z210),2)</f>
        <v/>
      </c>
      <c r="P210" s="322">
        <f>ROUND(IF($I$28="YES",IF(AE210&lt;0,0,AE210),0),2)</f>
        <v/>
      </c>
      <c r="Q210" s="100" t="n"/>
      <c r="R210" s="272" t="n"/>
      <c r="S210" s="272" t="n"/>
      <c r="T210" s="272" t="n"/>
      <c r="U210" s="275" t="n"/>
      <c r="V210" s="28" t="n"/>
      <c r="W210" s="323">
        <f>H210</f>
        <v/>
      </c>
      <c r="X210" s="323">
        <f>IF(W210&lt;0,X211,X211+W210)</f>
        <v/>
      </c>
      <c r="Y210" s="323">
        <f>$W$226-X210</f>
        <v/>
      </c>
      <c r="Z210" s="323">
        <f>IF(Y210&lt;0,Y211,H210)</f>
        <v/>
      </c>
      <c r="AA210" s="323" t="n"/>
      <c r="AB210" s="323">
        <f>K210</f>
        <v/>
      </c>
      <c r="AC210" s="323">
        <f>IF(AB210&lt;0,AC211,AC211+AB210)</f>
        <v/>
      </c>
      <c r="AD210" s="323">
        <f>$X$226-AC210</f>
        <v/>
      </c>
      <c r="AE210" s="323">
        <f>IF(AD210&lt;0,AD211,K210)</f>
        <v/>
      </c>
      <c r="AF210" s="323" t="n"/>
    </row>
    <row r="211" hidden="1">
      <c r="B211" s="60" t="n"/>
      <c r="C211" s="60" t="n"/>
      <c r="D211" s="324" t="n"/>
      <c r="E211" s="272" t="n"/>
      <c r="F211" s="275" t="n"/>
      <c r="G211" s="61" t="n"/>
      <c r="H211" s="321">
        <f>ROUND(G211*D211,2)</f>
        <v/>
      </c>
      <c r="I211" s="262" t="n"/>
      <c r="J211" s="263" t="n"/>
      <c r="K211" s="321">
        <f>ROUND(IF($I$28="YES",IF(G211&gt;0,D211*(1-G211),0),0),2)</f>
        <v/>
      </c>
      <c r="L211" s="321">
        <f>ROUND(IF(G211=0,D211,0),2)</f>
        <v/>
      </c>
      <c r="M211" s="321">
        <f>ROUND(IF($I$28="NO",IF(G211&gt;0,D211*(1-G211),0),0),2)</f>
        <v/>
      </c>
      <c r="N211" s="62" t="n"/>
      <c r="O211" s="322">
        <f>ROUND(IF(Z211&lt;0,0,Z211),2)</f>
        <v/>
      </c>
      <c r="P211" s="322">
        <f>ROUND(IF($I$28="YES",IF(AE211&lt;0,0,AE211),0),2)</f>
        <v/>
      </c>
      <c r="Q211" s="100" t="n"/>
      <c r="R211" s="272" t="n"/>
      <c r="S211" s="272" t="n"/>
      <c r="T211" s="272" t="n"/>
      <c r="U211" s="275" t="n"/>
      <c r="V211" s="28" t="n"/>
      <c r="W211" s="323">
        <f>H211</f>
        <v/>
      </c>
      <c r="X211" s="323">
        <f>IF(W211&lt;0,X212,X212+W211)</f>
        <v/>
      </c>
      <c r="Y211" s="323">
        <f>$W$226-X211</f>
        <v/>
      </c>
      <c r="Z211" s="323">
        <f>IF(Y211&lt;0,Y212,H211)</f>
        <v/>
      </c>
      <c r="AA211" s="323" t="n"/>
      <c r="AB211" s="323">
        <f>K211</f>
        <v/>
      </c>
      <c r="AC211" s="323">
        <f>IF(AB211&lt;0,AC212,AC212+AB211)</f>
        <v/>
      </c>
      <c r="AD211" s="323">
        <f>$X$226-AC211</f>
        <v/>
      </c>
      <c r="AE211" s="323">
        <f>IF(AD211&lt;0,AD212,K211)</f>
        <v/>
      </c>
      <c r="AF211" s="323" t="n"/>
    </row>
    <row r="212" hidden="1">
      <c r="B212" s="60" t="n"/>
      <c r="C212" s="60" t="n"/>
      <c r="D212" s="324" t="n"/>
      <c r="E212" s="272" t="n"/>
      <c r="F212" s="275" t="n"/>
      <c r="G212" s="61" t="n"/>
      <c r="H212" s="321">
        <f>ROUND(G212*D212,2)</f>
        <v/>
      </c>
      <c r="I212" s="262" t="n"/>
      <c r="J212" s="263" t="n"/>
      <c r="K212" s="321">
        <f>ROUND(IF($I$28="YES",IF(G212&gt;0,D212*(1-G212),0),0),2)</f>
        <v/>
      </c>
      <c r="L212" s="321">
        <f>ROUND(IF(G212=0,D212,0),2)</f>
        <v/>
      </c>
      <c r="M212" s="321">
        <f>ROUND(IF($I$28="NO",IF(G212&gt;0,D212*(1-G212),0),0),2)</f>
        <v/>
      </c>
      <c r="N212" s="62" t="n"/>
      <c r="O212" s="322">
        <f>ROUND(IF(Z212&lt;0,0,Z212),2)</f>
        <v/>
      </c>
      <c r="P212" s="322">
        <f>ROUND(IF($I$28="YES",IF(AE212&lt;0,0,AE212),0),2)</f>
        <v/>
      </c>
      <c r="Q212" s="100" t="n"/>
      <c r="R212" s="272" t="n"/>
      <c r="S212" s="272" t="n"/>
      <c r="T212" s="272" t="n"/>
      <c r="U212" s="275" t="n"/>
      <c r="V212" s="28" t="n"/>
      <c r="W212" s="323">
        <f>H212</f>
        <v/>
      </c>
      <c r="X212" s="323">
        <f>IF(W212&lt;0,X213,X213+W212)</f>
        <v/>
      </c>
      <c r="Y212" s="323">
        <f>$W$226-X212</f>
        <v/>
      </c>
      <c r="Z212" s="323">
        <f>IF(Y212&lt;0,Y213,H212)</f>
        <v/>
      </c>
      <c r="AA212" s="323" t="n"/>
      <c r="AB212" s="323">
        <f>K212</f>
        <v/>
      </c>
      <c r="AC212" s="323">
        <f>IF(AB212&lt;0,AC213,AC213+AB212)</f>
        <v/>
      </c>
      <c r="AD212" s="323">
        <f>$X$226-AC212</f>
        <v/>
      </c>
      <c r="AE212" s="323">
        <f>IF(AD212&lt;0,AD213,K212)</f>
        <v/>
      </c>
      <c r="AF212" s="323" t="n"/>
    </row>
    <row r="213" hidden="1">
      <c r="B213" s="60" t="n"/>
      <c r="C213" s="60" t="n"/>
      <c r="D213" s="324" t="n"/>
      <c r="E213" s="272" t="n"/>
      <c r="F213" s="275" t="n"/>
      <c r="G213" s="61" t="n"/>
      <c r="H213" s="321">
        <f>ROUND(G213*D213,2)</f>
        <v/>
      </c>
      <c r="I213" s="262" t="n"/>
      <c r="J213" s="263" t="n"/>
      <c r="K213" s="321">
        <f>ROUND(IF($I$28="YES",IF(G213&gt;0,D213*(1-G213),0),0),2)</f>
        <v/>
      </c>
      <c r="L213" s="321">
        <f>ROUND(IF(G213=0,D213,0),2)</f>
        <v/>
      </c>
      <c r="M213" s="321">
        <f>ROUND(IF($I$28="NO",IF(G213&gt;0,D213*(1-G213),0),0),2)</f>
        <v/>
      </c>
      <c r="N213" s="62" t="n"/>
      <c r="O213" s="322">
        <f>ROUND(IF(Z213&lt;0,0,Z213),2)</f>
        <v/>
      </c>
      <c r="P213" s="322">
        <f>ROUND(IF($I$28="YES",IF(AE213&lt;0,0,AE213),0),2)</f>
        <v/>
      </c>
      <c r="Q213" s="100" t="n"/>
      <c r="R213" s="272" t="n"/>
      <c r="S213" s="272" t="n"/>
      <c r="T213" s="272" t="n"/>
      <c r="U213" s="275" t="n"/>
      <c r="V213" s="28" t="n"/>
      <c r="W213" s="323">
        <f>H213</f>
        <v/>
      </c>
      <c r="X213" s="323">
        <f>IF(W213&lt;0,X214,X214+W213)</f>
        <v/>
      </c>
      <c r="Y213" s="323">
        <f>$W$226-X213</f>
        <v/>
      </c>
      <c r="Z213" s="323">
        <f>IF(Y213&lt;0,Y214,H213)</f>
        <v/>
      </c>
      <c r="AA213" s="323" t="n"/>
      <c r="AB213" s="323">
        <f>K213</f>
        <v/>
      </c>
      <c r="AC213" s="323">
        <f>IF(AB213&lt;0,AC214,AC214+AB213)</f>
        <v/>
      </c>
      <c r="AD213" s="323">
        <f>$X$226-AC213</f>
        <v/>
      </c>
      <c r="AE213" s="323">
        <f>IF(AD213&lt;0,AD214,K213)</f>
        <v/>
      </c>
      <c r="AF213" s="323" t="n"/>
    </row>
    <row r="214" hidden="1">
      <c r="B214" s="60" t="n"/>
      <c r="C214" s="60" t="n"/>
      <c r="D214" s="324" t="n"/>
      <c r="E214" s="272" t="n"/>
      <c r="F214" s="275" t="n"/>
      <c r="G214" s="61" t="n"/>
      <c r="H214" s="321">
        <f>ROUND(G214*D214,2)</f>
        <v/>
      </c>
      <c r="I214" s="262" t="n"/>
      <c r="J214" s="263" t="n"/>
      <c r="K214" s="321">
        <f>ROUND(IF($I$28="YES",IF(G214&gt;0,D214*(1-G214),0),0),2)</f>
        <v/>
      </c>
      <c r="L214" s="321">
        <f>ROUND(IF(G214=0,D214,0),2)</f>
        <v/>
      </c>
      <c r="M214" s="321">
        <f>ROUND(IF($I$28="NO",IF(G214&gt;0,D214*(1-G214),0),0),2)</f>
        <v/>
      </c>
      <c r="N214" s="62" t="n"/>
      <c r="O214" s="322">
        <f>ROUND(IF(Z214&lt;0,0,Z214),2)</f>
        <v/>
      </c>
      <c r="P214" s="322">
        <f>ROUND(IF($I$28="YES",IF(AE214&lt;0,0,AE214),0),2)</f>
        <v/>
      </c>
      <c r="Q214" s="100" t="n"/>
      <c r="R214" s="272" t="n"/>
      <c r="S214" s="272" t="n"/>
      <c r="T214" s="272" t="n"/>
      <c r="U214" s="275" t="n"/>
      <c r="V214" s="28" t="n"/>
      <c r="W214" s="323">
        <f>H214</f>
        <v/>
      </c>
      <c r="X214" s="323">
        <f>IF(W214&lt;0,X215,X215+W214)</f>
        <v/>
      </c>
      <c r="Y214" s="323">
        <f>$W$226-X214</f>
        <v/>
      </c>
      <c r="Z214" s="323">
        <f>IF(Y214&lt;0,Y215,H214)</f>
        <v/>
      </c>
      <c r="AA214" s="323" t="n"/>
      <c r="AB214" s="323">
        <f>K214</f>
        <v/>
      </c>
      <c r="AC214" s="323">
        <f>IF(AB214&lt;0,AC215,AC215+AB214)</f>
        <v/>
      </c>
      <c r="AD214" s="323">
        <f>$X$226-AC214</f>
        <v/>
      </c>
      <c r="AE214" s="323">
        <f>IF(AD214&lt;0,AD215,K214)</f>
        <v/>
      </c>
      <c r="AF214" s="323" t="n"/>
    </row>
    <row r="215" hidden="1">
      <c r="B215" s="60" t="n"/>
      <c r="C215" s="60" t="n"/>
      <c r="D215" s="324" t="n"/>
      <c r="E215" s="272" t="n"/>
      <c r="F215" s="275" t="n"/>
      <c r="G215" s="61" t="n"/>
      <c r="H215" s="321">
        <f>ROUND(G215*D215,2)</f>
        <v/>
      </c>
      <c r="I215" s="262" t="n"/>
      <c r="J215" s="263" t="n"/>
      <c r="K215" s="321">
        <f>ROUND(IF($I$28="YES",IF(G215&gt;0,D215*(1-G215),0),0),2)</f>
        <v/>
      </c>
      <c r="L215" s="321">
        <f>ROUND(IF(G215=0,D215,0),2)</f>
        <v/>
      </c>
      <c r="M215" s="321">
        <f>ROUND(IF($I$28="NO",IF(G215&gt;0,D215*(1-G215),0),0),2)</f>
        <v/>
      </c>
      <c r="N215" s="62" t="n"/>
      <c r="O215" s="322">
        <f>ROUND(IF(Z215&lt;0,0,Z215),2)</f>
        <v/>
      </c>
      <c r="P215" s="322">
        <f>ROUND(IF($I$28="YES",IF(AE215&lt;0,0,AE215),0),2)</f>
        <v/>
      </c>
      <c r="Q215" s="100" t="n"/>
      <c r="R215" s="272" t="n"/>
      <c r="S215" s="272" t="n"/>
      <c r="T215" s="272" t="n"/>
      <c r="U215" s="275" t="n"/>
      <c r="V215" s="28" t="n"/>
      <c r="W215" s="323">
        <f>H215</f>
        <v/>
      </c>
      <c r="X215" s="323">
        <f>IF(W215&lt;0,X216,X216+W215)</f>
        <v/>
      </c>
      <c r="Y215" s="323">
        <f>$W$226-X215</f>
        <v/>
      </c>
      <c r="Z215" s="323">
        <f>IF(Y215&lt;0,Y216,H215)</f>
        <v/>
      </c>
      <c r="AA215" s="323" t="n"/>
      <c r="AB215" s="323">
        <f>K215</f>
        <v/>
      </c>
      <c r="AC215" s="323">
        <f>IF(AB215&lt;0,AC216,AC216+AB215)</f>
        <v/>
      </c>
      <c r="AD215" s="323">
        <f>$X$226-AC215</f>
        <v/>
      </c>
      <c r="AE215" s="323">
        <f>IF(AD215&lt;0,AD216,K215)</f>
        <v/>
      </c>
      <c r="AF215" s="323" t="n"/>
    </row>
    <row r="216" hidden="1">
      <c r="B216" s="60" t="n"/>
      <c r="C216" s="60" t="n"/>
      <c r="D216" s="324" t="n"/>
      <c r="E216" s="272" t="n"/>
      <c r="F216" s="275" t="n"/>
      <c r="G216" s="61" t="n"/>
      <c r="H216" s="321">
        <f>ROUND(G216*D216,2)</f>
        <v/>
      </c>
      <c r="I216" s="262" t="n"/>
      <c r="J216" s="263" t="n"/>
      <c r="K216" s="321">
        <f>ROUND(IF($I$28="YES",IF(G216&gt;0,D216*(1-G216),0),0),2)</f>
        <v/>
      </c>
      <c r="L216" s="321">
        <f>ROUND(IF(G216=0,D216,0),2)</f>
        <v/>
      </c>
      <c r="M216" s="321">
        <f>ROUND(IF($I$28="NO",IF(G216&gt;0,D216*(1-G216),0),0),2)</f>
        <v/>
      </c>
      <c r="N216" s="62" t="n"/>
      <c r="O216" s="322">
        <f>ROUND(IF(Z216&lt;0,0,Z216),2)</f>
        <v/>
      </c>
      <c r="P216" s="322">
        <f>ROUND(IF($I$28="YES",IF(AE216&lt;0,0,AE216),0),2)</f>
        <v/>
      </c>
      <c r="Q216" s="100" t="n"/>
      <c r="R216" s="272" t="n"/>
      <c r="S216" s="272" t="n"/>
      <c r="T216" s="272" t="n"/>
      <c r="U216" s="275" t="n"/>
      <c r="V216" s="28" t="n"/>
      <c r="W216" s="323">
        <f>H216</f>
        <v/>
      </c>
      <c r="X216" s="323">
        <f>IF(W216&lt;0,X217,X217+W216)</f>
        <v/>
      </c>
      <c r="Y216" s="323">
        <f>$W$226-X216</f>
        <v/>
      </c>
      <c r="Z216" s="323">
        <f>IF(Y216&lt;0,Y217,H216)</f>
        <v/>
      </c>
      <c r="AA216" s="323" t="n"/>
      <c r="AB216" s="323">
        <f>K216</f>
        <v/>
      </c>
      <c r="AC216" s="323">
        <f>IF(AB216&lt;0,AC217,AC217+AB216)</f>
        <v/>
      </c>
      <c r="AD216" s="323">
        <f>$X$226-AC216</f>
        <v/>
      </c>
      <c r="AE216" s="323">
        <f>IF(AD216&lt;0,AD217,K216)</f>
        <v/>
      </c>
      <c r="AF216" s="323" t="n"/>
    </row>
    <row r="217" hidden="1">
      <c r="B217" s="60" t="n"/>
      <c r="C217" s="60" t="n"/>
      <c r="D217" s="324" t="n"/>
      <c r="E217" s="272" t="n"/>
      <c r="F217" s="275" t="n"/>
      <c r="G217" s="61" t="n"/>
      <c r="H217" s="321">
        <f>ROUND(G217*D217,2)</f>
        <v/>
      </c>
      <c r="I217" s="262" t="n"/>
      <c r="J217" s="263" t="n"/>
      <c r="K217" s="321">
        <f>ROUND(IF($I$28="YES",IF(G217&gt;0,D217*(1-G217),0),0),2)</f>
        <v/>
      </c>
      <c r="L217" s="321">
        <f>ROUND(IF(G217=0,D217,0),2)</f>
        <v/>
      </c>
      <c r="M217" s="321">
        <f>ROUND(IF($I$28="NO",IF(G217&gt;0,D217*(1-G217),0),0),2)</f>
        <v/>
      </c>
      <c r="N217" s="62" t="n"/>
      <c r="O217" s="322">
        <f>ROUND(IF(Z217&lt;0,0,Z217),2)</f>
        <v/>
      </c>
      <c r="P217" s="322">
        <f>ROUND(IF($I$28="YES",IF(AE217&lt;0,0,AE217),0),2)</f>
        <v/>
      </c>
      <c r="Q217" s="100" t="n"/>
      <c r="R217" s="272" t="n"/>
      <c r="S217" s="272" t="n"/>
      <c r="T217" s="272" t="n"/>
      <c r="U217" s="275" t="n"/>
      <c r="V217" s="28" t="n"/>
      <c r="W217" s="323">
        <f>H217</f>
        <v/>
      </c>
      <c r="X217" s="323">
        <f>IF(W217&lt;0,X218,X218+W217)</f>
        <v/>
      </c>
      <c r="Y217" s="323">
        <f>$W$226-X217</f>
        <v/>
      </c>
      <c r="Z217" s="323">
        <f>IF(Y217&lt;0,Y218,H217)</f>
        <v/>
      </c>
      <c r="AA217" s="323" t="n"/>
      <c r="AB217" s="323">
        <f>K217</f>
        <v/>
      </c>
      <c r="AC217" s="323">
        <f>IF(AB217&lt;0,AC218,AC218+AB217)</f>
        <v/>
      </c>
      <c r="AD217" s="323">
        <f>$X$226-AC217</f>
        <v/>
      </c>
      <c r="AE217" s="323">
        <f>IF(AD217&lt;0,AD218,K217)</f>
        <v/>
      </c>
      <c r="AF217" s="323" t="n"/>
    </row>
    <row r="218" hidden="1">
      <c r="B218" s="60" t="n"/>
      <c r="C218" s="60" t="n"/>
      <c r="D218" s="324" t="n"/>
      <c r="E218" s="272" t="n"/>
      <c r="F218" s="275" t="n"/>
      <c r="G218" s="61" t="n"/>
      <c r="H218" s="321">
        <f>ROUND(G218*D218,2)</f>
        <v/>
      </c>
      <c r="I218" s="262" t="n"/>
      <c r="J218" s="263" t="n"/>
      <c r="K218" s="321">
        <f>ROUND(IF($I$28="YES",IF(G218&gt;0,D218*(1-G218),0),0),2)</f>
        <v/>
      </c>
      <c r="L218" s="321">
        <f>ROUND(IF(G218=0,D218,0),2)</f>
        <v/>
      </c>
      <c r="M218" s="321">
        <f>ROUND(IF($I$28="NO",IF(G218&gt;0,D218*(1-G218),0),0),2)</f>
        <v/>
      </c>
      <c r="N218" s="62" t="n"/>
      <c r="O218" s="322">
        <f>ROUND(IF(Z218&lt;0,0,Z218),2)</f>
        <v/>
      </c>
      <c r="P218" s="322">
        <f>ROUND(IF($I$28="YES",IF(AE218&lt;0,0,AE218),0),2)</f>
        <v/>
      </c>
      <c r="Q218" s="100" t="n"/>
      <c r="R218" s="272" t="n"/>
      <c r="S218" s="272" t="n"/>
      <c r="T218" s="272" t="n"/>
      <c r="U218" s="275" t="n"/>
      <c r="V218" s="28" t="n"/>
      <c r="W218" s="323">
        <f>H218</f>
        <v/>
      </c>
      <c r="X218" s="323">
        <f>IF(W218&lt;0,X219,X219+W218)</f>
        <v/>
      </c>
      <c r="Y218" s="323">
        <f>$W$226-X218</f>
        <v/>
      </c>
      <c r="Z218" s="323">
        <f>IF(Y218&lt;0,Y219,H218)</f>
        <v/>
      </c>
      <c r="AA218" s="323" t="n"/>
      <c r="AB218" s="323">
        <f>K218</f>
        <v/>
      </c>
      <c r="AC218" s="323">
        <f>IF(AB218&lt;0,AC219,AC219+AB218)</f>
        <v/>
      </c>
      <c r="AD218" s="323">
        <f>$X$226-AC218</f>
        <v/>
      </c>
      <c r="AE218" s="323">
        <f>IF(AD218&lt;0,AD219,K218)</f>
        <v/>
      </c>
      <c r="AF218" s="323" t="n"/>
    </row>
    <row r="219" hidden="1">
      <c r="B219" s="60" t="n"/>
      <c r="C219" s="60" t="n"/>
      <c r="D219" s="324" t="n"/>
      <c r="E219" s="272" t="n"/>
      <c r="F219" s="275" t="n"/>
      <c r="G219" s="61" t="n"/>
      <c r="H219" s="321">
        <f>ROUND(G219*D219,2)</f>
        <v/>
      </c>
      <c r="I219" s="262" t="n"/>
      <c r="J219" s="263" t="n"/>
      <c r="K219" s="321">
        <f>ROUND(IF($I$28="YES",IF(G219&gt;0,D219*(1-G219),0),0),2)</f>
        <v/>
      </c>
      <c r="L219" s="321">
        <f>ROUND(IF(G219=0,D219,0),2)</f>
        <v/>
      </c>
      <c r="M219" s="321">
        <f>ROUND(IF($I$28="NO",IF(G219&gt;0,D219*(1-G219),0),0),2)</f>
        <v/>
      </c>
      <c r="N219" s="62" t="n"/>
      <c r="O219" s="322">
        <f>ROUND(IF(Z219&lt;0,0,Z219),2)</f>
        <v/>
      </c>
      <c r="P219" s="322">
        <f>ROUND(IF($I$28="YES",IF(AE219&lt;0,0,AE219),0),2)</f>
        <v/>
      </c>
      <c r="Q219" s="100" t="n"/>
      <c r="R219" s="272" t="n"/>
      <c r="S219" s="272" t="n"/>
      <c r="T219" s="272" t="n"/>
      <c r="U219" s="275" t="n"/>
      <c r="V219" s="28" t="n"/>
      <c r="W219" s="323">
        <f>H219</f>
        <v/>
      </c>
      <c r="X219" s="323">
        <f>IF(W219&lt;0,X220,X220+W219)</f>
        <v/>
      </c>
      <c r="Y219" s="323">
        <f>$W$226-X219</f>
        <v/>
      </c>
      <c r="Z219" s="323">
        <f>IF(Y219&lt;0,Y220,H219)</f>
        <v/>
      </c>
      <c r="AA219" s="323" t="n"/>
      <c r="AB219" s="323">
        <f>K219</f>
        <v/>
      </c>
      <c r="AC219" s="323">
        <f>IF(AB219&lt;0,AC220,AC220+AB219)</f>
        <v/>
      </c>
      <c r="AD219" s="323">
        <f>$X$226-AC219</f>
        <v/>
      </c>
      <c r="AE219" s="323">
        <f>IF(AD219&lt;0,AD220,K219)</f>
        <v/>
      </c>
      <c r="AF219" s="323" t="n"/>
    </row>
    <row r="220">
      <c r="B220" s="90" t="n"/>
      <c r="D220" s="325" t="n"/>
      <c r="E220" s="90" t="n"/>
      <c r="F220" s="325" t="n"/>
      <c r="G220" s="91" t="n"/>
      <c r="H220" s="326" t="n"/>
      <c r="I220" s="326" t="n"/>
      <c r="J220" s="326" t="n"/>
      <c r="K220" s="326" t="n"/>
      <c r="L220" s="326" t="n"/>
      <c r="M220" s="326" t="n"/>
      <c r="N220" s="92" t="n"/>
      <c r="O220" s="325" t="n"/>
      <c r="P220" s="325" t="n"/>
      <c r="Q220" s="3" t="n"/>
      <c r="R220" s="3" t="n"/>
      <c r="S220" s="3" t="n"/>
      <c r="T220" s="3" t="n"/>
      <c r="U220" s="3" t="n"/>
      <c r="V220" s="28" t="n"/>
      <c r="W220" s="323" t="n"/>
      <c r="X220" s="323" t="n">
        <v>0</v>
      </c>
      <c r="Y220" s="323" t="n">
        <v>0</v>
      </c>
      <c r="Z220" s="323" t="n"/>
      <c r="AA220" s="323" t="n"/>
      <c r="AB220" s="323" t="n"/>
      <c r="AC220" s="323" t="n">
        <v>0</v>
      </c>
      <c r="AD220" s="323" t="n">
        <v>0</v>
      </c>
      <c r="AE220" s="323" t="n"/>
      <c r="AF220" s="323" t="n"/>
    </row>
    <row r="221">
      <c r="B221" s="90" t="n"/>
      <c r="C221" s="90" t="n"/>
      <c r="D221" s="325" t="n"/>
      <c r="E221" s="325" t="n"/>
      <c r="F221" s="325" t="n"/>
      <c r="G221" s="91" t="n"/>
      <c r="H221" s="326" t="n"/>
      <c r="I221" s="326" t="n"/>
      <c r="J221" s="326" t="n"/>
      <c r="K221" s="326" t="n"/>
      <c r="L221" s="326" t="n"/>
      <c r="M221" s="326" t="n"/>
      <c r="N221" s="92" t="n"/>
      <c r="O221" s="325" t="n"/>
      <c r="P221" s="325" t="n"/>
      <c r="Q221" s="3" t="n"/>
      <c r="R221" s="3" t="n"/>
      <c r="S221" s="3" t="n"/>
      <c r="T221" s="3" t="n"/>
      <c r="U221" s="3" t="n"/>
      <c r="V221" s="28" t="n"/>
      <c r="W221" s="323" t="n"/>
      <c r="X221" s="323" t="n"/>
      <c r="Y221" s="323" t="n"/>
      <c r="Z221" s="323" t="n"/>
      <c r="AA221" s="323" t="n"/>
      <c r="AB221" s="323" t="n"/>
      <c r="AC221" s="323" t="n"/>
      <c r="AD221" s="323" t="n"/>
      <c r="AE221" s="323" t="n"/>
      <c r="AF221" s="323" t="n"/>
    </row>
    <row r="222" ht="37.5" customHeight="1">
      <c r="B222" s="49" t="n"/>
      <c r="C222" s="49" t="n"/>
      <c r="D222" s="49" t="n"/>
      <c r="E222" s="49" t="n"/>
      <c r="F222" s="49" t="n"/>
      <c r="G222" s="48" t="n"/>
      <c r="H222" s="134" t="inlineStr">
        <is>
          <t>Federal Share</t>
        </is>
      </c>
      <c r="I222" s="262" t="n"/>
      <c r="J222" s="263" t="n"/>
      <c r="K222" s="31" t="inlineStr">
        <is>
          <t>Toll Credits</t>
        </is>
      </c>
      <c r="L222" s="327" t="inlineStr">
        <is>
          <t>State Funds</t>
        </is>
      </c>
      <c r="M222" s="263" t="n"/>
      <c r="N222" s="328" t="inlineStr">
        <is>
          <t>Time Extension</t>
        </is>
      </c>
      <c r="O222" s="329" t="inlineStr">
        <is>
          <t>Federal Share for Project Modification Letter</t>
        </is>
      </c>
      <c r="P222" s="329" t="inlineStr">
        <is>
          <t>Toll Credits for Project Modification Letter</t>
        </is>
      </c>
      <c r="Q222" s="330" t="n"/>
      <c r="R222" s="51" t="n"/>
      <c r="S222" s="51" t="n"/>
      <c r="T222" s="49" t="n"/>
      <c r="U222" s="49" t="n"/>
      <c r="Z222" s="331" t="n"/>
    </row>
    <row r="223" ht="34.5" customFormat="1" customHeight="1" s="33">
      <c r="B223" s="52" t="n"/>
      <c r="C223" s="52" t="n"/>
      <c r="D223" s="52" t="n"/>
      <c r="E223" s="52" t="n"/>
      <c r="F223" s="52" t="n"/>
      <c r="G223" s="332" t="n"/>
      <c r="H223" s="304">
        <f>SUM(H70:J219)</f>
        <v/>
      </c>
      <c r="I223" s="262" t="n"/>
      <c r="J223" s="263" t="n"/>
      <c r="K223" s="333">
        <f>SUM(K70:K219)</f>
        <v/>
      </c>
      <c r="L223" s="334">
        <f>SUM(L70:L219)</f>
        <v/>
      </c>
      <c r="M223" s="306">
        <f>SUM(M70:M219)</f>
        <v/>
      </c>
      <c r="N223" s="66">
        <f>SUM(N70:N219)</f>
        <v/>
      </c>
      <c r="O223" s="335">
        <f>SUM(O70:O219)</f>
        <v/>
      </c>
      <c r="P223" s="335">
        <f>SUM(P70:P219)</f>
        <v/>
      </c>
      <c r="Q223" s="52" t="n"/>
      <c r="R223" s="52" t="n"/>
      <c r="S223" s="336" t="n"/>
      <c r="T223" s="52" t="n"/>
      <c r="U223" s="52" t="n"/>
      <c r="Z223" s="337" t="n"/>
      <c r="AA223" s="337" t="n"/>
    </row>
    <row r="224" ht="33" customFormat="1" customHeight="1" s="33">
      <c r="B224" s="52" t="n"/>
      <c r="C224" s="52" t="n"/>
      <c r="D224" s="52" t="n"/>
      <c r="E224" s="52" t="n"/>
      <c r="F224" s="52" t="n"/>
      <c r="G224" s="338" t="n"/>
      <c r="H224" s="339" t="n"/>
      <c r="N224" s="332" t="n"/>
      <c r="P224" s="336" t="n"/>
      <c r="Q224" s="336" t="n"/>
      <c r="R224" s="336" t="n"/>
      <c r="S224" s="55" t="n"/>
      <c r="T224" s="55" t="n"/>
      <c r="U224" s="52" t="n"/>
      <c r="W224" s="340" t="n"/>
      <c r="X224" s="340" t="n"/>
      <c r="Y224" s="340" t="n"/>
    </row>
    <row r="225" ht="18" customFormat="1" customHeight="1" s="33">
      <c r="B225" s="217" t="inlineStr">
        <is>
          <t>Modification Total Amount:</t>
        </is>
      </c>
      <c r="C225" s="268" t="n"/>
      <c r="D225" s="269" t="n"/>
      <c r="E225" s="335">
        <f>SUM(D70:F219)</f>
        <v/>
      </c>
      <c r="F225" s="269" t="n"/>
      <c r="G225" s="36" t="n"/>
      <c r="H225" s="210" t="inlineStr">
        <is>
          <t>Comparison of Modifications with Project Contingencies:</t>
        </is>
      </c>
      <c r="I225" s="268" t="n"/>
      <c r="J225" s="268" t="n"/>
      <c r="K225" s="269" t="n"/>
      <c r="L225" s="134" t="inlineStr">
        <is>
          <t>Federal</t>
        </is>
      </c>
      <c r="M225" s="262" t="n"/>
      <c r="N225" s="263" t="n"/>
      <c r="O225" s="216" t="inlineStr">
        <is>
          <t>Toll Credits</t>
        </is>
      </c>
      <c r="P225" s="263" t="n"/>
      <c r="Q225" s="154" t="inlineStr">
        <is>
          <t>State</t>
        </is>
      </c>
      <c r="R225" s="262" t="n"/>
      <c r="S225" s="262" t="n"/>
      <c r="T225" s="262" t="n"/>
      <c r="U225" s="263" t="n"/>
      <c r="W225" s="37" t="inlineStr">
        <is>
          <t>Federal</t>
        </is>
      </c>
      <c r="X225" s="37" t="inlineStr">
        <is>
          <t>Toll Credits</t>
        </is>
      </c>
      <c r="Y225" s="145" t="inlineStr">
        <is>
          <t>State</t>
        </is>
      </c>
    </row>
    <row r="226" ht="18" customFormat="1" customHeight="1" s="33">
      <c r="B226" s="270" t="n"/>
      <c r="C226" s="261" t="n"/>
      <c r="D226" s="271" t="n"/>
      <c r="E226" s="270" t="n"/>
      <c r="F226" s="271" t="n"/>
      <c r="G226" s="36" t="n"/>
      <c r="H226" s="270" t="n"/>
      <c r="I226" s="261" t="n"/>
      <c r="J226" s="261" t="n"/>
      <c r="K226" s="271" t="n"/>
      <c r="L226" s="341">
        <f>ROUND(W226,2)</f>
        <v/>
      </c>
      <c r="M226" s="262" t="n"/>
      <c r="N226" s="263" t="n"/>
      <c r="O226" s="342">
        <f>ROUND(X226,2)</f>
        <v/>
      </c>
      <c r="P226" s="263" t="n"/>
      <c r="Q226" s="334">
        <f>ROUND(Y226,2)</f>
        <v/>
      </c>
      <c r="R226" s="262" t="n"/>
      <c r="S226" s="262" t="n"/>
      <c r="T226" s="262" t="n"/>
      <c r="U226" s="263" t="n"/>
      <c r="W226" s="343">
        <f>IF((H223)&lt;=(L60+SUM(L235:N384)),0,(H223)-(L60+SUM(L235:N384)))</f>
        <v/>
      </c>
      <c r="X226" s="343">
        <f>IF((K223)&lt;=(N60+SUM(O235:P384)),0,(K223)-(N60+SUM(O235:P384)))</f>
        <v/>
      </c>
      <c r="Y226" s="343">
        <f>IF((L223+M223)&lt;=(R60+P60+SUM(Q235:U384)),0,(L223+M223)-(R60+P60+SUM(Q235:U384)))</f>
        <v/>
      </c>
    </row>
    <row r="227" ht="34.5" customFormat="1" customHeight="1" s="33">
      <c r="B227" s="217" t="inlineStr">
        <is>
          <t>Revised Contract Amount (all Funds):</t>
        </is>
      </c>
      <c r="C227" s="262" t="n"/>
      <c r="D227" s="263" t="n"/>
      <c r="E227" s="335">
        <f>E62+E225</f>
        <v/>
      </c>
      <c r="F227" s="263" t="n"/>
      <c r="G227" s="36" t="n"/>
      <c r="H227" s="210" t="inlineStr">
        <is>
          <t>Does Contract Modification Exceed Contingencies?</t>
        </is>
      </c>
      <c r="I227" s="262" t="n"/>
      <c r="J227" s="262" t="n"/>
      <c r="K227" s="263" t="n"/>
      <c r="L227" s="260">
        <f>IF(L226&gt;0,"YES. PRHTA needs to identify additional federal funds.","NO additional federal funds needed.")</f>
        <v/>
      </c>
      <c r="M227" s="262" t="n"/>
      <c r="N227" s="263" t="n"/>
      <c r="O227" s="344">
        <f>IF(O226&gt;0,"YES. PRHTA needs to identify additional toll credits.","NO additional toll credits needed.")</f>
        <v/>
      </c>
      <c r="P227" s="263" t="n"/>
      <c r="Q227" s="257">
        <f>IF(Q226&gt;0,"YES. PRHTA needs to identify additional state funds.","NO additional state funds needed.")</f>
        <v/>
      </c>
      <c r="R227" s="262" t="n"/>
      <c r="S227" s="262" t="n"/>
      <c r="T227" s="262" t="n"/>
      <c r="U227" s="263" t="n"/>
      <c r="W227" s="58" t="inlineStr">
        <is>
          <t>Federal Funds Needed:</t>
        </is>
      </c>
      <c r="X227" s="340" t="n"/>
    </row>
    <row r="228" ht="40.5" customFormat="1" customHeight="1" s="33">
      <c r="B228" s="217" t="inlineStr">
        <is>
          <t>Amount of Federal Funds Needed (FMIS):</t>
        </is>
      </c>
      <c r="C228" s="262" t="n"/>
      <c r="D228" s="263" t="n"/>
      <c r="E228" s="335">
        <f>IF(W228&gt;0,W228,0)</f>
        <v/>
      </c>
      <c r="F228" s="263" t="n"/>
      <c r="G228" s="36" t="n"/>
      <c r="H228" s="222" t="inlineStr">
        <is>
          <t>NOTE: PRHTA FEDERAL LIAISON OFFICE AND BUDGET OFFICE WILL VERIFY THE VALUES IN THE CELLS OF FEDERAL, TOLL CREDITS 
AND STATE FUNDS TO IDENTIFY THE NEED FOR ADDITIONAL FUNDS IN THE PROJECT.</t>
        </is>
      </c>
      <c r="I228" s="262" t="n"/>
      <c r="J228" s="262" t="n"/>
      <c r="K228" s="262" t="n"/>
      <c r="L228" s="262" t="n"/>
      <c r="M228" s="262" t="n"/>
      <c r="N228" s="262" t="n"/>
      <c r="O228" s="262" t="n"/>
      <c r="P228" s="262" t="n"/>
      <c r="Q228" s="262" t="n"/>
      <c r="R228" s="262" t="n"/>
      <c r="S228" s="262" t="n"/>
      <c r="T228" s="262" t="n"/>
      <c r="U228" s="263" t="n"/>
      <c r="W228" s="343">
        <f>(H223+K223)-(L60+N60+SUM(L235:N384)+SUM(O235:P384))</f>
        <v/>
      </c>
      <c r="X228" s="340" t="n"/>
      <c r="Y228" s="340" t="n"/>
    </row>
    <row r="229" ht="40.5" customFormat="1" customHeight="1" s="33">
      <c r="B229" s="217" t="inlineStr">
        <is>
          <t>Amount of State Funds Needed (FMIS):</t>
        </is>
      </c>
      <c r="C229" s="262" t="n"/>
      <c r="D229" s="263" t="n"/>
      <c r="E229" s="335">
        <f>IF(Q226&gt;0,Q226,0)</f>
        <v/>
      </c>
      <c r="F229" s="263" t="n"/>
      <c r="G229" s="36" t="n"/>
      <c r="H229" s="57" t="n"/>
      <c r="I229" s="57" t="n"/>
      <c r="J229" s="57" t="n"/>
      <c r="K229" s="57" t="n"/>
      <c r="L229" s="57" t="n"/>
      <c r="M229" s="57" t="n"/>
      <c r="N229" s="57" t="n"/>
      <c r="O229" s="57" t="n"/>
      <c r="P229" s="57" t="n"/>
      <c r="Q229" s="57" t="n"/>
      <c r="R229" s="57" t="n"/>
      <c r="S229" s="57" t="n"/>
      <c r="T229" s="57" t="n"/>
      <c r="U229" s="57" t="n"/>
      <c r="W229" s="292" t="n"/>
      <c r="X229" s="292" t="n"/>
      <c r="Y229" s="292" t="n"/>
    </row>
    <row r="230" ht="24.75" customFormat="1" customHeight="1" s="33">
      <c r="B230" s="56" t="n"/>
      <c r="C230" s="56" t="n"/>
      <c r="D230" s="336" t="n"/>
      <c r="E230" s="336" t="n"/>
      <c r="F230" s="338" t="n"/>
      <c r="G230" s="338" t="n"/>
      <c r="H230" s="52" t="n"/>
      <c r="I230" s="52" t="n"/>
      <c r="J230" s="52" t="n"/>
      <c r="K230" s="52" t="n"/>
      <c r="L230" s="52" t="n"/>
      <c r="M230" s="52" t="n"/>
      <c r="N230" s="52" t="n"/>
      <c r="O230" s="52" t="n"/>
      <c r="P230" s="52" t="n"/>
      <c r="Q230" s="52" t="n"/>
      <c r="R230" s="52" t="n"/>
      <c r="S230" s="52" t="n"/>
      <c r="T230" s="52" t="n"/>
      <c r="U230" s="52" t="n"/>
      <c r="W230" s="292" t="n"/>
      <c r="X230" s="292" t="n"/>
    </row>
    <row r="231" ht="37.5" customHeight="1">
      <c r="B231" s="222" t="inlineStr">
        <is>
          <t>AS INDICATED IN THE PROJECT MODIFICATION REQUEST LETTERS (THE LETTERS ARE DEVELOPED BY THE PRHTA FEDERAL LIAISON OFFICE AND EVALUATED/APPROVED BY THE FHWA PR/USVI DIVISION. 
FUNDS INFORMATION IN THE LETTERS WILL BE ACCESSED THROUGH A FOLDER IN A CLOUD PLATFORM):</t>
        </is>
      </c>
      <c r="C231" s="262" t="n"/>
      <c r="D231" s="262" t="n"/>
      <c r="E231" s="262" t="n"/>
      <c r="F231" s="262" t="n"/>
      <c r="G231" s="262" t="n"/>
      <c r="H231" s="262" t="n"/>
      <c r="I231" s="262" t="n"/>
      <c r="J231" s="262" t="n"/>
      <c r="K231" s="262" t="n"/>
      <c r="L231" s="262" t="n"/>
      <c r="M231" s="262" t="n"/>
      <c r="N231" s="262" t="n"/>
      <c r="O231" s="262" t="n"/>
      <c r="P231" s="262" t="n"/>
      <c r="Q231" s="262" t="n"/>
      <c r="R231" s="262" t="n"/>
      <c r="S231" s="262" t="n"/>
      <c r="T231" s="262" t="n"/>
      <c r="U231" s="263" t="n"/>
      <c r="V231" s="292" t="n"/>
      <c r="W231" s="292" t="n"/>
    </row>
    <row r="232" ht="15" customHeight="1">
      <c r="B232" s="214" t="inlineStr">
        <is>
          <t>Obligations Amount (excludes Payroll, Mileage and Diets)</t>
        </is>
      </c>
      <c r="C232" s="268" t="n"/>
      <c r="D232" s="268" t="n"/>
      <c r="E232" s="269" t="n"/>
      <c r="F232" s="214" t="inlineStr">
        <is>
          <t>Total Cost</t>
        </is>
      </c>
      <c r="G232" s="268" t="n"/>
      <c r="H232" s="268" t="n"/>
      <c r="I232" s="269" t="n"/>
      <c r="J232" s="214" t="inlineStr">
        <is>
          <t>Federal Funds</t>
        </is>
      </c>
      <c r="K232" s="269" t="n"/>
      <c r="L232" s="213" t="inlineStr">
        <is>
          <t>Federal Share</t>
        </is>
      </c>
      <c r="M232" s="268" t="n"/>
      <c r="N232" s="269" t="n"/>
      <c r="O232" s="216" t="inlineStr">
        <is>
          <t>Toll Credits</t>
        </is>
      </c>
      <c r="P232" s="269" t="n"/>
      <c r="Q232" s="154" t="inlineStr">
        <is>
          <t>State Funds</t>
        </is>
      </c>
      <c r="R232" s="268" t="n"/>
      <c r="S232" s="268" t="n"/>
      <c r="T232" s="268" t="n"/>
      <c r="U232" s="269" t="n"/>
      <c r="W232" s="292" t="n"/>
      <c r="X232" s="292" t="n"/>
    </row>
    <row r="233">
      <c r="B233" s="270" t="n"/>
      <c r="C233" s="261" t="n"/>
      <c r="D233" s="261" t="n"/>
      <c r="E233" s="271" t="n"/>
      <c r="F233" s="270" t="n"/>
      <c r="G233" s="261" t="n"/>
      <c r="H233" s="261" t="n"/>
      <c r="I233" s="271" t="n"/>
      <c r="J233" s="270" t="n"/>
      <c r="K233" s="271" t="n"/>
      <c r="L233" s="270" t="n"/>
      <c r="M233" s="261" t="n"/>
      <c r="N233" s="271" t="n"/>
      <c r="O233" s="270" t="n"/>
      <c r="P233" s="271" t="n"/>
      <c r="Q233" s="270" t="n"/>
      <c r="R233" s="261" t="n"/>
      <c r="S233" s="261" t="n"/>
      <c r="T233" s="261" t="n"/>
      <c r="U233" s="271" t="n"/>
    </row>
    <row r="234">
      <c r="B234" s="219" t="inlineStr">
        <is>
          <t>Original Project Funds</t>
        </is>
      </c>
      <c r="C234" s="262" t="n"/>
      <c r="D234" s="262" t="n"/>
      <c r="E234" s="263" t="n"/>
      <c r="F234" s="345">
        <f>J234+Q234</f>
        <v/>
      </c>
      <c r="G234" s="262" t="n"/>
      <c r="H234" s="262" t="n"/>
      <c r="I234" s="263" t="n"/>
      <c r="J234" s="345">
        <f>L234+O234</f>
        <v/>
      </c>
      <c r="K234" s="263" t="n"/>
      <c r="L234" s="345">
        <f>K60</f>
        <v/>
      </c>
      <c r="M234" s="262" t="n"/>
      <c r="N234" s="263" t="n"/>
      <c r="O234" s="345">
        <f>M60</f>
        <v/>
      </c>
      <c r="P234" s="263" t="n"/>
      <c r="Q234" s="345">
        <f>O61</f>
        <v/>
      </c>
      <c r="R234" s="262" t="n"/>
      <c r="S234" s="262" t="n"/>
      <c r="T234" s="262" t="n"/>
      <c r="U234" s="263" t="n"/>
    </row>
    <row r="235" ht="15" customHeight="1">
      <c r="B235" s="104" t="inlineStr">
        <is>
          <t>Modification #1</t>
        </is>
      </c>
      <c r="C235" s="262" t="n"/>
      <c r="D235" s="262" t="n"/>
      <c r="E235" s="263" t="n"/>
      <c r="F235" s="345">
        <f>J235+Q235</f>
        <v/>
      </c>
      <c r="G235" s="262" t="n"/>
      <c r="H235" s="262" t="n"/>
      <c r="I235" s="263" t="n"/>
      <c r="J235" s="345">
        <f>L235+O235</f>
        <v/>
      </c>
      <c r="K235" s="263" t="n"/>
      <c r="L235" s="346" t="n">
        <v>0</v>
      </c>
      <c r="M235" s="272" t="n"/>
      <c r="N235" s="275" t="n"/>
      <c r="O235" s="346" t="n">
        <v>0</v>
      </c>
      <c r="P235" s="275" t="n"/>
      <c r="Q235" s="346" t="n">
        <v>448133</v>
      </c>
      <c r="R235" s="272" t="n"/>
      <c r="S235" s="272" t="n"/>
      <c r="T235" s="272" t="n"/>
      <c r="U235" s="275" t="n"/>
    </row>
    <row r="236" ht="15" customHeight="1">
      <c r="B236" s="104" t="inlineStr">
        <is>
          <t>Modification #2</t>
        </is>
      </c>
      <c r="C236" s="262" t="n"/>
      <c r="D236" s="262" t="n"/>
      <c r="E236" s="263" t="n"/>
      <c r="F236" s="345">
        <f>J236+Q236</f>
        <v/>
      </c>
      <c r="G236" s="262" t="n"/>
      <c r="H236" s="262" t="n"/>
      <c r="I236" s="263" t="n"/>
      <c r="J236" s="345">
        <f>L236+O236</f>
        <v/>
      </c>
      <c r="K236" s="263" t="n"/>
      <c r="L236" s="346" t="n"/>
      <c r="M236" s="272" t="n"/>
      <c r="N236" s="275" t="n"/>
      <c r="O236" s="346" t="n"/>
      <c r="P236" s="275" t="n"/>
      <c r="Q236" s="346" t="n"/>
      <c r="R236" s="272" t="n"/>
      <c r="S236" s="272" t="n"/>
      <c r="T236" s="272" t="n"/>
      <c r="U236" s="275" t="n"/>
    </row>
    <row r="237" ht="15" customHeight="1">
      <c r="B237" s="104" t="inlineStr">
        <is>
          <t>Modification #3</t>
        </is>
      </c>
      <c r="C237" s="262" t="n"/>
      <c r="D237" s="262" t="n"/>
      <c r="E237" s="263" t="n"/>
      <c r="F237" s="345">
        <f>J237+Q237</f>
        <v/>
      </c>
      <c r="G237" s="262" t="n"/>
      <c r="H237" s="262" t="n"/>
      <c r="I237" s="263" t="n"/>
      <c r="J237" s="345">
        <f>L237+O237</f>
        <v/>
      </c>
      <c r="K237" s="263" t="n"/>
      <c r="L237" s="347" t="n"/>
      <c r="M237" s="272" t="n"/>
      <c r="N237" s="275" t="n"/>
      <c r="O237" s="347" t="n"/>
      <c r="P237" s="275" t="n"/>
      <c r="Q237" s="347" t="n"/>
      <c r="R237" s="272" t="n"/>
      <c r="S237" s="272" t="n"/>
      <c r="T237" s="272" t="n"/>
      <c r="U237" s="275" t="n"/>
    </row>
    <row r="238" ht="15" customHeight="1">
      <c r="B238" s="104" t="inlineStr">
        <is>
          <t>Modification #4</t>
        </is>
      </c>
      <c r="C238" s="262" t="n"/>
      <c r="D238" s="262" t="n"/>
      <c r="E238" s="263" t="n"/>
      <c r="F238" s="345">
        <f>J238+Q238</f>
        <v/>
      </c>
      <c r="G238" s="262" t="n"/>
      <c r="H238" s="262" t="n"/>
      <c r="I238" s="263" t="n"/>
      <c r="J238" s="345">
        <f>L238+O238</f>
        <v/>
      </c>
      <c r="K238" s="263" t="n"/>
      <c r="L238" s="347" t="n"/>
      <c r="M238" s="272" t="n"/>
      <c r="N238" s="275" t="n"/>
      <c r="O238" s="347" t="n"/>
      <c r="P238" s="275" t="n"/>
      <c r="Q238" s="347" t="n"/>
      <c r="R238" s="272" t="n"/>
      <c r="S238" s="272" t="n"/>
      <c r="T238" s="272" t="n"/>
      <c r="U238" s="275" t="n"/>
    </row>
    <row r="239" ht="15" customHeight="1">
      <c r="B239" s="104" t="inlineStr">
        <is>
          <t>Modification #5</t>
        </is>
      </c>
      <c r="C239" s="262" t="n"/>
      <c r="D239" s="262" t="n"/>
      <c r="E239" s="263" t="n"/>
      <c r="F239" s="345">
        <f>J239+Q239</f>
        <v/>
      </c>
      <c r="G239" s="262" t="n"/>
      <c r="H239" s="262" t="n"/>
      <c r="I239" s="263" t="n"/>
      <c r="J239" s="345">
        <f>L239+O239</f>
        <v/>
      </c>
      <c r="K239" s="263" t="n"/>
      <c r="L239" s="347" t="n"/>
      <c r="M239" s="272" t="n"/>
      <c r="N239" s="275" t="n"/>
      <c r="O239" s="347" t="n"/>
      <c r="P239" s="275" t="n"/>
      <c r="Q239" s="347" t="n"/>
      <c r="R239" s="272" t="n"/>
      <c r="S239" s="272" t="n"/>
      <c r="T239" s="272" t="n"/>
      <c r="U239" s="275" t="n"/>
    </row>
    <row r="240" ht="15" customHeight="1">
      <c r="B240" s="104" t="inlineStr">
        <is>
          <t>Modification #6</t>
        </is>
      </c>
      <c r="C240" s="262" t="n"/>
      <c r="D240" s="262" t="n"/>
      <c r="E240" s="263" t="n"/>
      <c r="F240" s="345">
        <f>J240+Q240</f>
        <v/>
      </c>
      <c r="G240" s="262" t="n"/>
      <c r="H240" s="262" t="n"/>
      <c r="I240" s="263" t="n"/>
      <c r="J240" s="345">
        <f>L240+O240</f>
        <v/>
      </c>
      <c r="K240" s="263" t="n"/>
      <c r="L240" s="347" t="n"/>
      <c r="M240" s="272" t="n"/>
      <c r="N240" s="275" t="n"/>
      <c r="O240" s="347" t="n"/>
      <c r="P240" s="275" t="n"/>
      <c r="Q240" s="347" t="n"/>
      <c r="R240" s="272" t="n"/>
      <c r="S240" s="272" t="n"/>
      <c r="T240" s="272" t="n"/>
      <c r="U240" s="275" t="n"/>
    </row>
    <row r="241" ht="15" customHeight="1">
      <c r="B241" s="104" t="inlineStr">
        <is>
          <t>Modification #7</t>
        </is>
      </c>
      <c r="C241" s="262" t="n"/>
      <c r="D241" s="262" t="n"/>
      <c r="E241" s="263" t="n"/>
      <c r="F241" s="345">
        <f>J241+Q241</f>
        <v/>
      </c>
      <c r="G241" s="262" t="n"/>
      <c r="H241" s="262" t="n"/>
      <c r="I241" s="263" t="n"/>
      <c r="J241" s="345">
        <f>L241+O241</f>
        <v/>
      </c>
      <c r="K241" s="263" t="n"/>
      <c r="L241" s="347" t="n"/>
      <c r="M241" s="272" t="n"/>
      <c r="N241" s="275" t="n"/>
      <c r="O241" s="347" t="n"/>
      <c r="P241" s="275" t="n"/>
      <c r="Q241" s="347" t="n"/>
      <c r="R241" s="272" t="n"/>
      <c r="S241" s="272" t="n"/>
      <c r="T241" s="272" t="n"/>
      <c r="U241" s="275" t="n"/>
    </row>
    <row r="242" ht="15" customHeight="1">
      <c r="B242" s="104" t="inlineStr">
        <is>
          <t>Modification #8</t>
        </is>
      </c>
      <c r="C242" s="262" t="n"/>
      <c r="D242" s="262" t="n"/>
      <c r="E242" s="263" t="n"/>
      <c r="F242" s="345">
        <f>J242+Q242</f>
        <v/>
      </c>
      <c r="G242" s="262" t="n"/>
      <c r="H242" s="262" t="n"/>
      <c r="I242" s="263" t="n"/>
      <c r="J242" s="345">
        <f>L242+O242</f>
        <v/>
      </c>
      <c r="K242" s="263" t="n"/>
      <c r="L242" s="347" t="n"/>
      <c r="M242" s="272" t="n"/>
      <c r="N242" s="275" t="n"/>
      <c r="O242" s="347" t="n"/>
      <c r="P242" s="275" t="n"/>
      <c r="Q242" s="347" t="n"/>
      <c r="R242" s="272" t="n"/>
      <c r="S242" s="272" t="n"/>
      <c r="T242" s="272" t="n"/>
      <c r="U242" s="275" t="n"/>
    </row>
    <row r="243" ht="15" customHeight="1">
      <c r="B243" s="104" t="inlineStr">
        <is>
          <t>Modification #9</t>
        </is>
      </c>
      <c r="C243" s="262" t="n"/>
      <c r="D243" s="262" t="n"/>
      <c r="E243" s="263" t="n"/>
      <c r="F243" s="345">
        <f>J243+Q243</f>
        <v/>
      </c>
      <c r="G243" s="262" t="n"/>
      <c r="H243" s="262" t="n"/>
      <c r="I243" s="263" t="n"/>
      <c r="J243" s="345">
        <f>L243+O243</f>
        <v/>
      </c>
      <c r="K243" s="263" t="n"/>
      <c r="L243" s="347" t="n"/>
      <c r="M243" s="272" t="n"/>
      <c r="N243" s="275" t="n"/>
      <c r="O243" s="347" t="n"/>
      <c r="P243" s="275" t="n"/>
      <c r="Q243" s="347" t="n"/>
      <c r="R243" s="272" t="n"/>
      <c r="S243" s="272" t="n"/>
      <c r="T243" s="272" t="n"/>
      <c r="U243" s="275" t="n"/>
    </row>
    <row r="244" ht="15" customHeight="1">
      <c r="B244" s="104" t="inlineStr">
        <is>
          <t>Modification #10</t>
        </is>
      </c>
      <c r="C244" s="262" t="n"/>
      <c r="D244" s="262" t="n"/>
      <c r="E244" s="263" t="n"/>
      <c r="F244" s="345">
        <f>J244+Q244</f>
        <v/>
      </c>
      <c r="G244" s="262" t="n"/>
      <c r="H244" s="262" t="n"/>
      <c r="I244" s="263" t="n"/>
      <c r="J244" s="345">
        <f>L244+O244</f>
        <v/>
      </c>
      <c r="K244" s="263" t="n"/>
      <c r="L244" s="347" t="n"/>
      <c r="M244" s="272" t="n"/>
      <c r="N244" s="275" t="n"/>
      <c r="O244" s="347" t="n"/>
      <c r="P244" s="275" t="n"/>
      <c r="Q244" s="347" t="n"/>
      <c r="R244" s="272" t="n"/>
      <c r="S244" s="272" t="n"/>
      <c r="T244" s="272" t="n"/>
      <c r="U244" s="275" t="n"/>
    </row>
    <row r="245" hidden="1" ht="15.75" customHeight="1">
      <c r="B245" s="104" t="inlineStr">
        <is>
          <t>Modification #11</t>
        </is>
      </c>
      <c r="C245" s="262" t="n"/>
      <c r="D245" s="262" t="n"/>
      <c r="E245" s="263" t="n"/>
      <c r="F245" s="345">
        <f>J245+Q245</f>
        <v/>
      </c>
      <c r="G245" s="262" t="n"/>
      <c r="H245" s="262" t="n"/>
      <c r="I245" s="263" t="n"/>
      <c r="J245" s="345">
        <f>L245+O245</f>
        <v/>
      </c>
      <c r="K245" s="263" t="n"/>
      <c r="L245" s="347" t="n"/>
      <c r="M245" s="272" t="n"/>
      <c r="N245" s="275" t="n"/>
      <c r="O245" s="347" t="n"/>
      <c r="P245" s="275" t="n"/>
      <c r="Q245" s="347" t="n"/>
      <c r="R245" s="272" t="n"/>
      <c r="S245" s="272" t="n"/>
      <c r="T245" s="272" t="n"/>
      <c r="U245" s="275" t="n"/>
    </row>
    <row r="246" hidden="1" ht="15.75" customHeight="1">
      <c r="B246" s="104" t="inlineStr">
        <is>
          <t>Modification #12</t>
        </is>
      </c>
      <c r="C246" s="262" t="n"/>
      <c r="D246" s="262" t="n"/>
      <c r="E246" s="263" t="n"/>
      <c r="F246" s="345">
        <f>J246+Q246</f>
        <v/>
      </c>
      <c r="G246" s="262" t="n"/>
      <c r="H246" s="262" t="n"/>
      <c r="I246" s="263" t="n"/>
      <c r="J246" s="345">
        <f>L246+O246</f>
        <v/>
      </c>
      <c r="K246" s="263" t="n"/>
      <c r="L246" s="347" t="n"/>
      <c r="M246" s="272" t="n"/>
      <c r="N246" s="275" t="n"/>
      <c r="O246" s="347" t="n"/>
      <c r="P246" s="275" t="n"/>
      <c r="Q246" s="347" t="n"/>
      <c r="R246" s="272" t="n"/>
      <c r="S246" s="272" t="n"/>
      <c r="T246" s="272" t="n"/>
      <c r="U246" s="275" t="n"/>
    </row>
    <row r="247" hidden="1" ht="15" customHeight="1">
      <c r="B247" s="104" t="inlineStr">
        <is>
          <t>Modification #13</t>
        </is>
      </c>
      <c r="C247" s="262" t="n"/>
      <c r="D247" s="262" t="n"/>
      <c r="E247" s="263" t="n"/>
      <c r="F247" s="345">
        <f>J247+Q247</f>
        <v/>
      </c>
      <c r="G247" s="262" t="n"/>
      <c r="H247" s="262" t="n"/>
      <c r="I247" s="263" t="n"/>
      <c r="J247" s="345">
        <f>L247+O247</f>
        <v/>
      </c>
      <c r="K247" s="263" t="n"/>
      <c r="L247" s="347" t="n"/>
      <c r="M247" s="272" t="n"/>
      <c r="N247" s="275" t="n"/>
      <c r="O247" s="347" t="n"/>
      <c r="P247" s="275" t="n"/>
      <c r="Q247" s="347" t="n"/>
      <c r="R247" s="272" t="n"/>
      <c r="S247" s="272" t="n"/>
      <c r="T247" s="272" t="n"/>
      <c r="U247" s="275" t="n"/>
    </row>
    <row r="248" hidden="1" ht="15" customHeight="1">
      <c r="B248" s="104" t="inlineStr">
        <is>
          <t>Modification #14</t>
        </is>
      </c>
      <c r="C248" s="262" t="n"/>
      <c r="D248" s="262" t="n"/>
      <c r="E248" s="263" t="n"/>
      <c r="F248" s="345">
        <f>J248+Q248</f>
        <v/>
      </c>
      <c r="G248" s="262" t="n"/>
      <c r="H248" s="262" t="n"/>
      <c r="I248" s="263" t="n"/>
      <c r="J248" s="345">
        <f>L248+O248</f>
        <v/>
      </c>
      <c r="K248" s="263" t="n"/>
      <c r="L248" s="347" t="n"/>
      <c r="M248" s="272" t="n"/>
      <c r="N248" s="275" t="n"/>
      <c r="O248" s="347" t="n"/>
      <c r="P248" s="275" t="n"/>
      <c r="Q248" s="347" t="n"/>
      <c r="R248" s="272" t="n"/>
      <c r="S248" s="272" t="n"/>
      <c r="T248" s="272" t="n"/>
      <c r="U248" s="275" t="n"/>
    </row>
    <row r="249" hidden="1" ht="15" customHeight="1">
      <c r="B249" s="104" t="inlineStr">
        <is>
          <t>Modification #15</t>
        </is>
      </c>
      <c r="C249" s="262" t="n"/>
      <c r="D249" s="262" t="n"/>
      <c r="E249" s="263" t="n"/>
      <c r="F249" s="345">
        <f>J249+Q249</f>
        <v/>
      </c>
      <c r="G249" s="262" t="n"/>
      <c r="H249" s="262" t="n"/>
      <c r="I249" s="263" t="n"/>
      <c r="J249" s="345">
        <f>L249+O249</f>
        <v/>
      </c>
      <c r="K249" s="263" t="n"/>
      <c r="L249" s="347" t="n"/>
      <c r="M249" s="272" t="n"/>
      <c r="N249" s="275" t="n"/>
      <c r="O249" s="347" t="n"/>
      <c r="P249" s="275" t="n"/>
      <c r="Q249" s="347" t="n"/>
      <c r="R249" s="272" t="n"/>
      <c r="S249" s="272" t="n"/>
      <c r="T249" s="272" t="n"/>
      <c r="U249" s="275" t="n"/>
    </row>
    <row r="250" hidden="1" ht="15" customHeight="1">
      <c r="B250" s="104" t="inlineStr">
        <is>
          <t>Modification #16</t>
        </is>
      </c>
      <c r="C250" s="262" t="n"/>
      <c r="D250" s="262" t="n"/>
      <c r="E250" s="263" t="n"/>
      <c r="F250" s="345">
        <f>J250+Q250</f>
        <v/>
      </c>
      <c r="G250" s="262" t="n"/>
      <c r="H250" s="262" t="n"/>
      <c r="I250" s="263" t="n"/>
      <c r="J250" s="345">
        <f>L250+O250</f>
        <v/>
      </c>
      <c r="K250" s="263" t="n"/>
      <c r="L250" s="347" t="n"/>
      <c r="M250" s="272" t="n"/>
      <c r="N250" s="275" t="n"/>
      <c r="O250" s="347" t="n"/>
      <c r="P250" s="275" t="n"/>
      <c r="Q250" s="347" t="n"/>
      <c r="R250" s="272" t="n"/>
      <c r="S250" s="272" t="n"/>
      <c r="T250" s="272" t="n"/>
      <c r="U250" s="275" t="n"/>
    </row>
    <row r="251" hidden="1" ht="15" customHeight="1">
      <c r="B251" s="104" t="inlineStr">
        <is>
          <t>Modification #17</t>
        </is>
      </c>
      <c r="C251" s="262" t="n"/>
      <c r="D251" s="262" t="n"/>
      <c r="E251" s="263" t="n"/>
      <c r="F251" s="345">
        <f>J251+Q251</f>
        <v/>
      </c>
      <c r="G251" s="262" t="n"/>
      <c r="H251" s="262" t="n"/>
      <c r="I251" s="263" t="n"/>
      <c r="J251" s="345">
        <f>L251+O251</f>
        <v/>
      </c>
      <c r="K251" s="263" t="n"/>
      <c r="L251" s="347" t="n"/>
      <c r="M251" s="272" t="n"/>
      <c r="N251" s="275" t="n"/>
      <c r="O251" s="347" t="n"/>
      <c r="P251" s="275" t="n"/>
      <c r="Q251" s="347" t="n"/>
      <c r="R251" s="272" t="n"/>
      <c r="S251" s="272" t="n"/>
      <c r="T251" s="272" t="n"/>
      <c r="U251" s="275" t="n"/>
    </row>
    <row r="252" hidden="1" ht="15" customHeight="1">
      <c r="B252" s="104" t="inlineStr">
        <is>
          <t>Modification #18</t>
        </is>
      </c>
      <c r="C252" s="262" t="n"/>
      <c r="D252" s="262" t="n"/>
      <c r="E252" s="263" t="n"/>
      <c r="F252" s="345">
        <f>J252+Q252</f>
        <v/>
      </c>
      <c r="G252" s="262" t="n"/>
      <c r="H252" s="262" t="n"/>
      <c r="I252" s="263" t="n"/>
      <c r="J252" s="345">
        <f>L252+O252</f>
        <v/>
      </c>
      <c r="K252" s="263" t="n"/>
      <c r="L252" s="348" t="n"/>
      <c r="M252" s="272" t="n"/>
      <c r="N252" s="275" t="n"/>
      <c r="O252" s="348" t="n"/>
      <c r="P252" s="275" t="n"/>
      <c r="Q252" s="348" t="n"/>
      <c r="R252" s="272" t="n"/>
      <c r="S252" s="272" t="n"/>
      <c r="T252" s="272" t="n"/>
      <c r="U252" s="275" t="n"/>
    </row>
    <row r="253" hidden="1" ht="15" customHeight="1">
      <c r="B253" s="104" t="inlineStr">
        <is>
          <t>Modification #19</t>
        </is>
      </c>
      <c r="C253" s="262" t="n"/>
      <c r="D253" s="262" t="n"/>
      <c r="E253" s="263" t="n"/>
      <c r="F253" s="345">
        <f>J253+Q253</f>
        <v/>
      </c>
      <c r="G253" s="262" t="n"/>
      <c r="H253" s="262" t="n"/>
      <c r="I253" s="263" t="n"/>
      <c r="J253" s="345">
        <f>L253+O253</f>
        <v/>
      </c>
      <c r="K253" s="263" t="n"/>
      <c r="L253" s="348" t="n"/>
      <c r="M253" s="272" t="n"/>
      <c r="N253" s="275" t="n"/>
      <c r="O253" s="348" t="n"/>
      <c r="P253" s="275" t="n"/>
      <c r="Q253" s="348" t="n"/>
      <c r="R253" s="272" t="n"/>
      <c r="S253" s="272" t="n"/>
      <c r="T253" s="272" t="n"/>
      <c r="U253" s="275" t="n"/>
    </row>
    <row r="254" hidden="1" ht="15" customHeight="1">
      <c r="B254" s="104" t="inlineStr">
        <is>
          <t>Modification #20</t>
        </is>
      </c>
      <c r="C254" s="262" t="n"/>
      <c r="D254" s="262" t="n"/>
      <c r="E254" s="263" t="n"/>
      <c r="F254" s="345">
        <f>J254+Q254</f>
        <v/>
      </c>
      <c r="G254" s="262" t="n"/>
      <c r="H254" s="262" t="n"/>
      <c r="I254" s="263" t="n"/>
      <c r="J254" s="345">
        <f>L254+O254</f>
        <v/>
      </c>
      <c r="K254" s="263" t="n"/>
      <c r="L254" s="348" t="n"/>
      <c r="M254" s="272" t="n"/>
      <c r="N254" s="275" t="n"/>
      <c r="O254" s="348" t="n"/>
      <c r="P254" s="275" t="n"/>
      <c r="Q254" s="348" t="n"/>
      <c r="R254" s="272" t="n"/>
      <c r="S254" s="272" t="n"/>
      <c r="T254" s="272" t="n"/>
      <c r="U254" s="275" t="n"/>
    </row>
    <row r="255" hidden="1" ht="15" customHeight="1">
      <c r="B255" s="104" t="inlineStr">
        <is>
          <t>Modification #21</t>
        </is>
      </c>
      <c r="C255" s="262" t="n"/>
      <c r="D255" s="262" t="n"/>
      <c r="E255" s="263" t="n"/>
      <c r="F255" s="345">
        <f>J255+Q255</f>
        <v/>
      </c>
      <c r="G255" s="262" t="n"/>
      <c r="H255" s="262" t="n"/>
      <c r="I255" s="263" t="n"/>
      <c r="J255" s="345">
        <f>L255+O255</f>
        <v/>
      </c>
      <c r="K255" s="263" t="n"/>
      <c r="L255" s="348" t="n"/>
      <c r="M255" s="272" t="n"/>
      <c r="N255" s="275" t="n"/>
      <c r="O255" s="348" t="n"/>
      <c r="P255" s="275" t="n"/>
      <c r="Q255" s="348" t="n"/>
      <c r="R255" s="272" t="n"/>
      <c r="S255" s="272" t="n"/>
      <c r="T255" s="272" t="n"/>
      <c r="U255" s="275" t="n"/>
    </row>
    <row r="256" hidden="1" ht="15" customHeight="1">
      <c r="B256" s="104" t="inlineStr">
        <is>
          <t>Modification #22</t>
        </is>
      </c>
      <c r="C256" s="262" t="n"/>
      <c r="D256" s="262" t="n"/>
      <c r="E256" s="263" t="n"/>
      <c r="F256" s="345">
        <f>J256+Q256</f>
        <v/>
      </c>
      <c r="G256" s="262" t="n"/>
      <c r="H256" s="262" t="n"/>
      <c r="I256" s="263" t="n"/>
      <c r="J256" s="345">
        <f>L256+O256</f>
        <v/>
      </c>
      <c r="K256" s="263" t="n"/>
      <c r="L256" s="349" t="n"/>
      <c r="M256" s="272" t="n"/>
      <c r="N256" s="275" t="n"/>
      <c r="O256" s="349" t="n"/>
      <c r="P256" s="275" t="n"/>
      <c r="Q256" s="349" t="n"/>
      <c r="R256" s="272" t="n"/>
      <c r="S256" s="272" t="n"/>
      <c r="T256" s="272" t="n"/>
      <c r="U256" s="275" t="n"/>
    </row>
    <row r="257" hidden="1" ht="15" customHeight="1">
      <c r="B257" s="104" t="inlineStr">
        <is>
          <t>Modification #23</t>
        </is>
      </c>
      <c r="C257" s="262" t="n"/>
      <c r="D257" s="262" t="n"/>
      <c r="E257" s="263" t="n"/>
      <c r="F257" s="345">
        <f>J257+Q257</f>
        <v/>
      </c>
      <c r="G257" s="262" t="n"/>
      <c r="H257" s="262" t="n"/>
      <c r="I257" s="263" t="n"/>
      <c r="J257" s="345">
        <f>L257+O257</f>
        <v/>
      </c>
      <c r="K257" s="263" t="n"/>
      <c r="L257" s="347" t="n"/>
      <c r="M257" s="272" t="n"/>
      <c r="N257" s="275" t="n"/>
      <c r="O257" s="347" t="n"/>
      <c r="P257" s="275" t="n"/>
      <c r="Q257" s="347" t="n"/>
      <c r="R257" s="272" t="n"/>
      <c r="S257" s="272" t="n"/>
      <c r="T257" s="272" t="n"/>
      <c r="U257" s="275" t="n"/>
    </row>
    <row r="258" hidden="1" ht="15" customHeight="1">
      <c r="B258" s="104" t="inlineStr">
        <is>
          <t>Modification #24</t>
        </is>
      </c>
      <c r="C258" s="262" t="n"/>
      <c r="D258" s="262" t="n"/>
      <c r="E258" s="263" t="n"/>
      <c r="F258" s="345">
        <f>J258+Q258</f>
        <v/>
      </c>
      <c r="G258" s="262" t="n"/>
      <c r="H258" s="262" t="n"/>
      <c r="I258" s="263" t="n"/>
      <c r="J258" s="345">
        <f>L258+O258</f>
        <v/>
      </c>
      <c r="K258" s="263" t="n"/>
      <c r="L258" s="347" t="n"/>
      <c r="M258" s="272" t="n"/>
      <c r="N258" s="275" t="n"/>
      <c r="O258" s="347" t="n"/>
      <c r="P258" s="275" t="n"/>
      <c r="Q258" s="347" t="n"/>
      <c r="R258" s="272" t="n"/>
      <c r="S258" s="272" t="n"/>
      <c r="T258" s="272" t="n"/>
      <c r="U258" s="275" t="n"/>
    </row>
    <row r="259" hidden="1" ht="15" customHeight="1">
      <c r="B259" s="104" t="inlineStr">
        <is>
          <t>Modification #25</t>
        </is>
      </c>
      <c r="C259" s="262" t="n"/>
      <c r="D259" s="262" t="n"/>
      <c r="E259" s="263" t="n"/>
      <c r="F259" s="345">
        <f>J259+Q259</f>
        <v/>
      </c>
      <c r="G259" s="262" t="n"/>
      <c r="H259" s="262" t="n"/>
      <c r="I259" s="263" t="n"/>
      <c r="J259" s="345">
        <f>L259+O259</f>
        <v/>
      </c>
      <c r="K259" s="263" t="n"/>
      <c r="L259" s="347" t="n"/>
      <c r="M259" s="272" t="n"/>
      <c r="N259" s="275" t="n"/>
      <c r="O259" s="347" t="n"/>
      <c r="P259" s="275" t="n"/>
      <c r="Q259" s="347" t="n"/>
      <c r="R259" s="272" t="n"/>
      <c r="S259" s="272" t="n"/>
      <c r="T259" s="272" t="n"/>
      <c r="U259" s="275" t="n"/>
    </row>
    <row r="260" hidden="1" ht="15" customHeight="1">
      <c r="B260" s="104" t="inlineStr">
        <is>
          <t>Modification #26</t>
        </is>
      </c>
      <c r="C260" s="262" t="n"/>
      <c r="D260" s="262" t="n"/>
      <c r="E260" s="263" t="n"/>
      <c r="F260" s="345">
        <f>J260+Q260</f>
        <v/>
      </c>
      <c r="G260" s="262" t="n"/>
      <c r="H260" s="262" t="n"/>
      <c r="I260" s="263" t="n"/>
      <c r="J260" s="345">
        <f>L260+O260</f>
        <v/>
      </c>
      <c r="K260" s="263" t="n"/>
      <c r="L260" s="347" t="n"/>
      <c r="M260" s="272" t="n"/>
      <c r="N260" s="275" t="n"/>
      <c r="O260" s="347" t="n"/>
      <c r="P260" s="275" t="n"/>
      <c r="Q260" s="347" t="n"/>
      <c r="R260" s="272" t="n"/>
      <c r="S260" s="272" t="n"/>
      <c r="T260" s="272" t="n"/>
      <c r="U260" s="275" t="n"/>
    </row>
    <row r="261" hidden="1" ht="15" customHeight="1">
      <c r="B261" s="104" t="inlineStr">
        <is>
          <t>Modification #27</t>
        </is>
      </c>
      <c r="C261" s="262" t="n"/>
      <c r="D261" s="262" t="n"/>
      <c r="E261" s="263" t="n"/>
      <c r="F261" s="345">
        <f>J261+Q261</f>
        <v/>
      </c>
      <c r="G261" s="262" t="n"/>
      <c r="H261" s="262" t="n"/>
      <c r="I261" s="263" t="n"/>
      <c r="J261" s="345">
        <f>L261+O261</f>
        <v/>
      </c>
      <c r="K261" s="263" t="n"/>
      <c r="L261" s="347" t="n"/>
      <c r="M261" s="272" t="n"/>
      <c r="N261" s="275" t="n"/>
      <c r="O261" s="347" t="n"/>
      <c r="P261" s="275" t="n"/>
      <c r="Q261" s="347" t="n"/>
      <c r="R261" s="272" t="n"/>
      <c r="S261" s="272" t="n"/>
      <c r="T261" s="272" t="n"/>
      <c r="U261" s="275" t="n"/>
    </row>
    <row r="262" hidden="1" ht="15" customHeight="1">
      <c r="B262" s="104" t="inlineStr">
        <is>
          <t>Modification #28</t>
        </is>
      </c>
      <c r="C262" s="262" t="n"/>
      <c r="D262" s="262" t="n"/>
      <c r="E262" s="263" t="n"/>
      <c r="F262" s="345">
        <f>J262+Q262</f>
        <v/>
      </c>
      <c r="G262" s="262" t="n"/>
      <c r="H262" s="262" t="n"/>
      <c r="I262" s="263" t="n"/>
      <c r="J262" s="345">
        <f>L262+O262</f>
        <v/>
      </c>
      <c r="K262" s="263" t="n"/>
      <c r="L262" s="347" t="n"/>
      <c r="M262" s="272" t="n"/>
      <c r="N262" s="275" t="n"/>
      <c r="O262" s="347" t="n"/>
      <c r="P262" s="275" t="n"/>
      <c r="Q262" s="347" t="n"/>
      <c r="R262" s="272" t="n"/>
      <c r="S262" s="272" t="n"/>
      <c r="T262" s="272" t="n"/>
      <c r="U262" s="275" t="n"/>
    </row>
    <row r="263" hidden="1" ht="15" customHeight="1">
      <c r="B263" s="104" t="inlineStr">
        <is>
          <t>Modification #29</t>
        </is>
      </c>
      <c r="C263" s="262" t="n"/>
      <c r="D263" s="262" t="n"/>
      <c r="E263" s="263" t="n"/>
      <c r="F263" s="345">
        <f>J263+Q263</f>
        <v/>
      </c>
      <c r="G263" s="262" t="n"/>
      <c r="H263" s="262" t="n"/>
      <c r="I263" s="263" t="n"/>
      <c r="J263" s="345">
        <f>L263+O263</f>
        <v/>
      </c>
      <c r="K263" s="263" t="n"/>
      <c r="L263" s="347" t="n"/>
      <c r="M263" s="272" t="n"/>
      <c r="N263" s="275" t="n"/>
      <c r="O263" s="347" t="n"/>
      <c r="P263" s="275" t="n"/>
      <c r="Q263" s="347" t="n"/>
      <c r="R263" s="272" t="n"/>
      <c r="S263" s="272" t="n"/>
      <c r="T263" s="272" t="n"/>
      <c r="U263" s="275" t="n"/>
    </row>
    <row r="264" hidden="1" ht="15" customHeight="1">
      <c r="B264" s="104" t="inlineStr">
        <is>
          <t>Modification #30</t>
        </is>
      </c>
      <c r="C264" s="262" t="n"/>
      <c r="D264" s="262" t="n"/>
      <c r="E264" s="263" t="n"/>
      <c r="F264" s="345">
        <f>J264+Q264</f>
        <v/>
      </c>
      <c r="G264" s="262" t="n"/>
      <c r="H264" s="262" t="n"/>
      <c r="I264" s="263" t="n"/>
      <c r="J264" s="345">
        <f>L264+O264</f>
        <v/>
      </c>
      <c r="K264" s="263" t="n"/>
      <c r="L264" s="347" t="n"/>
      <c r="M264" s="272" t="n"/>
      <c r="N264" s="275" t="n"/>
      <c r="O264" s="347" t="n"/>
      <c r="P264" s="275" t="n"/>
      <c r="Q264" s="347" t="n"/>
      <c r="R264" s="272" t="n"/>
      <c r="S264" s="272" t="n"/>
      <c r="T264" s="272" t="n"/>
      <c r="U264" s="275" t="n"/>
    </row>
    <row r="265" hidden="1" ht="15" customHeight="1">
      <c r="B265" s="104" t="inlineStr">
        <is>
          <t>Modification #31</t>
        </is>
      </c>
      <c r="C265" s="262" t="n"/>
      <c r="D265" s="262" t="n"/>
      <c r="E265" s="263" t="n"/>
      <c r="F265" s="345">
        <f>J265+Q265</f>
        <v/>
      </c>
      <c r="G265" s="262" t="n"/>
      <c r="H265" s="262" t="n"/>
      <c r="I265" s="263" t="n"/>
      <c r="J265" s="345">
        <f>L265+O265</f>
        <v/>
      </c>
      <c r="K265" s="263" t="n"/>
      <c r="L265" s="347" t="n"/>
      <c r="M265" s="272" t="n"/>
      <c r="N265" s="275" t="n"/>
      <c r="O265" s="347" t="n"/>
      <c r="P265" s="275" t="n"/>
      <c r="Q265" s="347" t="n"/>
      <c r="R265" s="272" t="n"/>
      <c r="S265" s="272" t="n"/>
      <c r="T265" s="272" t="n"/>
      <c r="U265" s="275" t="n"/>
    </row>
    <row r="266" hidden="1" ht="15" customHeight="1">
      <c r="B266" s="104" t="inlineStr">
        <is>
          <t>Modification #32</t>
        </is>
      </c>
      <c r="C266" s="262" t="n"/>
      <c r="D266" s="262" t="n"/>
      <c r="E266" s="263" t="n"/>
      <c r="F266" s="345">
        <f>J266+Q266</f>
        <v/>
      </c>
      <c r="G266" s="262" t="n"/>
      <c r="H266" s="262" t="n"/>
      <c r="I266" s="263" t="n"/>
      <c r="J266" s="345">
        <f>L266+O266</f>
        <v/>
      </c>
      <c r="K266" s="263" t="n"/>
      <c r="L266" s="347" t="n"/>
      <c r="M266" s="272" t="n"/>
      <c r="N266" s="275" t="n"/>
      <c r="O266" s="347" t="n"/>
      <c r="P266" s="275" t="n"/>
      <c r="Q266" s="347" t="n"/>
      <c r="R266" s="272" t="n"/>
      <c r="S266" s="272" t="n"/>
      <c r="T266" s="272" t="n"/>
      <c r="U266" s="275" t="n"/>
    </row>
    <row r="267" hidden="1" ht="15" customHeight="1">
      <c r="B267" s="104" t="inlineStr">
        <is>
          <t>Modification #33</t>
        </is>
      </c>
      <c r="C267" s="262" t="n"/>
      <c r="D267" s="262" t="n"/>
      <c r="E267" s="263" t="n"/>
      <c r="F267" s="345">
        <f>J267+Q267</f>
        <v/>
      </c>
      <c r="G267" s="262" t="n"/>
      <c r="H267" s="262" t="n"/>
      <c r="I267" s="263" t="n"/>
      <c r="J267" s="345">
        <f>L267+O267</f>
        <v/>
      </c>
      <c r="K267" s="263" t="n"/>
      <c r="L267" s="347" t="n"/>
      <c r="M267" s="272" t="n"/>
      <c r="N267" s="275" t="n"/>
      <c r="O267" s="347" t="n"/>
      <c r="P267" s="275" t="n"/>
      <c r="Q267" s="347" t="n"/>
      <c r="R267" s="272" t="n"/>
      <c r="S267" s="272" t="n"/>
      <c r="T267" s="272" t="n"/>
      <c r="U267" s="275" t="n"/>
    </row>
    <row r="268" hidden="1" ht="15" customHeight="1">
      <c r="B268" s="104" t="inlineStr">
        <is>
          <t>Modification #34</t>
        </is>
      </c>
      <c r="C268" s="262" t="n"/>
      <c r="D268" s="262" t="n"/>
      <c r="E268" s="263" t="n"/>
      <c r="F268" s="345">
        <f>J268+Q268</f>
        <v/>
      </c>
      <c r="G268" s="262" t="n"/>
      <c r="H268" s="262" t="n"/>
      <c r="I268" s="263" t="n"/>
      <c r="J268" s="345">
        <f>L268+O268</f>
        <v/>
      </c>
      <c r="K268" s="263" t="n"/>
      <c r="L268" s="347" t="n"/>
      <c r="M268" s="272" t="n"/>
      <c r="N268" s="275" t="n"/>
      <c r="O268" s="347" t="n"/>
      <c r="P268" s="275" t="n"/>
      <c r="Q268" s="347" t="n"/>
      <c r="R268" s="272" t="n"/>
      <c r="S268" s="272" t="n"/>
      <c r="T268" s="272" t="n"/>
      <c r="U268" s="275" t="n"/>
    </row>
    <row r="269" hidden="1" ht="15" customHeight="1">
      <c r="B269" s="104" t="inlineStr">
        <is>
          <t>Modification #35</t>
        </is>
      </c>
      <c r="C269" s="262" t="n"/>
      <c r="D269" s="262" t="n"/>
      <c r="E269" s="263" t="n"/>
      <c r="F269" s="345">
        <f>J269+Q269</f>
        <v/>
      </c>
      <c r="G269" s="262" t="n"/>
      <c r="H269" s="262" t="n"/>
      <c r="I269" s="263" t="n"/>
      <c r="J269" s="345">
        <f>L269+O269</f>
        <v/>
      </c>
      <c r="K269" s="263" t="n"/>
      <c r="L269" s="347" t="n"/>
      <c r="M269" s="272" t="n"/>
      <c r="N269" s="275" t="n"/>
      <c r="O269" s="347" t="n"/>
      <c r="P269" s="275" t="n"/>
      <c r="Q269" s="347" t="n"/>
      <c r="R269" s="272" t="n"/>
      <c r="S269" s="272" t="n"/>
      <c r="T269" s="272" t="n"/>
      <c r="U269" s="275" t="n"/>
    </row>
    <row r="270" hidden="1" ht="15" customHeight="1">
      <c r="B270" s="104" t="inlineStr">
        <is>
          <t>Modification #36</t>
        </is>
      </c>
      <c r="C270" s="262" t="n"/>
      <c r="D270" s="262" t="n"/>
      <c r="E270" s="263" t="n"/>
      <c r="F270" s="345">
        <f>J270+Q270</f>
        <v/>
      </c>
      <c r="G270" s="262" t="n"/>
      <c r="H270" s="262" t="n"/>
      <c r="I270" s="263" t="n"/>
      <c r="J270" s="345">
        <f>L270+O270</f>
        <v/>
      </c>
      <c r="K270" s="263" t="n"/>
      <c r="L270" s="347" t="n"/>
      <c r="M270" s="272" t="n"/>
      <c r="N270" s="275" t="n"/>
      <c r="O270" s="347" t="n"/>
      <c r="P270" s="275" t="n"/>
      <c r="Q270" s="347" t="n"/>
      <c r="R270" s="272" t="n"/>
      <c r="S270" s="272" t="n"/>
      <c r="T270" s="272" t="n"/>
      <c r="U270" s="275" t="n"/>
    </row>
    <row r="271" hidden="1" ht="15" customHeight="1">
      <c r="B271" s="104" t="inlineStr">
        <is>
          <t>Modification #37</t>
        </is>
      </c>
      <c r="C271" s="262" t="n"/>
      <c r="D271" s="262" t="n"/>
      <c r="E271" s="263" t="n"/>
      <c r="F271" s="345">
        <f>J271+Q271</f>
        <v/>
      </c>
      <c r="G271" s="262" t="n"/>
      <c r="H271" s="262" t="n"/>
      <c r="I271" s="263" t="n"/>
      <c r="J271" s="345">
        <f>L271+O271</f>
        <v/>
      </c>
      <c r="K271" s="263" t="n"/>
      <c r="L271" s="347" t="n"/>
      <c r="M271" s="272" t="n"/>
      <c r="N271" s="275" t="n"/>
      <c r="O271" s="347" t="n"/>
      <c r="P271" s="275" t="n"/>
      <c r="Q271" s="347" t="n"/>
      <c r="R271" s="272" t="n"/>
      <c r="S271" s="272" t="n"/>
      <c r="T271" s="272" t="n"/>
      <c r="U271" s="275" t="n"/>
    </row>
    <row r="272" hidden="1" ht="15" customHeight="1">
      <c r="B272" s="104" t="inlineStr">
        <is>
          <t>Modification #38</t>
        </is>
      </c>
      <c r="C272" s="262" t="n"/>
      <c r="D272" s="262" t="n"/>
      <c r="E272" s="263" t="n"/>
      <c r="F272" s="345">
        <f>J272+Q272</f>
        <v/>
      </c>
      <c r="G272" s="262" t="n"/>
      <c r="H272" s="262" t="n"/>
      <c r="I272" s="263" t="n"/>
      <c r="J272" s="345">
        <f>L272+O272</f>
        <v/>
      </c>
      <c r="K272" s="263" t="n"/>
      <c r="L272" s="348" t="n"/>
      <c r="M272" s="272" t="n"/>
      <c r="N272" s="275" t="n"/>
      <c r="O272" s="348" t="n"/>
      <c r="P272" s="275" t="n"/>
      <c r="Q272" s="348" t="n"/>
      <c r="R272" s="272" t="n"/>
      <c r="S272" s="272" t="n"/>
      <c r="T272" s="272" t="n"/>
      <c r="U272" s="275" t="n"/>
    </row>
    <row r="273" hidden="1" ht="15" customHeight="1">
      <c r="B273" s="104" t="inlineStr">
        <is>
          <t>Modification #39</t>
        </is>
      </c>
      <c r="C273" s="262" t="n"/>
      <c r="D273" s="262" t="n"/>
      <c r="E273" s="263" t="n"/>
      <c r="F273" s="345">
        <f>J273+Q273</f>
        <v/>
      </c>
      <c r="G273" s="262" t="n"/>
      <c r="H273" s="262" t="n"/>
      <c r="I273" s="263" t="n"/>
      <c r="J273" s="345">
        <f>L273+O273</f>
        <v/>
      </c>
      <c r="K273" s="263" t="n"/>
      <c r="L273" s="348" t="n"/>
      <c r="M273" s="272" t="n"/>
      <c r="N273" s="275" t="n"/>
      <c r="O273" s="348" t="n"/>
      <c r="P273" s="275" t="n"/>
      <c r="Q273" s="348" t="n"/>
      <c r="R273" s="272" t="n"/>
      <c r="S273" s="272" t="n"/>
      <c r="T273" s="272" t="n"/>
      <c r="U273" s="275" t="n"/>
    </row>
    <row r="274" hidden="1" ht="15" customHeight="1">
      <c r="B274" s="104" t="inlineStr">
        <is>
          <t>Modification #40</t>
        </is>
      </c>
      <c r="C274" s="262" t="n"/>
      <c r="D274" s="262" t="n"/>
      <c r="E274" s="263" t="n"/>
      <c r="F274" s="345">
        <f>J274+Q274</f>
        <v/>
      </c>
      <c r="G274" s="262" t="n"/>
      <c r="H274" s="262" t="n"/>
      <c r="I274" s="263" t="n"/>
      <c r="J274" s="345">
        <f>L274+O274</f>
        <v/>
      </c>
      <c r="K274" s="263" t="n"/>
      <c r="L274" s="348" t="n"/>
      <c r="M274" s="272" t="n"/>
      <c r="N274" s="275" t="n"/>
      <c r="O274" s="348" t="n"/>
      <c r="P274" s="275" t="n"/>
      <c r="Q274" s="348" t="n"/>
      <c r="R274" s="272" t="n"/>
      <c r="S274" s="272" t="n"/>
      <c r="T274" s="272" t="n"/>
      <c r="U274" s="275" t="n"/>
    </row>
    <row r="275" hidden="1" ht="15" customHeight="1">
      <c r="B275" s="104" t="inlineStr">
        <is>
          <t>Modification #41</t>
        </is>
      </c>
      <c r="C275" s="262" t="n"/>
      <c r="D275" s="262" t="n"/>
      <c r="E275" s="263" t="n"/>
      <c r="F275" s="345">
        <f>J275+Q275</f>
        <v/>
      </c>
      <c r="G275" s="262" t="n"/>
      <c r="H275" s="262" t="n"/>
      <c r="I275" s="263" t="n"/>
      <c r="J275" s="345">
        <f>L275+O275</f>
        <v/>
      </c>
      <c r="K275" s="263" t="n"/>
      <c r="L275" s="348" t="n"/>
      <c r="M275" s="272" t="n"/>
      <c r="N275" s="275" t="n"/>
      <c r="O275" s="348" t="n"/>
      <c r="P275" s="275" t="n"/>
      <c r="Q275" s="348" t="n"/>
      <c r="R275" s="272" t="n"/>
      <c r="S275" s="272" t="n"/>
      <c r="T275" s="272" t="n"/>
      <c r="U275" s="275" t="n"/>
    </row>
    <row r="276" hidden="1" ht="15" customHeight="1">
      <c r="B276" s="104" t="inlineStr">
        <is>
          <t>Modification #42</t>
        </is>
      </c>
      <c r="C276" s="262" t="n"/>
      <c r="D276" s="262" t="n"/>
      <c r="E276" s="263" t="n"/>
      <c r="F276" s="345">
        <f>J276+Q276</f>
        <v/>
      </c>
      <c r="G276" s="262" t="n"/>
      <c r="H276" s="262" t="n"/>
      <c r="I276" s="263" t="n"/>
      <c r="J276" s="345">
        <f>L276+O276</f>
        <v/>
      </c>
      <c r="K276" s="263" t="n"/>
      <c r="L276" s="349" t="n"/>
      <c r="M276" s="272" t="n"/>
      <c r="N276" s="275" t="n"/>
      <c r="O276" s="349" t="n"/>
      <c r="P276" s="275" t="n"/>
      <c r="Q276" s="349" t="n"/>
      <c r="R276" s="272" t="n"/>
      <c r="S276" s="272" t="n"/>
      <c r="T276" s="272" t="n"/>
      <c r="U276" s="275" t="n"/>
    </row>
    <row r="277" hidden="1" ht="15" customHeight="1">
      <c r="B277" s="104" t="inlineStr">
        <is>
          <t>Modification #43</t>
        </is>
      </c>
      <c r="C277" s="262" t="n"/>
      <c r="D277" s="262" t="n"/>
      <c r="E277" s="263" t="n"/>
      <c r="F277" s="345">
        <f>J277+Q277</f>
        <v/>
      </c>
      <c r="G277" s="262" t="n"/>
      <c r="H277" s="262" t="n"/>
      <c r="I277" s="263" t="n"/>
      <c r="J277" s="345">
        <f>L277+O277</f>
        <v/>
      </c>
      <c r="K277" s="263" t="n"/>
      <c r="L277" s="347" t="n"/>
      <c r="M277" s="272" t="n"/>
      <c r="N277" s="275" t="n"/>
      <c r="O277" s="347" t="n"/>
      <c r="P277" s="275" t="n"/>
      <c r="Q277" s="347" t="n"/>
      <c r="R277" s="272" t="n"/>
      <c r="S277" s="272" t="n"/>
      <c r="T277" s="272" t="n"/>
      <c r="U277" s="275" t="n"/>
    </row>
    <row r="278" hidden="1" ht="15" customHeight="1">
      <c r="B278" s="104" t="inlineStr">
        <is>
          <t>Modification #44</t>
        </is>
      </c>
      <c r="C278" s="262" t="n"/>
      <c r="D278" s="262" t="n"/>
      <c r="E278" s="263" t="n"/>
      <c r="F278" s="345">
        <f>J278+Q278</f>
        <v/>
      </c>
      <c r="G278" s="262" t="n"/>
      <c r="H278" s="262" t="n"/>
      <c r="I278" s="263" t="n"/>
      <c r="J278" s="345">
        <f>L278+O278</f>
        <v/>
      </c>
      <c r="K278" s="263" t="n"/>
      <c r="L278" s="347" t="n"/>
      <c r="M278" s="272" t="n"/>
      <c r="N278" s="275" t="n"/>
      <c r="O278" s="347" t="n"/>
      <c r="P278" s="275" t="n"/>
      <c r="Q278" s="347" t="n"/>
      <c r="R278" s="272" t="n"/>
      <c r="S278" s="272" t="n"/>
      <c r="T278" s="272" t="n"/>
      <c r="U278" s="275" t="n"/>
    </row>
    <row r="279" hidden="1" ht="15" customHeight="1">
      <c r="B279" s="104" t="inlineStr">
        <is>
          <t>Modification #45</t>
        </is>
      </c>
      <c r="C279" s="262" t="n"/>
      <c r="D279" s="262" t="n"/>
      <c r="E279" s="263" t="n"/>
      <c r="F279" s="345">
        <f>J279+Q279</f>
        <v/>
      </c>
      <c r="G279" s="262" t="n"/>
      <c r="H279" s="262" t="n"/>
      <c r="I279" s="263" t="n"/>
      <c r="J279" s="345">
        <f>L279+O279</f>
        <v/>
      </c>
      <c r="K279" s="263" t="n"/>
      <c r="L279" s="347" t="n"/>
      <c r="M279" s="272" t="n"/>
      <c r="N279" s="275" t="n"/>
      <c r="O279" s="347" t="n"/>
      <c r="P279" s="275" t="n"/>
      <c r="Q279" s="347" t="n"/>
      <c r="R279" s="272" t="n"/>
      <c r="S279" s="272" t="n"/>
      <c r="T279" s="272" t="n"/>
      <c r="U279" s="275" t="n"/>
    </row>
    <row r="280" hidden="1" ht="15" customHeight="1">
      <c r="B280" s="104" t="inlineStr">
        <is>
          <t>Modification #46</t>
        </is>
      </c>
      <c r="C280" s="262" t="n"/>
      <c r="D280" s="262" t="n"/>
      <c r="E280" s="263" t="n"/>
      <c r="F280" s="345">
        <f>J280+Q280</f>
        <v/>
      </c>
      <c r="G280" s="262" t="n"/>
      <c r="H280" s="262" t="n"/>
      <c r="I280" s="263" t="n"/>
      <c r="J280" s="345">
        <f>L280+O280</f>
        <v/>
      </c>
      <c r="K280" s="263" t="n"/>
      <c r="L280" s="347" t="n"/>
      <c r="M280" s="272" t="n"/>
      <c r="N280" s="275" t="n"/>
      <c r="O280" s="347" t="n"/>
      <c r="P280" s="275" t="n"/>
      <c r="Q280" s="347" t="n"/>
      <c r="R280" s="272" t="n"/>
      <c r="S280" s="272" t="n"/>
      <c r="T280" s="272" t="n"/>
      <c r="U280" s="275" t="n"/>
    </row>
    <row r="281" hidden="1" ht="15" customHeight="1">
      <c r="B281" s="104" t="inlineStr">
        <is>
          <t>Modification #47</t>
        </is>
      </c>
      <c r="C281" s="262" t="n"/>
      <c r="D281" s="262" t="n"/>
      <c r="E281" s="263" t="n"/>
      <c r="F281" s="345">
        <f>J281+Q281</f>
        <v/>
      </c>
      <c r="G281" s="262" t="n"/>
      <c r="H281" s="262" t="n"/>
      <c r="I281" s="263" t="n"/>
      <c r="J281" s="345">
        <f>L281+O281</f>
        <v/>
      </c>
      <c r="K281" s="263" t="n"/>
      <c r="L281" s="347" t="n"/>
      <c r="M281" s="272" t="n"/>
      <c r="N281" s="275" t="n"/>
      <c r="O281" s="347" t="n"/>
      <c r="P281" s="275" t="n"/>
      <c r="Q281" s="347" t="n"/>
      <c r="R281" s="272" t="n"/>
      <c r="S281" s="272" t="n"/>
      <c r="T281" s="272" t="n"/>
      <c r="U281" s="275" t="n"/>
    </row>
    <row r="282" hidden="1" ht="15" customHeight="1">
      <c r="B282" s="104" t="inlineStr">
        <is>
          <t>Modification #48</t>
        </is>
      </c>
      <c r="C282" s="262" t="n"/>
      <c r="D282" s="262" t="n"/>
      <c r="E282" s="263" t="n"/>
      <c r="F282" s="345">
        <f>J282+Q282</f>
        <v/>
      </c>
      <c r="G282" s="262" t="n"/>
      <c r="H282" s="262" t="n"/>
      <c r="I282" s="263" t="n"/>
      <c r="J282" s="345">
        <f>L282+O282</f>
        <v/>
      </c>
      <c r="K282" s="263" t="n"/>
      <c r="L282" s="347" t="n"/>
      <c r="M282" s="272" t="n"/>
      <c r="N282" s="275" t="n"/>
      <c r="O282" s="347" t="n"/>
      <c r="P282" s="275" t="n"/>
      <c r="Q282" s="347" t="n"/>
      <c r="R282" s="272" t="n"/>
      <c r="S282" s="272" t="n"/>
      <c r="T282" s="272" t="n"/>
      <c r="U282" s="275" t="n"/>
    </row>
    <row r="283" hidden="1" ht="15" customHeight="1">
      <c r="B283" s="104" t="inlineStr">
        <is>
          <t>Modification #49</t>
        </is>
      </c>
      <c r="C283" s="262" t="n"/>
      <c r="D283" s="262" t="n"/>
      <c r="E283" s="263" t="n"/>
      <c r="F283" s="345">
        <f>J283+Q283</f>
        <v/>
      </c>
      <c r="G283" s="262" t="n"/>
      <c r="H283" s="262" t="n"/>
      <c r="I283" s="263" t="n"/>
      <c r="J283" s="345">
        <f>L283+O283</f>
        <v/>
      </c>
      <c r="K283" s="263" t="n"/>
      <c r="L283" s="347" t="n"/>
      <c r="M283" s="272" t="n"/>
      <c r="N283" s="275" t="n"/>
      <c r="O283" s="347" t="n"/>
      <c r="P283" s="275" t="n"/>
      <c r="Q283" s="347" t="n"/>
      <c r="R283" s="272" t="n"/>
      <c r="S283" s="272" t="n"/>
      <c r="T283" s="272" t="n"/>
      <c r="U283" s="275" t="n"/>
    </row>
    <row r="284" hidden="1" ht="15" customHeight="1">
      <c r="B284" s="104" t="inlineStr">
        <is>
          <t>Modification #50</t>
        </is>
      </c>
      <c r="C284" s="262" t="n"/>
      <c r="D284" s="262" t="n"/>
      <c r="E284" s="263" t="n"/>
      <c r="F284" s="345">
        <f>J284+Q284</f>
        <v/>
      </c>
      <c r="G284" s="262" t="n"/>
      <c r="H284" s="262" t="n"/>
      <c r="I284" s="263" t="n"/>
      <c r="J284" s="345">
        <f>L284+O284</f>
        <v/>
      </c>
      <c r="K284" s="263" t="n"/>
      <c r="L284" s="347" t="n"/>
      <c r="M284" s="272" t="n"/>
      <c r="N284" s="275" t="n"/>
      <c r="O284" s="347" t="n"/>
      <c r="P284" s="275" t="n"/>
      <c r="Q284" s="347" t="n"/>
      <c r="R284" s="272" t="n"/>
      <c r="S284" s="272" t="n"/>
      <c r="T284" s="272" t="n"/>
      <c r="U284" s="275" t="n"/>
    </row>
    <row r="285" hidden="1" ht="15" customHeight="1">
      <c r="B285" s="104" t="inlineStr">
        <is>
          <t>Modification #51</t>
        </is>
      </c>
      <c r="C285" s="262" t="n"/>
      <c r="D285" s="262" t="n"/>
      <c r="E285" s="263" t="n"/>
      <c r="F285" s="345">
        <f>J285+Q285</f>
        <v/>
      </c>
      <c r="G285" s="262" t="n"/>
      <c r="H285" s="262" t="n"/>
      <c r="I285" s="263" t="n"/>
      <c r="J285" s="345">
        <f>L285+O285</f>
        <v/>
      </c>
      <c r="K285" s="263" t="n"/>
      <c r="L285" s="347" t="n"/>
      <c r="M285" s="272" t="n"/>
      <c r="N285" s="275" t="n"/>
      <c r="O285" s="347" t="n"/>
      <c r="P285" s="275" t="n"/>
      <c r="Q285" s="347" t="n"/>
      <c r="R285" s="272" t="n"/>
      <c r="S285" s="272" t="n"/>
      <c r="T285" s="272" t="n"/>
      <c r="U285" s="275" t="n"/>
    </row>
    <row r="286" hidden="1" ht="15" customHeight="1">
      <c r="B286" s="104" t="inlineStr">
        <is>
          <t>Modification #52</t>
        </is>
      </c>
      <c r="C286" s="262" t="n"/>
      <c r="D286" s="262" t="n"/>
      <c r="E286" s="263" t="n"/>
      <c r="F286" s="345">
        <f>J286+Q286</f>
        <v/>
      </c>
      <c r="G286" s="262" t="n"/>
      <c r="H286" s="262" t="n"/>
      <c r="I286" s="263" t="n"/>
      <c r="J286" s="345">
        <f>L286+O286</f>
        <v/>
      </c>
      <c r="K286" s="263" t="n"/>
      <c r="L286" s="347" t="n"/>
      <c r="M286" s="272" t="n"/>
      <c r="N286" s="275" t="n"/>
      <c r="O286" s="347" t="n"/>
      <c r="P286" s="275" t="n"/>
      <c r="Q286" s="347" t="n"/>
      <c r="R286" s="272" t="n"/>
      <c r="S286" s="272" t="n"/>
      <c r="T286" s="272" t="n"/>
      <c r="U286" s="275" t="n"/>
    </row>
    <row r="287" hidden="1" ht="15" customHeight="1">
      <c r="B287" s="104" t="inlineStr">
        <is>
          <t>Modification #53</t>
        </is>
      </c>
      <c r="C287" s="262" t="n"/>
      <c r="D287" s="262" t="n"/>
      <c r="E287" s="263" t="n"/>
      <c r="F287" s="345">
        <f>J287+Q287</f>
        <v/>
      </c>
      <c r="G287" s="262" t="n"/>
      <c r="H287" s="262" t="n"/>
      <c r="I287" s="263" t="n"/>
      <c r="J287" s="345">
        <f>L287+O287</f>
        <v/>
      </c>
      <c r="K287" s="263" t="n"/>
      <c r="L287" s="347" t="n"/>
      <c r="M287" s="272" t="n"/>
      <c r="N287" s="275" t="n"/>
      <c r="O287" s="347" t="n"/>
      <c r="P287" s="275" t="n"/>
      <c r="Q287" s="347" t="n"/>
      <c r="R287" s="272" t="n"/>
      <c r="S287" s="272" t="n"/>
      <c r="T287" s="272" t="n"/>
      <c r="U287" s="275" t="n"/>
    </row>
    <row r="288" hidden="1" ht="15" customHeight="1">
      <c r="B288" s="104" t="inlineStr">
        <is>
          <t>Modification #54</t>
        </is>
      </c>
      <c r="C288" s="262" t="n"/>
      <c r="D288" s="262" t="n"/>
      <c r="E288" s="263" t="n"/>
      <c r="F288" s="345">
        <f>J288+Q288</f>
        <v/>
      </c>
      <c r="G288" s="262" t="n"/>
      <c r="H288" s="262" t="n"/>
      <c r="I288" s="263" t="n"/>
      <c r="J288" s="345">
        <f>L288+O288</f>
        <v/>
      </c>
      <c r="K288" s="263" t="n"/>
      <c r="L288" s="347" t="n"/>
      <c r="M288" s="272" t="n"/>
      <c r="N288" s="275" t="n"/>
      <c r="O288" s="347" t="n"/>
      <c r="P288" s="275" t="n"/>
      <c r="Q288" s="347" t="n"/>
      <c r="R288" s="272" t="n"/>
      <c r="S288" s="272" t="n"/>
      <c r="T288" s="272" t="n"/>
      <c r="U288" s="275" t="n"/>
    </row>
    <row r="289" hidden="1" ht="15" customHeight="1">
      <c r="B289" s="104" t="inlineStr">
        <is>
          <t>Modification #55</t>
        </is>
      </c>
      <c r="C289" s="262" t="n"/>
      <c r="D289" s="262" t="n"/>
      <c r="E289" s="263" t="n"/>
      <c r="F289" s="345">
        <f>J289+Q289</f>
        <v/>
      </c>
      <c r="G289" s="262" t="n"/>
      <c r="H289" s="262" t="n"/>
      <c r="I289" s="263" t="n"/>
      <c r="J289" s="345">
        <f>L289+O289</f>
        <v/>
      </c>
      <c r="K289" s="263" t="n"/>
      <c r="L289" s="347" t="n"/>
      <c r="M289" s="272" t="n"/>
      <c r="N289" s="275" t="n"/>
      <c r="O289" s="347" t="n"/>
      <c r="P289" s="275" t="n"/>
      <c r="Q289" s="347" t="n"/>
      <c r="R289" s="272" t="n"/>
      <c r="S289" s="272" t="n"/>
      <c r="T289" s="272" t="n"/>
      <c r="U289" s="275" t="n"/>
    </row>
    <row r="290" hidden="1" ht="15" customHeight="1">
      <c r="B290" s="104" t="inlineStr">
        <is>
          <t>Modification #56</t>
        </is>
      </c>
      <c r="C290" s="262" t="n"/>
      <c r="D290" s="262" t="n"/>
      <c r="E290" s="263" t="n"/>
      <c r="F290" s="345">
        <f>J290+Q290</f>
        <v/>
      </c>
      <c r="G290" s="262" t="n"/>
      <c r="H290" s="262" t="n"/>
      <c r="I290" s="263" t="n"/>
      <c r="J290" s="345">
        <f>L290+O290</f>
        <v/>
      </c>
      <c r="K290" s="263" t="n"/>
      <c r="L290" s="347" t="n"/>
      <c r="M290" s="272" t="n"/>
      <c r="N290" s="275" t="n"/>
      <c r="O290" s="347" t="n"/>
      <c r="P290" s="275" t="n"/>
      <c r="Q290" s="347" t="n"/>
      <c r="R290" s="272" t="n"/>
      <c r="S290" s="272" t="n"/>
      <c r="T290" s="272" t="n"/>
      <c r="U290" s="275" t="n"/>
    </row>
    <row r="291" hidden="1" ht="15" customHeight="1">
      <c r="B291" s="104" t="inlineStr">
        <is>
          <t>Modification #57</t>
        </is>
      </c>
      <c r="C291" s="262" t="n"/>
      <c r="D291" s="262" t="n"/>
      <c r="E291" s="263" t="n"/>
      <c r="F291" s="345">
        <f>J291+Q291</f>
        <v/>
      </c>
      <c r="G291" s="262" t="n"/>
      <c r="H291" s="262" t="n"/>
      <c r="I291" s="263" t="n"/>
      <c r="J291" s="345">
        <f>L291+O291</f>
        <v/>
      </c>
      <c r="K291" s="263" t="n"/>
      <c r="L291" s="347" t="n"/>
      <c r="M291" s="272" t="n"/>
      <c r="N291" s="275" t="n"/>
      <c r="O291" s="347" t="n"/>
      <c r="P291" s="275" t="n"/>
      <c r="Q291" s="347" t="n"/>
      <c r="R291" s="272" t="n"/>
      <c r="S291" s="272" t="n"/>
      <c r="T291" s="272" t="n"/>
      <c r="U291" s="275" t="n"/>
    </row>
    <row r="292" hidden="1" ht="15" customHeight="1">
      <c r="B292" s="104" t="inlineStr">
        <is>
          <t>Modification #58</t>
        </is>
      </c>
      <c r="C292" s="262" t="n"/>
      <c r="D292" s="262" t="n"/>
      <c r="E292" s="263" t="n"/>
      <c r="F292" s="345">
        <f>J292+Q292</f>
        <v/>
      </c>
      <c r="G292" s="262" t="n"/>
      <c r="H292" s="262" t="n"/>
      <c r="I292" s="263" t="n"/>
      <c r="J292" s="345">
        <f>L292+O292</f>
        <v/>
      </c>
      <c r="K292" s="263" t="n"/>
      <c r="L292" s="348" t="n"/>
      <c r="M292" s="272" t="n"/>
      <c r="N292" s="275" t="n"/>
      <c r="O292" s="348" t="n"/>
      <c r="P292" s="275" t="n"/>
      <c r="Q292" s="348" t="n"/>
      <c r="R292" s="272" t="n"/>
      <c r="S292" s="272" t="n"/>
      <c r="T292" s="272" t="n"/>
      <c r="U292" s="275" t="n"/>
    </row>
    <row r="293" hidden="1" ht="15" customHeight="1">
      <c r="B293" s="104" t="inlineStr">
        <is>
          <t>Modification #59</t>
        </is>
      </c>
      <c r="C293" s="262" t="n"/>
      <c r="D293" s="262" t="n"/>
      <c r="E293" s="263" t="n"/>
      <c r="F293" s="345">
        <f>J293+Q293</f>
        <v/>
      </c>
      <c r="G293" s="262" t="n"/>
      <c r="H293" s="262" t="n"/>
      <c r="I293" s="263" t="n"/>
      <c r="J293" s="345">
        <f>L293+O293</f>
        <v/>
      </c>
      <c r="K293" s="263" t="n"/>
      <c r="L293" s="348" t="n"/>
      <c r="M293" s="272" t="n"/>
      <c r="N293" s="275" t="n"/>
      <c r="O293" s="348" t="n"/>
      <c r="P293" s="275" t="n"/>
      <c r="Q293" s="348" t="n"/>
      <c r="R293" s="272" t="n"/>
      <c r="S293" s="272" t="n"/>
      <c r="T293" s="272" t="n"/>
      <c r="U293" s="275" t="n"/>
    </row>
    <row r="294" hidden="1" ht="15" customHeight="1">
      <c r="B294" s="104" t="inlineStr">
        <is>
          <t>Modification #60</t>
        </is>
      </c>
      <c r="C294" s="262" t="n"/>
      <c r="D294" s="262" t="n"/>
      <c r="E294" s="263" t="n"/>
      <c r="F294" s="345">
        <f>J294+Q294</f>
        <v/>
      </c>
      <c r="G294" s="262" t="n"/>
      <c r="H294" s="262" t="n"/>
      <c r="I294" s="263" t="n"/>
      <c r="J294" s="345">
        <f>L294+O294</f>
        <v/>
      </c>
      <c r="K294" s="263" t="n"/>
      <c r="L294" s="348" t="n"/>
      <c r="M294" s="272" t="n"/>
      <c r="N294" s="275" t="n"/>
      <c r="O294" s="348" t="n"/>
      <c r="P294" s="275" t="n"/>
      <c r="Q294" s="348" t="n"/>
      <c r="R294" s="272" t="n"/>
      <c r="S294" s="272" t="n"/>
      <c r="T294" s="272" t="n"/>
      <c r="U294" s="275" t="n"/>
    </row>
    <row r="295" hidden="1" ht="15" customHeight="1">
      <c r="B295" s="104" t="inlineStr">
        <is>
          <t>Modification #61</t>
        </is>
      </c>
      <c r="C295" s="262" t="n"/>
      <c r="D295" s="262" t="n"/>
      <c r="E295" s="263" t="n"/>
      <c r="F295" s="345">
        <f>J295+Q295</f>
        <v/>
      </c>
      <c r="G295" s="262" t="n"/>
      <c r="H295" s="262" t="n"/>
      <c r="I295" s="263" t="n"/>
      <c r="J295" s="345">
        <f>L295+O295</f>
        <v/>
      </c>
      <c r="K295" s="263" t="n"/>
      <c r="L295" s="348" t="n"/>
      <c r="M295" s="272" t="n"/>
      <c r="N295" s="275" t="n"/>
      <c r="O295" s="348" t="n"/>
      <c r="P295" s="275" t="n"/>
      <c r="Q295" s="348" t="n"/>
      <c r="R295" s="272" t="n"/>
      <c r="S295" s="272" t="n"/>
      <c r="T295" s="272" t="n"/>
      <c r="U295" s="275" t="n"/>
    </row>
    <row r="296" hidden="1" ht="15" customHeight="1">
      <c r="B296" s="104" t="inlineStr">
        <is>
          <t>Modification #62</t>
        </is>
      </c>
      <c r="C296" s="262" t="n"/>
      <c r="D296" s="262" t="n"/>
      <c r="E296" s="263" t="n"/>
      <c r="F296" s="345">
        <f>J296+Q296</f>
        <v/>
      </c>
      <c r="G296" s="262" t="n"/>
      <c r="H296" s="262" t="n"/>
      <c r="I296" s="263" t="n"/>
      <c r="J296" s="345">
        <f>L296+O296</f>
        <v/>
      </c>
      <c r="K296" s="263" t="n"/>
      <c r="L296" s="349" t="n"/>
      <c r="M296" s="272" t="n"/>
      <c r="N296" s="275" t="n"/>
      <c r="O296" s="349" t="n"/>
      <c r="P296" s="275" t="n"/>
      <c r="Q296" s="349" t="n"/>
      <c r="R296" s="272" t="n"/>
      <c r="S296" s="272" t="n"/>
      <c r="T296" s="272" t="n"/>
      <c r="U296" s="275" t="n"/>
    </row>
    <row r="297" hidden="1" ht="15" customHeight="1">
      <c r="B297" s="104" t="inlineStr">
        <is>
          <t>Modification #63</t>
        </is>
      </c>
      <c r="C297" s="262" t="n"/>
      <c r="D297" s="262" t="n"/>
      <c r="E297" s="263" t="n"/>
      <c r="F297" s="345">
        <f>J297+Q297</f>
        <v/>
      </c>
      <c r="G297" s="262" t="n"/>
      <c r="H297" s="262" t="n"/>
      <c r="I297" s="263" t="n"/>
      <c r="J297" s="345">
        <f>L297+O297</f>
        <v/>
      </c>
      <c r="K297" s="263" t="n"/>
      <c r="L297" s="347" t="n"/>
      <c r="M297" s="272" t="n"/>
      <c r="N297" s="275" t="n"/>
      <c r="O297" s="347" t="n"/>
      <c r="P297" s="275" t="n"/>
      <c r="Q297" s="347" t="n"/>
      <c r="R297" s="272" t="n"/>
      <c r="S297" s="272" t="n"/>
      <c r="T297" s="272" t="n"/>
      <c r="U297" s="275" t="n"/>
    </row>
    <row r="298" hidden="1" ht="15" customHeight="1">
      <c r="B298" s="104" t="inlineStr">
        <is>
          <t>Modification #64</t>
        </is>
      </c>
      <c r="C298" s="262" t="n"/>
      <c r="D298" s="262" t="n"/>
      <c r="E298" s="263" t="n"/>
      <c r="F298" s="345">
        <f>J298+Q298</f>
        <v/>
      </c>
      <c r="G298" s="262" t="n"/>
      <c r="H298" s="262" t="n"/>
      <c r="I298" s="263" t="n"/>
      <c r="J298" s="345">
        <f>L298+O298</f>
        <v/>
      </c>
      <c r="K298" s="263" t="n"/>
      <c r="L298" s="347" t="n"/>
      <c r="M298" s="272" t="n"/>
      <c r="N298" s="275" t="n"/>
      <c r="O298" s="347" t="n"/>
      <c r="P298" s="275" t="n"/>
      <c r="Q298" s="347" t="n"/>
      <c r="R298" s="272" t="n"/>
      <c r="S298" s="272" t="n"/>
      <c r="T298" s="272" t="n"/>
      <c r="U298" s="275" t="n"/>
    </row>
    <row r="299" hidden="1" ht="15" customHeight="1">
      <c r="B299" s="104" t="inlineStr">
        <is>
          <t>Modification #65</t>
        </is>
      </c>
      <c r="C299" s="262" t="n"/>
      <c r="D299" s="262" t="n"/>
      <c r="E299" s="263" t="n"/>
      <c r="F299" s="345">
        <f>J299+Q299</f>
        <v/>
      </c>
      <c r="G299" s="262" t="n"/>
      <c r="H299" s="262" t="n"/>
      <c r="I299" s="263" t="n"/>
      <c r="J299" s="345">
        <f>L299+O299</f>
        <v/>
      </c>
      <c r="K299" s="263" t="n"/>
      <c r="L299" s="347" t="n"/>
      <c r="M299" s="272" t="n"/>
      <c r="N299" s="275" t="n"/>
      <c r="O299" s="347" t="n"/>
      <c r="P299" s="275" t="n"/>
      <c r="Q299" s="347" t="n"/>
      <c r="R299" s="272" t="n"/>
      <c r="S299" s="272" t="n"/>
      <c r="T299" s="272" t="n"/>
      <c r="U299" s="275" t="n"/>
    </row>
    <row r="300" hidden="1" ht="15" customHeight="1">
      <c r="B300" s="104" t="inlineStr">
        <is>
          <t>Modification #66</t>
        </is>
      </c>
      <c r="C300" s="262" t="n"/>
      <c r="D300" s="262" t="n"/>
      <c r="E300" s="263" t="n"/>
      <c r="F300" s="345">
        <f>J300+Q300</f>
        <v/>
      </c>
      <c r="G300" s="262" t="n"/>
      <c r="H300" s="262" t="n"/>
      <c r="I300" s="263" t="n"/>
      <c r="J300" s="345">
        <f>L300+O300</f>
        <v/>
      </c>
      <c r="K300" s="263" t="n"/>
      <c r="L300" s="347" t="n"/>
      <c r="M300" s="272" t="n"/>
      <c r="N300" s="275" t="n"/>
      <c r="O300" s="347" t="n"/>
      <c r="P300" s="275" t="n"/>
      <c r="Q300" s="347" t="n"/>
      <c r="R300" s="272" t="n"/>
      <c r="S300" s="272" t="n"/>
      <c r="T300" s="272" t="n"/>
      <c r="U300" s="275" t="n"/>
    </row>
    <row r="301" hidden="1" ht="15" customHeight="1">
      <c r="B301" s="104" t="inlineStr">
        <is>
          <t>Modification #67</t>
        </is>
      </c>
      <c r="C301" s="262" t="n"/>
      <c r="D301" s="262" t="n"/>
      <c r="E301" s="263" t="n"/>
      <c r="F301" s="345">
        <f>J301+Q301</f>
        <v/>
      </c>
      <c r="G301" s="262" t="n"/>
      <c r="H301" s="262" t="n"/>
      <c r="I301" s="263" t="n"/>
      <c r="J301" s="345">
        <f>L301+O301</f>
        <v/>
      </c>
      <c r="K301" s="263" t="n"/>
      <c r="L301" s="349" t="n"/>
      <c r="M301" s="272" t="n"/>
      <c r="N301" s="275" t="n"/>
      <c r="O301" s="349" t="n"/>
      <c r="P301" s="275" t="n"/>
      <c r="Q301" s="349" t="n"/>
      <c r="R301" s="272" t="n"/>
      <c r="S301" s="272" t="n"/>
      <c r="T301" s="272" t="n"/>
      <c r="U301" s="275" t="n"/>
    </row>
    <row r="302" hidden="1" ht="15" customHeight="1">
      <c r="B302" s="104" t="inlineStr">
        <is>
          <t>Modification #68</t>
        </is>
      </c>
      <c r="C302" s="262" t="n"/>
      <c r="D302" s="262" t="n"/>
      <c r="E302" s="263" t="n"/>
      <c r="F302" s="345">
        <f>J302+Q302</f>
        <v/>
      </c>
      <c r="G302" s="262" t="n"/>
      <c r="H302" s="262" t="n"/>
      <c r="I302" s="263" t="n"/>
      <c r="J302" s="345">
        <f>L302+O302</f>
        <v/>
      </c>
      <c r="K302" s="263" t="n"/>
      <c r="L302" s="347" t="n"/>
      <c r="M302" s="272" t="n"/>
      <c r="N302" s="275" t="n"/>
      <c r="O302" s="347" t="n"/>
      <c r="P302" s="275" t="n"/>
      <c r="Q302" s="347" t="n"/>
      <c r="R302" s="272" t="n"/>
      <c r="S302" s="272" t="n"/>
      <c r="T302" s="272" t="n"/>
      <c r="U302" s="275" t="n"/>
    </row>
    <row r="303" hidden="1" ht="15" customHeight="1">
      <c r="B303" s="104" t="inlineStr">
        <is>
          <t>Modification #69</t>
        </is>
      </c>
      <c r="C303" s="262" t="n"/>
      <c r="D303" s="262" t="n"/>
      <c r="E303" s="263" t="n"/>
      <c r="F303" s="345">
        <f>J303+Q303</f>
        <v/>
      </c>
      <c r="G303" s="262" t="n"/>
      <c r="H303" s="262" t="n"/>
      <c r="I303" s="263" t="n"/>
      <c r="J303" s="345">
        <f>L303+O303</f>
        <v/>
      </c>
      <c r="K303" s="263" t="n"/>
      <c r="L303" s="347" t="n"/>
      <c r="M303" s="272" t="n"/>
      <c r="N303" s="275" t="n"/>
      <c r="O303" s="347" t="n"/>
      <c r="P303" s="275" t="n"/>
      <c r="Q303" s="347" t="n"/>
      <c r="R303" s="272" t="n"/>
      <c r="S303" s="272" t="n"/>
      <c r="T303" s="272" t="n"/>
      <c r="U303" s="275" t="n"/>
    </row>
    <row r="304" hidden="1" ht="15" customHeight="1">
      <c r="B304" s="104" t="inlineStr">
        <is>
          <t>Modification #70</t>
        </is>
      </c>
      <c r="C304" s="262" t="n"/>
      <c r="D304" s="262" t="n"/>
      <c r="E304" s="263" t="n"/>
      <c r="F304" s="345">
        <f>J304+Q304</f>
        <v/>
      </c>
      <c r="G304" s="262" t="n"/>
      <c r="H304" s="262" t="n"/>
      <c r="I304" s="263" t="n"/>
      <c r="J304" s="345">
        <f>L304+O304</f>
        <v/>
      </c>
      <c r="K304" s="263" t="n"/>
      <c r="L304" s="347" t="n"/>
      <c r="M304" s="272" t="n"/>
      <c r="N304" s="275" t="n"/>
      <c r="O304" s="347" t="n"/>
      <c r="P304" s="275" t="n"/>
      <c r="Q304" s="347" t="n"/>
      <c r="R304" s="272" t="n"/>
      <c r="S304" s="272" t="n"/>
      <c r="T304" s="272" t="n"/>
      <c r="U304" s="275" t="n"/>
    </row>
    <row r="305" hidden="1" ht="15" customHeight="1">
      <c r="B305" s="104" t="inlineStr">
        <is>
          <t>Modification #71</t>
        </is>
      </c>
      <c r="C305" s="262" t="n"/>
      <c r="D305" s="262" t="n"/>
      <c r="E305" s="263" t="n"/>
      <c r="F305" s="345">
        <f>J305+Q305</f>
        <v/>
      </c>
      <c r="G305" s="262" t="n"/>
      <c r="H305" s="262" t="n"/>
      <c r="I305" s="263" t="n"/>
      <c r="J305" s="345">
        <f>L305+O305</f>
        <v/>
      </c>
      <c r="K305" s="263" t="n"/>
      <c r="L305" s="347" t="n"/>
      <c r="M305" s="272" t="n"/>
      <c r="N305" s="275" t="n"/>
      <c r="O305" s="347" t="n"/>
      <c r="P305" s="275" t="n"/>
      <c r="Q305" s="347" t="n"/>
      <c r="R305" s="272" t="n"/>
      <c r="S305" s="272" t="n"/>
      <c r="T305" s="272" t="n"/>
      <c r="U305" s="275" t="n"/>
    </row>
    <row r="306" hidden="1" ht="15" customHeight="1">
      <c r="B306" s="104" t="inlineStr">
        <is>
          <t>Modification #72</t>
        </is>
      </c>
      <c r="C306" s="262" t="n"/>
      <c r="D306" s="262" t="n"/>
      <c r="E306" s="263" t="n"/>
      <c r="F306" s="345">
        <f>J306+Q306</f>
        <v/>
      </c>
      <c r="G306" s="262" t="n"/>
      <c r="H306" s="262" t="n"/>
      <c r="I306" s="263" t="n"/>
      <c r="J306" s="345">
        <f>L306+O306</f>
        <v/>
      </c>
      <c r="K306" s="263" t="n"/>
      <c r="L306" s="347" t="n"/>
      <c r="M306" s="272" t="n"/>
      <c r="N306" s="275" t="n"/>
      <c r="O306" s="347" t="n"/>
      <c r="P306" s="275" t="n"/>
      <c r="Q306" s="347" t="n"/>
      <c r="R306" s="272" t="n"/>
      <c r="S306" s="272" t="n"/>
      <c r="T306" s="272" t="n"/>
      <c r="U306" s="275" t="n"/>
    </row>
    <row r="307" hidden="1" ht="15" customHeight="1">
      <c r="B307" s="104" t="inlineStr">
        <is>
          <t>Modification #73</t>
        </is>
      </c>
      <c r="C307" s="262" t="n"/>
      <c r="D307" s="262" t="n"/>
      <c r="E307" s="263" t="n"/>
      <c r="F307" s="345">
        <f>J307+Q307</f>
        <v/>
      </c>
      <c r="G307" s="262" t="n"/>
      <c r="H307" s="262" t="n"/>
      <c r="I307" s="263" t="n"/>
      <c r="J307" s="345">
        <f>L307+O307</f>
        <v/>
      </c>
      <c r="K307" s="263" t="n"/>
      <c r="L307" s="347" t="n"/>
      <c r="M307" s="272" t="n"/>
      <c r="N307" s="275" t="n"/>
      <c r="O307" s="347" t="n"/>
      <c r="P307" s="275" t="n"/>
      <c r="Q307" s="347" t="n"/>
      <c r="R307" s="272" t="n"/>
      <c r="S307" s="272" t="n"/>
      <c r="T307" s="272" t="n"/>
      <c r="U307" s="275" t="n"/>
    </row>
    <row r="308" hidden="1" ht="15" customHeight="1">
      <c r="B308" s="104" t="inlineStr">
        <is>
          <t>Modification #74</t>
        </is>
      </c>
      <c r="C308" s="262" t="n"/>
      <c r="D308" s="262" t="n"/>
      <c r="E308" s="263" t="n"/>
      <c r="F308" s="345">
        <f>J308+Q308</f>
        <v/>
      </c>
      <c r="G308" s="262" t="n"/>
      <c r="H308" s="262" t="n"/>
      <c r="I308" s="263" t="n"/>
      <c r="J308" s="345">
        <f>L308+O308</f>
        <v/>
      </c>
      <c r="K308" s="263" t="n"/>
      <c r="L308" s="347" t="n"/>
      <c r="M308" s="272" t="n"/>
      <c r="N308" s="275" t="n"/>
      <c r="O308" s="347" t="n"/>
      <c r="P308" s="275" t="n"/>
      <c r="Q308" s="347" t="n"/>
      <c r="R308" s="272" t="n"/>
      <c r="S308" s="272" t="n"/>
      <c r="T308" s="272" t="n"/>
      <c r="U308" s="275" t="n"/>
    </row>
    <row r="309" hidden="1" ht="15" customHeight="1">
      <c r="B309" s="104" t="inlineStr">
        <is>
          <t>Modification #75</t>
        </is>
      </c>
      <c r="C309" s="262" t="n"/>
      <c r="D309" s="262" t="n"/>
      <c r="E309" s="263" t="n"/>
      <c r="F309" s="345">
        <f>J309+Q309</f>
        <v/>
      </c>
      <c r="G309" s="262" t="n"/>
      <c r="H309" s="262" t="n"/>
      <c r="I309" s="263" t="n"/>
      <c r="J309" s="345">
        <f>L309+O309</f>
        <v/>
      </c>
      <c r="K309" s="263" t="n"/>
      <c r="L309" s="347" t="n"/>
      <c r="M309" s="272" t="n"/>
      <c r="N309" s="275" t="n"/>
      <c r="O309" s="347" t="n"/>
      <c r="P309" s="275" t="n"/>
      <c r="Q309" s="347" t="n"/>
      <c r="R309" s="272" t="n"/>
      <c r="S309" s="272" t="n"/>
      <c r="T309" s="272" t="n"/>
      <c r="U309" s="275" t="n"/>
    </row>
    <row r="310" hidden="1" ht="15" customHeight="1">
      <c r="B310" s="104" t="inlineStr">
        <is>
          <t>Modification #76</t>
        </is>
      </c>
      <c r="C310" s="262" t="n"/>
      <c r="D310" s="262" t="n"/>
      <c r="E310" s="263" t="n"/>
      <c r="F310" s="345">
        <f>J310+Q310</f>
        <v/>
      </c>
      <c r="G310" s="262" t="n"/>
      <c r="H310" s="262" t="n"/>
      <c r="I310" s="263" t="n"/>
      <c r="J310" s="345">
        <f>L310+O310</f>
        <v/>
      </c>
      <c r="K310" s="263" t="n"/>
      <c r="L310" s="347" t="n"/>
      <c r="M310" s="272" t="n"/>
      <c r="N310" s="275" t="n"/>
      <c r="O310" s="347" t="n"/>
      <c r="P310" s="275" t="n"/>
      <c r="Q310" s="347" t="n"/>
      <c r="R310" s="272" t="n"/>
      <c r="S310" s="272" t="n"/>
      <c r="T310" s="272" t="n"/>
      <c r="U310" s="275" t="n"/>
    </row>
    <row r="311" hidden="1" ht="15" customHeight="1">
      <c r="B311" s="104" t="inlineStr">
        <is>
          <t>Modification #77</t>
        </is>
      </c>
      <c r="C311" s="262" t="n"/>
      <c r="D311" s="262" t="n"/>
      <c r="E311" s="263" t="n"/>
      <c r="F311" s="345">
        <f>J311+Q311</f>
        <v/>
      </c>
      <c r="G311" s="262" t="n"/>
      <c r="H311" s="262" t="n"/>
      <c r="I311" s="263" t="n"/>
      <c r="J311" s="345">
        <f>L311+O311</f>
        <v/>
      </c>
      <c r="K311" s="263" t="n"/>
      <c r="L311" s="347" t="n"/>
      <c r="M311" s="272" t="n"/>
      <c r="N311" s="275" t="n"/>
      <c r="O311" s="347" t="n"/>
      <c r="P311" s="275" t="n"/>
      <c r="Q311" s="347" t="n"/>
      <c r="R311" s="272" t="n"/>
      <c r="S311" s="272" t="n"/>
      <c r="T311" s="272" t="n"/>
      <c r="U311" s="275" t="n"/>
    </row>
    <row r="312" hidden="1" ht="15" customHeight="1">
      <c r="B312" s="104" t="inlineStr">
        <is>
          <t>Modification #78</t>
        </is>
      </c>
      <c r="C312" s="262" t="n"/>
      <c r="D312" s="262" t="n"/>
      <c r="E312" s="263" t="n"/>
      <c r="F312" s="345">
        <f>J312+Q312</f>
        <v/>
      </c>
      <c r="G312" s="262" t="n"/>
      <c r="H312" s="262" t="n"/>
      <c r="I312" s="263" t="n"/>
      <c r="J312" s="345">
        <f>L312+O312</f>
        <v/>
      </c>
      <c r="K312" s="263" t="n"/>
      <c r="L312" s="347" t="n"/>
      <c r="M312" s="272" t="n"/>
      <c r="N312" s="275" t="n"/>
      <c r="O312" s="347" t="n"/>
      <c r="P312" s="275" t="n"/>
      <c r="Q312" s="347" t="n"/>
      <c r="R312" s="272" t="n"/>
      <c r="S312" s="272" t="n"/>
      <c r="T312" s="272" t="n"/>
      <c r="U312" s="275" t="n"/>
    </row>
    <row r="313" hidden="1" ht="15" customHeight="1">
      <c r="B313" s="104" t="inlineStr">
        <is>
          <t>Modification #79</t>
        </is>
      </c>
      <c r="C313" s="262" t="n"/>
      <c r="D313" s="262" t="n"/>
      <c r="E313" s="263" t="n"/>
      <c r="F313" s="345">
        <f>J313+Q313</f>
        <v/>
      </c>
      <c r="G313" s="262" t="n"/>
      <c r="H313" s="262" t="n"/>
      <c r="I313" s="263" t="n"/>
      <c r="J313" s="345">
        <f>L313+O313</f>
        <v/>
      </c>
      <c r="K313" s="263" t="n"/>
      <c r="L313" s="347" t="n"/>
      <c r="M313" s="272" t="n"/>
      <c r="N313" s="275" t="n"/>
      <c r="O313" s="347" t="n"/>
      <c r="P313" s="275" t="n"/>
      <c r="Q313" s="347" t="n"/>
      <c r="R313" s="272" t="n"/>
      <c r="S313" s="272" t="n"/>
      <c r="T313" s="272" t="n"/>
      <c r="U313" s="275" t="n"/>
    </row>
    <row r="314" hidden="1" ht="15" customHeight="1">
      <c r="B314" s="104" t="inlineStr">
        <is>
          <t>Modification #80</t>
        </is>
      </c>
      <c r="C314" s="262" t="n"/>
      <c r="D314" s="262" t="n"/>
      <c r="E314" s="263" t="n"/>
      <c r="F314" s="345">
        <f>J314+Q314</f>
        <v/>
      </c>
      <c r="G314" s="262" t="n"/>
      <c r="H314" s="262" t="n"/>
      <c r="I314" s="263" t="n"/>
      <c r="J314" s="345">
        <f>L314+O314</f>
        <v/>
      </c>
      <c r="K314" s="263" t="n"/>
      <c r="L314" s="347" t="n"/>
      <c r="M314" s="272" t="n"/>
      <c r="N314" s="275" t="n"/>
      <c r="O314" s="347" t="n"/>
      <c r="P314" s="275" t="n"/>
      <c r="Q314" s="347" t="n"/>
      <c r="R314" s="272" t="n"/>
      <c r="S314" s="272" t="n"/>
      <c r="T314" s="272" t="n"/>
      <c r="U314" s="275" t="n"/>
    </row>
    <row r="315" hidden="1" ht="15" customHeight="1">
      <c r="B315" s="104" t="inlineStr">
        <is>
          <t>Modification #81</t>
        </is>
      </c>
      <c r="C315" s="262" t="n"/>
      <c r="D315" s="262" t="n"/>
      <c r="E315" s="263" t="n"/>
      <c r="F315" s="345">
        <f>J315+Q315</f>
        <v/>
      </c>
      <c r="G315" s="262" t="n"/>
      <c r="H315" s="262" t="n"/>
      <c r="I315" s="263" t="n"/>
      <c r="J315" s="345">
        <f>L315+O315</f>
        <v/>
      </c>
      <c r="K315" s="263" t="n"/>
      <c r="L315" s="347" t="n"/>
      <c r="M315" s="272" t="n"/>
      <c r="N315" s="275" t="n"/>
      <c r="O315" s="347" t="n"/>
      <c r="P315" s="275" t="n"/>
      <c r="Q315" s="347" t="n"/>
      <c r="R315" s="272" t="n"/>
      <c r="S315" s="272" t="n"/>
      <c r="T315" s="272" t="n"/>
      <c r="U315" s="275" t="n"/>
    </row>
    <row r="316" hidden="1" ht="15" customHeight="1">
      <c r="B316" s="104" t="inlineStr">
        <is>
          <t>Modification #82</t>
        </is>
      </c>
      <c r="C316" s="262" t="n"/>
      <c r="D316" s="262" t="n"/>
      <c r="E316" s="263" t="n"/>
      <c r="F316" s="345">
        <f>J316+Q316</f>
        <v/>
      </c>
      <c r="G316" s="262" t="n"/>
      <c r="H316" s="262" t="n"/>
      <c r="I316" s="263" t="n"/>
      <c r="J316" s="345">
        <f>L316+O316</f>
        <v/>
      </c>
      <c r="K316" s="263" t="n"/>
      <c r="L316" s="347" t="n"/>
      <c r="M316" s="272" t="n"/>
      <c r="N316" s="275" t="n"/>
      <c r="O316" s="347" t="n"/>
      <c r="P316" s="275" t="n"/>
      <c r="Q316" s="347" t="n"/>
      <c r="R316" s="272" t="n"/>
      <c r="S316" s="272" t="n"/>
      <c r="T316" s="272" t="n"/>
      <c r="U316" s="275" t="n"/>
    </row>
    <row r="317" hidden="1" ht="15" customHeight="1">
      <c r="B317" s="104" t="inlineStr">
        <is>
          <t>Modification #83</t>
        </is>
      </c>
      <c r="C317" s="262" t="n"/>
      <c r="D317" s="262" t="n"/>
      <c r="E317" s="263" t="n"/>
      <c r="F317" s="345">
        <f>J317+Q317</f>
        <v/>
      </c>
      <c r="G317" s="262" t="n"/>
      <c r="H317" s="262" t="n"/>
      <c r="I317" s="263" t="n"/>
      <c r="J317" s="345">
        <f>L317+O317</f>
        <v/>
      </c>
      <c r="K317" s="263" t="n"/>
      <c r="L317" s="348" t="n"/>
      <c r="M317" s="272" t="n"/>
      <c r="N317" s="275" t="n"/>
      <c r="O317" s="348" t="n"/>
      <c r="P317" s="275" t="n"/>
      <c r="Q317" s="348" t="n"/>
      <c r="R317" s="272" t="n"/>
      <c r="S317" s="272" t="n"/>
      <c r="T317" s="272" t="n"/>
      <c r="U317" s="275" t="n"/>
    </row>
    <row r="318" hidden="1" ht="15" customHeight="1">
      <c r="B318" s="104" t="inlineStr">
        <is>
          <t>Modification #84</t>
        </is>
      </c>
      <c r="C318" s="262" t="n"/>
      <c r="D318" s="262" t="n"/>
      <c r="E318" s="263" t="n"/>
      <c r="F318" s="345">
        <f>J318+Q318</f>
        <v/>
      </c>
      <c r="G318" s="262" t="n"/>
      <c r="H318" s="262" t="n"/>
      <c r="I318" s="263" t="n"/>
      <c r="J318" s="345">
        <f>L318+O318</f>
        <v/>
      </c>
      <c r="K318" s="263" t="n"/>
      <c r="L318" s="348" t="n"/>
      <c r="M318" s="272" t="n"/>
      <c r="N318" s="275" t="n"/>
      <c r="O318" s="348" t="n"/>
      <c r="P318" s="275" t="n"/>
      <c r="Q318" s="348" t="n"/>
      <c r="R318" s="272" t="n"/>
      <c r="S318" s="272" t="n"/>
      <c r="T318" s="272" t="n"/>
      <c r="U318" s="275" t="n"/>
    </row>
    <row r="319" hidden="1" ht="15" customHeight="1">
      <c r="B319" s="104" t="inlineStr">
        <is>
          <t>Modification #85</t>
        </is>
      </c>
      <c r="C319" s="262" t="n"/>
      <c r="D319" s="262" t="n"/>
      <c r="E319" s="263" t="n"/>
      <c r="F319" s="345">
        <f>J319+Q319</f>
        <v/>
      </c>
      <c r="G319" s="262" t="n"/>
      <c r="H319" s="262" t="n"/>
      <c r="I319" s="263" t="n"/>
      <c r="J319" s="345">
        <f>L319+O319</f>
        <v/>
      </c>
      <c r="K319" s="263" t="n"/>
      <c r="L319" s="348" t="n"/>
      <c r="M319" s="272" t="n"/>
      <c r="N319" s="275" t="n"/>
      <c r="O319" s="348" t="n"/>
      <c r="P319" s="275" t="n"/>
      <c r="Q319" s="348" t="n"/>
      <c r="R319" s="272" t="n"/>
      <c r="S319" s="272" t="n"/>
      <c r="T319" s="272" t="n"/>
      <c r="U319" s="275" t="n"/>
    </row>
    <row r="320" hidden="1" ht="15" customHeight="1">
      <c r="B320" s="104" t="inlineStr">
        <is>
          <t>Modification #86</t>
        </is>
      </c>
      <c r="C320" s="262" t="n"/>
      <c r="D320" s="262" t="n"/>
      <c r="E320" s="263" t="n"/>
      <c r="F320" s="345">
        <f>J320+Q320</f>
        <v/>
      </c>
      <c r="G320" s="262" t="n"/>
      <c r="H320" s="262" t="n"/>
      <c r="I320" s="263" t="n"/>
      <c r="J320" s="345">
        <f>L320+O320</f>
        <v/>
      </c>
      <c r="K320" s="263" t="n"/>
      <c r="L320" s="348" t="n"/>
      <c r="M320" s="272" t="n"/>
      <c r="N320" s="275" t="n"/>
      <c r="O320" s="348" t="n"/>
      <c r="P320" s="275" t="n"/>
      <c r="Q320" s="348" t="n"/>
      <c r="R320" s="272" t="n"/>
      <c r="S320" s="272" t="n"/>
      <c r="T320" s="272" t="n"/>
      <c r="U320" s="275" t="n"/>
    </row>
    <row r="321" hidden="1" ht="15" customHeight="1">
      <c r="B321" s="104" t="inlineStr">
        <is>
          <t>Modification #87</t>
        </is>
      </c>
      <c r="C321" s="262" t="n"/>
      <c r="D321" s="262" t="n"/>
      <c r="E321" s="263" t="n"/>
      <c r="F321" s="345">
        <f>J321+Q321</f>
        <v/>
      </c>
      <c r="G321" s="262" t="n"/>
      <c r="H321" s="262" t="n"/>
      <c r="I321" s="263" t="n"/>
      <c r="J321" s="345">
        <f>L321+O321</f>
        <v/>
      </c>
      <c r="K321" s="263" t="n"/>
      <c r="L321" s="349" t="n"/>
      <c r="M321" s="272" t="n"/>
      <c r="N321" s="275" t="n"/>
      <c r="O321" s="349" t="n"/>
      <c r="P321" s="275" t="n"/>
      <c r="Q321" s="349" t="n"/>
      <c r="R321" s="272" t="n"/>
      <c r="S321" s="272" t="n"/>
      <c r="T321" s="272" t="n"/>
      <c r="U321" s="275" t="n"/>
    </row>
    <row r="322" hidden="1" ht="15" customHeight="1">
      <c r="B322" s="104" t="inlineStr">
        <is>
          <t>Modification #88</t>
        </is>
      </c>
      <c r="C322" s="262" t="n"/>
      <c r="D322" s="262" t="n"/>
      <c r="E322" s="263" t="n"/>
      <c r="F322" s="345">
        <f>J322+Q322</f>
        <v/>
      </c>
      <c r="G322" s="262" t="n"/>
      <c r="H322" s="262" t="n"/>
      <c r="I322" s="263" t="n"/>
      <c r="J322" s="345">
        <f>L322+O322</f>
        <v/>
      </c>
      <c r="K322" s="263" t="n"/>
      <c r="L322" s="347" t="n"/>
      <c r="M322" s="272" t="n"/>
      <c r="N322" s="275" t="n"/>
      <c r="O322" s="347" t="n"/>
      <c r="P322" s="275" t="n"/>
      <c r="Q322" s="347" t="n"/>
      <c r="R322" s="272" t="n"/>
      <c r="S322" s="272" t="n"/>
      <c r="T322" s="272" t="n"/>
      <c r="U322" s="275" t="n"/>
    </row>
    <row r="323" hidden="1" ht="15" customHeight="1">
      <c r="B323" s="104" t="inlineStr">
        <is>
          <t>Modification #89</t>
        </is>
      </c>
      <c r="C323" s="262" t="n"/>
      <c r="D323" s="262" t="n"/>
      <c r="E323" s="263" t="n"/>
      <c r="F323" s="345">
        <f>J323+Q323</f>
        <v/>
      </c>
      <c r="G323" s="262" t="n"/>
      <c r="H323" s="262" t="n"/>
      <c r="I323" s="263" t="n"/>
      <c r="J323" s="345">
        <f>L323+O323</f>
        <v/>
      </c>
      <c r="K323" s="263" t="n"/>
      <c r="L323" s="347" t="n"/>
      <c r="M323" s="272" t="n"/>
      <c r="N323" s="275" t="n"/>
      <c r="O323" s="347" t="n"/>
      <c r="P323" s="275" t="n"/>
      <c r="Q323" s="347" t="n"/>
      <c r="R323" s="272" t="n"/>
      <c r="S323" s="272" t="n"/>
      <c r="T323" s="272" t="n"/>
      <c r="U323" s="275" t="n"/>
    </row>
    <row r="324" hidden="1" ht="15" customHeight="1">
      <c r="B324" s="104" t="inlineStr">
        <is>
          <t>Modification #90</t>
        </is>
      </c>
      <c r="C324" s="262" t="n"/>
      <c r="D324" s="262" t="n"/>
      <c r="E324" s="263" t="n"/>
      <c r="F324" s="345">
        <f>J324+Q324</f>
        <v/>
      </c>
      <c r="G324" s="262" t="n"/>
      <c r="H324" s="262" t="n"/>
      <c r="I324" s="263" t="n"/>
      <c r="J324" s="345">
        <f>L324+O324</f>
        <v/>
      </c>
      <c r="K324" s="263" t="n"/>
      <c r="L324" s="347" t="n"/>
      <c r="M324" s="272" t="n"/>
      <c r="N324" s="275" t="n"/>
      <c r="O324" s="347" t="n"/>
      <c r="P324" s="275" t="n"/>
      <c r="Q324" s="347" t="n"/>
      <c r="R324" s="272" t="n"/>
      <c r="S324" s="272" t="n"/>
      <c r="T324" s="272" t="n"/>
      <c r="U324" s="275" t="n"/>
    </row>
    <row r="325" hidden="1" ht="15" customHeight="1">
      <c r="B325" s="104" t="inlineStr">
        <is>
          <t>Modification #91</t>
        </is>
      </c>
      <c r="C325" s="262" t="n"/>
      <c r="D325" s="262" t="n"/>
      <c r="E325" s="263" t="n"/>
      <c r="F325" s="345">
        <f>J325+Q325</f>
        <v/>
      </c>
      <c r="G325" s="262" t="n"/>
      <c r="H325" s="262" t="n"/>
      <c r="I325" s="263" t="n"/>
      <c r="J325" s="345">
        <f>L325+O325</f>
        <v/>
      </c>
      <c r="K325" s="263" t="n"/>
      <c r="L325" s="347" t="n"/>
      <c r="M325" s="272" t="n"/>
      <c r="N325" s="275" t="n"/>
      <c r="O325" s="347" t="n"/>
      <c r="P325" s="275" t="n"/>
      <c r="Q325" s="347" t="n"/>
      <c r="R325" s="272" t="n"/>
      <c r="S325" s="272" t="n"/>
      <c r="T325" s="272" t="n"/>
      <c r="U325" s="275" t="n"/>
    </row>
    <row r="326" hidden="1" ht="15" customHeight="1">
      <c r="B326" s="104" t="inlineStr">
        <is>
          <t>Modification #92</t>
        </is>
      </c>
      <c r="C326" s="262" t="n"/>
      <c r="D326" s="262" t="n"/>
      <c r="E326" s="263" t="n"/>
      <c r="F326" s="345">
        <f>J326+Q326</f>
        <v/>
      </c>
      <c r="G326" s="262" t="n"/>
      <c r="H326" s="262" t="n"/>
      <c r="I326" s="263" t="n"/>
      <c r="J326" s="345">
        <f>L326+O326</f>
        <v/>
      </c>
      <c r="K326" s="263" t="n"/>
      <c r="L326" s="347" t="n"/>
      <c r="M326" s="272" t="n"/>
      <c r="N326" s="275" t="n"/>
      <c r="O326" s="347" t="n"/>
      <c r="P326" s="275" t="n"/>
      <c r="Q326" s="347" t="n"/>
      <c r="R326" s="272" t="n"/>
      <c r="S326" s="272" t="n"/>
      <c r="T326" s="272" t="n"/>
      <c r="U326" s="275" t="n"/>
    </row>
    <row r="327" hidden="1" ht="15" customHeight="1">
      <c r="B327" s="104" t="inlineStr">
        <is>
          <t>Modification #93</t>
        </is>
      </c>
      <c r="C327" s="262" t="n"/>
      <c r="D327" s="262" t="n"/>
      <c r="E327" s="263" t="n"/>
      <c r="F327" s="345">
        <f>J327+Q327</f>
        <v/>
      </c>
      <c r="G327" s="262" t="n"/>
      <c r="H327" s="262" t="n"/>
      <c r="I327" s="263" t="n"/>
      <c r="J327" s="345">
        <f>L327+O327</f>
        <v/>
      </c>
      <c r="K327" s="263" t="n"/>
      <c r="L327" s="347" t="n"/>
      <c r="M327" s="272" t="n"/>
      <c r="N327" s="275" t="n"/>
      <c r="O327" s="347" t="n"/>
      <c r="P327" s="275" t="n"/>
      <c r="Q327" s="347" t="n"/>
      <c r="R327" s="272" t="n"/>
      <c r="S327" s="272" t="n"/>
      <c r="T327" s="272" t="n"/>
      <c r="U327" s="275" t="n"/>
    </row>
    <row r="328" hidden="1" ht="15" customHeight="1">
      <c r="B328" s="104" t="inlineStr">
        <is>
          <t>Modification #94</t>
        </is>
      </c>
      <c r="C328" s="262" t="n"/>
      <c r="D328" s="262" t="n"/>
      <c r="E328" s="263" t="n"/>
      <c r="F328" s="345">
        <f>J328+Q328</f>
        <v/>
      </c>
      <c r="G328" s="262" t="n"/>
      <c r="H328" s="262" t="n"/>
      <c r="I328" s="263" t="n"/>
      <c r="J328" s="345">
        <f>L328+O328</f>
        <v/>
      </c>
      <c r="K328" s="263" t="n"/>
      <c r="L328" s="347" t="n"/>
      <c r="M328" s="272" t="n"/>
      <c r="N328" s="275" t="n"/>
      <c r="O328" s="347" t="n"/>
      <c r="P328" s="275" t="n"/>
      <c r="Q328" s="347" t="n"/>
      <c r="R328" s="272" t="n"/>
      <c r="S328" s="272" t="n"/>
      <c r="T328" s="272" t="n"/>
      <c r="U328" s="275" t="n"/>
    </row>
    <row r="329" hidden="1" ht="15" customHeight="1">
      <c r="B329" s="104" t="inlineStr">
        <is>
          <t>Modification #95</t>
        </is>
      </c>
      <c r="C329" s="262" t="n"/>
      <c r="D329" s="262" t="n"/>
      <c r="E329" s="263" t="n"/>
      <c r="F329" s="345">
        <f>J329+Q329</f>
        <v/>
      </c>
      <c r="G329" s="262" t="n"/>
      <c r="H329" s="262" t="n"/>
      <c r="I329" s="263" t="n"/>
      <c r="J329" s="345">
        <f>L329+O329</f>
        <v/>
      </c>
      <c r="K329" s="263" t="n"/>
      <c r="L329" s="347" t="n"/>
      <c r="M329" s="272" t="n"/>
      <c r="N329" s="275" t="n"/>
      <c r="O329" s="347" t="n"/>
      <c r="P329" s="275" t="n"/>
      <c r="Q329" s="347" t="n"/>
      <c r="R329" s="272" t="n"/>
      <c r="S329" s="272" t="n"/>
      <c r="T329" s="272" t="n"/>
      <c r="U329" s="275" t="n"/>
    </row>
    <row r="330" hidden="1" ht="15" customHeight="1">
      <c r="B330" s="104" t="inlineStr">
        <is>
          <t>Modification #96</t>
        </is>
      </c>
      <c r="C330" s="262" t="n"/>
      <c r="D330" s="262" t="n"/>
      <c r="E330" s="263" t="n"/>
      <c r="F330" s="345">
        <f>J330+Q330</f>
        <v/>
      </c>
      <c r="G330" s="262" t="n"/>
      <c r="H330" s="262" t="n"/>
      <c r="I330" s="263" t="n"/>
      <c r="J330" s="345">
        <f>L330+O330</f>
        <v/>
      </c>
      <c r="K330" s="263" t="n"/>
      <c r="L330" s="347" t="n"/>
      <c r="M330" s="272" t="n"/>
      <c r="N330" s="275" t="n"/>
      <c r="O330" s="347" t="n"/>
      <c r="P330" s="275" t="n"/>
      <c r="Q330" s="347" t="n"/>
      <c r="R330" s="272" t="n"/>
      <c r="S330" s="272" t="n"/>
      <c r="T330" s="272" t="n"/>
      <c r="U330" s="275" t="n"/>
    </row>
    <row r="331" hidden="1" ht="15" customHeight="1">
      <c r="B331" s="104" t="inlineStr">
        <is>
          <t>Modification #97</t>
        </is>
      </c>
      <c r="C331" s="262" t="n"/>
      <c r="D331" s="262" t="n"/>
      <c r="E331" s="263" t="n"/>
      <c r="F331" s="345">
        <f>J331+Q331</f>
        <v/>
      </c>
      <c r="G331" s="262" t="n"/>
      <c r="H331" s="262" t="n"/>
      <c r="I331" s="263" t="n"/>
      <c r="J331" s="345">
        <f>L331+O331</f>
        <v/>
      </c>
      <c r="K331" s="263" t="n"/>
      <c r="L331" s="347" t="n"/>
      <c r="M331" s="272" t="n"/>
      <c r="N331" s="275" t="n"/>
      <c r="O331" s="347" t="n"/>
      <c r="P331" s="275" t="n"/>
      <c r="Q331" s="347" t="n"/>
      <c r="R331" s="272" t="n"/>
      <c r="S331" s="272" t="n"/>
      <c r="T331" s="272" t="n"/>
      <c r="U331" s="275" t="n"/>
    </row>
    <row r="332" hidden="1" ht="15" customHeight="1">
      <c r="B332" s="104" t="inlineStr">
        <is>
          <t>Modification #98</t>
        </is>
      </c>
      <c r="C332" s="262" t="n"/>
      <c r="D332" s="262" t="n"/>
      <c r="E332" s="263" t="n"/>
      <c r="F332" s="345">
        <f>J332+Q332</f>
        <v/>
      </c>
      <c r="G332" s="262" t="n"/>
      <c r="H332" s="262" t="n"/>
      <c r="I332" s="263" t="n"/>
      <c r="J332" s="345">
        <f>L332+O332</f>
        <v/>
      </c>
      <c r="K332" s="263" t="n"/>
      <c r="L332" s="347" t="n"/>
      <c r="M332" s="272" t="n"/>
      <c r="N332" s="275" t="n"/>
      <c r="O332" s="347" t="n"/>
      <c r="P332" s="275" t="n"/>
      <c r="Q332" s="347" t="n"/>
      <c r="R332" s="272" t="n"/>
      <c r="S332" s="272" t="n"/>
      <c r="T332" s="272" t="n"/>
      <c r="U332" s="275" t="n"/>
    </row>
    <row r="333" hidden="1" ht="15" customHeight="1">
      <c r="B333" s="104" t="inlineStr">
        <is>
          <t>Modification #99</t>
        </is>
      </c>
      <c r="C333" s="262" t="n"/>
      <c r="D333" s="262" t="n"/>
      <c r="E333" s="263" t="n"/>
      <c r="F333" s="345">
        <f>J333+Q333</f>
        <v/>
      </c>
      <c r="G333" s="262" t="n"/>
      <c r="H333" s="262" t="n"/>
      <c r="I333" s="263" t="n"/>
      <c r="J333" s="345">
        <f>L333+O333</f>
        <v/>
      </c>
      <c r="K333" s="263" t="n"/>
      <c r="L333" s="347" t="n"/>
      <c r="M333" s="272" t="n"/>
      <c r="N333" s="275" t="n"/>
      <c r="O333" s="347" t="n"/>
      <c r="P333" s="275" t="n"/>
      <c r="Q333" s="347" t="n"/>
      <c r="R333" s="272" t="n"/>
      <c r="S333" s="272" t="n"/>
      <c r="T333" s="272" t="n"/>
      <c r="U333" s="275" t="n"/>
    </row>
    <row r="334" hidden="1" ht="15" customHeight="1">
      <c r="B334" s="104" t="inlineStr">
        <is>
          <t>Modification #100</t>
        </is>
      </c>
      <c r="C334" s="262" t="n"/>
      <c r="D334" s="262" t="n"/>
      <c r="E334" s="263" t="n"/>
      <c r="F334" s="345">
        <f>J334+Q334</f>
        <v/>
      </c>
      <c r="G334" s="262" t="n"/>
      <c r="H334" s="262" t="n"/>
      <c r="I334" s="263" t="n"/>
      <c r="J334" s="345">
        <f>L334+O334</f>
        <v/>
      </c>
      <c r="K334" s="263" t="n"/>
      <c r="L334" s="347" t="n"/>
      <c r="M334" s="272" t="n"/>
      <c r="N334" s="275" t="n"/>
      <c r="O334" s="347" t="n"/>
      <c r="P334" s="275" t="n"/>
      <c r="Q334" s="347" t="n"/>
      <c r="R334" s="272" t="n"/>
      <c r="S334" s="272" t="n"/>
      <c r="T334" s="272" t="n"/>
      <c r="U334" s="275" t="n"/>
    </row>
    <row r="335" hidden="1" ht="15" customHeight="1">
      <c r="B335" s="104" t="inlineStr">
        <is>
          <t>Modification #101</t>
        </is>
      </c>
      <c r="C335" s="262" t="n"/>
      <c r="D335" s="262" t="n"/>
      <c r="E335" s="263" t="n"/>
      <c r="F335" s="345">
        <f>J335+Q335</f>
        <v/>
      </c>
      <c r="G335" s="262" t="n"/>
      <c r="H335" s="262" t="n"/>
      <c r="I335" s="263" t="n"/>
      <c r="J335" s="345">
        <f>L335+O335</f>
        <v/>
      </c>
      <c r="K335" s="263" t="n"/>
      <c r="L335" s="347" t="n"/>
      <c r="M335" s="272" t="n"/>
      <c r="N335" s="275" t="n"/>
      <c r="O335" s="347" t="n"/>
      <c r="P335" s="275" t="n"/>
      <c r="Q335" s="347" t="n"/>
      <c r="R335" s="272" t="n"/>
      <c r="S335" s="272" t="n"/>
      <c r="T335" s="272" t="n"/>
      <c r="U335" s="275" t="n"/>
    </row>
    <row r="336" hidden="1" ht="15" customHeight="1">
      <c r="B336" s="104" t="inlineStr">
        <is>
          <t>Modification #102</t>
        </is>
      </c>
      <c r="C336" s="262" t="n"/>
      <c r="D336" s="262" t="n"/>
      <c r="E336" s="263" t="n"/>
      <c r="F336" s="345">
        <f>J336+Q336</f>
        <v/>
      </c>
      <c r="G336" s="262" t="n"/>
      <c r="H336" s="262" t="n"/>
      <c r="I336" s="263" t="n"/>
      <c r="J336" s="345">
        <f>L336+O336</f>
        <v/>
      </c>
      <c r="K336" s="263" t="n"/>
      <c r="L336" s="347" t="n"/>
      <c r="M336" s="272" t="n"/>
      <c r="N336" s="275" t="n"/>
      <c r="O336" s="347" t="n"/>
      <c r="P336" s="275" t="n"/>
      <c r="Q336" s="347" t="n"/>
      <c r="R336" s="272" t="n"/>
      <c r="S336" s="272" t="n"/>
      <c r="T336" s="272" t="n"/>
      <c r="U336" s="275" t="n"/>
    </row>
    <row r="337" hidden="1" ht="15" customHeight="1">
      <c r="B337" s="104" t="inlineStr">
        <is>
          <t>Modification #103</t>
        </is>
      </c>
      <c r="C337" s="262" t="n"/>
      <c r="D337" s="262" t="n"/>
      <c r="E337" s="263" t="n"/>
      <c r="F337" s="345">
        <f>J337+Q337</f>
        <v/>
      </c>
      <c r="G337" s="262" t="n"/>
      <c r="H337" s="262" t="n"/>
      <c r="I337" s="263" t="n"/>
      <c r="J337" s="345">
        <f>L337+O337</f>
        <v/>
      </c>
      <c r="K337" s="263" t="n"/>
      <c r="L337" s="348" t="n"/>
      <c r="M337" s="272" t="n"/>
      <c r="N337" s="275" t="n"/>
      <c r="O337" s="348" t="n"/>
      <c r="P337" s="275" t="n"/>
      <c r="Q337" s="348" t="n"/>
      <c r="R337" s="272" t="n"/>
      <c r="S337" s="272" t="n"/>
      <c r="T337" s="272" t="n"/>
      <c r="U337" s="275" t="n"/>
    </row>
    <row r="338" hidden="1" ht="15" customHeight="1">
      <c r="B338" s="104" t="inlineStr">
        <is>
          <t>Modification #104</t>
        </is>
      </c>
      <c r="C338" s="262" t="n"/>
      <c r="D338" s="262" t="n"/>
      <c r="E338" s="263" t="n"/>
      <c r="F338" s="345">
        <f>J338+Q338</f>
        <v/>
      </c>
      <c r="G338" s="262" t="n"/>
      <c r="H338" s="262" t="n"/>
      <c r="I338" s="263" t="n"/>
      <c r="J338" s="345">
        <f>L338+O338</f>
        <v/>
      </c>
      <c r="K338" s="263" t="n"/>
      <c r="L338" s="348" t="n"/>
      <c r="M338" s="272" t="n"/>
      <c r="N338" s="275" t="n"/>
      <c r="O338" s="348" t="n"/>
      <c r="P338" s="275" t="n"/>
      <c r="Q338" s="348" t="n"/>
      <c r="R338" s="272" t="n"/>
      <c r="S338" s="272" t="n"/>
      <c r="T338" s="272" t="n"/>
      <c r="U338" s="275" t="n"/>
    </row>
    <row r="339" hidden="1" ht="15" customHeight="1">
      <c r="B339" s="104" t="inlineStr">
        <is>
          <t>Modification #105</t>
        </is>
      </c>
      <c r="C339" s="262" t="n"/>
      <c r="D339" s="262" t="n"/>
      <c r="E339" s="263" t="n"/>
      <c r="F339" s="345">
        <f>J339+Q339</f>
        <v/>
      </c>
      <c r="G339" s="262" t="n"/>
      <c r="H339" s="262" t="n"/>
      <c r="I339" s="263" t="n"/>
      <c r="J339" s="345">
        <f>L339+O339</f>
        <v/>
      </c>
      <c r="K339" s="263" t="n"/>
      <c r="L339" s="348" t="n"/>
      <c r="M339" s="272" t="n"/>
      <c r="N339" s="275" t="n"/>
      <c r="O339" s="348" t="n"/>
      <c r="P339" s="275" t="n"/>
      <c r="Q339" s="348" t="n"/>
      <c r="R339" s="272" t="n"/>
      <c r="S339" s="272" t="n"/>
      <c r="T339" s="272" t="n"/>
      <c r="U339" s="275" t="n"/>
    </row>
    <row r="340" hidden="1" ht="15" customHeight="1">
      <c r="B340" s="104" t="inlineStr">
        <is>
          <t>Modification #106</t>
        </is>
      </c>
      <c r="C340" s="262" t="n"/>
      <c r="D340" s="262" t="n"/>
      <c r="E340" s="263" t="n"/>
      <c r="F340" s="345">
        <f>J340+Q340</f>
        <v/>
      </c>
      <c r="G340" s="262" t="n"/>
      <c r="H340" s="262" t="n"/>
      <c r="I340" s="263" t="n"/>
      <c r="J340" s="345">
        <f>L340+O340</f>
        <v/>
      </c>
      <c r="K340" s="263" t="n"/>
      <c r="L340" s="348" t="n"/>
      <c r="M340" s="272" t="n"/>
      <c r="N340" s="275" t="n"/>
      <c r="O340" s="348" t="n"/>
      <c r="P340" s="275" t="n"/>
      <c r="Q340" s="348" t="n"/>
      <c r="R340" s="272" t="n"/>
      <c r="S340" s="272" t="n"/>
      <c r="T340" s="272" t="n"/>
      <c r="U340" s="275" t="n"/>
    </row>
    <row r="341" hidden="1" ht="15" customHeight="1">
      <c r="B341" s="104" t="inlineStr">
        <is>
          <t>Modification #107</t>
        </is>
      </c>
      <c r="C341" s="262" t="n"/>
      <c r="D341" s="262" t="n"/>
      <c r="E341" s="263" t="n"/>
      <c r="F341" s="345">
        <f>J341+Q341</f>
        <v/>
      </c>
      <c r="G341" s="262" t="n"/>
      <c r="H341" s="262" t="n"/>
      <c r="I341" s="263" t="n"/>
      <c r="J341" s="345">
        <f>L341+O341</f>
        <v/>
      </c>
      <c r="K341" s="263" t="n"/>
      <c r="L341" s="349" t="n"/>
      <c r="M341" s="272" t="n"/>
      <c r="N341" s="275" t="n"/>
      <c r="O341" s="349" t="n"/>
      <c r="P341" s="275" t="n"/>
      <c r="Q341" s="349" t="n"/>
      <c r="R341" s="272" t="n"/>
      <c r="S341" s="272" t="n"/>
      <c r="T341" s="272" t="n"/>
      <c r="U341" s="275" t="n"/>
    </row>
    <row r="342" hidden="1" ht="15" customHeight="1">
      <c r="B342" s="104" t="inlineStr">
        <is>
          <t>Modification #108</t>
        </is>
      </c>
      <c r="C342" s="262" t="n"/>
      <c r="D342" s="262" t="n"/>
      <c r="E342" s="263" t="n"/>
      <c r="F342" s="345">
        <f>J342+Q342</f>
        <v/>
      </c>
      <c r="G342" s="262" t="n"/>
      <c r="H342" s="262" t="n"/>
      <c r="I342" s="263" t="n"/>
      <c r="J342" s="345">
        <f>L342+O342</f>
        <v/>
      </c>
      <c r="K342" s="263" t="n"/>
      <c r="L342" s="347" t="n"/>
      <c r="M342" s="272" t="n"/>
      <c r="N342" s="275" t="n"/>
      <c r="O342" s="347" t="n"/>
      <c r="P342" s="275" t="n"/>
      <c r="Q342" s="347" t="n"/>
      <c r="R342" s="272" t="n"/>
      <c r="S342" s="272" t="n"/>
      <c r="T342" s="272" t="n"/>
      <c r="U342" s="275" t="n"/>
    </row>
    <row r="343" hidden="1" ht="15" customHeight="1">
      <c r="B343" s="104" t="inlineStr">
        <is>
          <t>Modification #109</t>
        </is>
      </c>
      <c r="C343" s="262" t="n"/>
      <c r="D343" s="262" t="n"/>
      <c r="E343" s="263" t="n"/>
      <c r="F343" s="345">
        <f>J343+Q343</f>
        <v/>
      </c>
      <c r="G343" s="262" t="n"/>
      <c r="H343" s="262" t="n"/>
      <c r="I343" s="263" t="n"/>
      <c r="J343" s="345">
        <f>L343+O343</f>
        <v/>
      </c>
      <c r="K343" s="263" t="n"/>
      <c r="L343" s="347" t="n"/>
      <c r="M343" s="272" t="n"/>
      <c r="N343" s="275" t="n"/>
      <c r="O343" s="347" t="n"/>
      <c r="P343" s="275" t="n"/>
      <c r="Q343" s="347" t="n"/>
      <c r="R343" s="272" t="n"/>
      <c r="S343" s="272" t="n"/>
      <c r="T343" s="272" t="n"/>
      <c r="U343" s="275" t="n"/>
    </row>
    <row r="344" hidden="1" ht="15" customHeight="1">
      <c r="B344" s="104" t="inlineStr">
        <is>
          <t>Modification #110</t>
        </is>
      </c>
      <c r="C344" s="262" t="n"/>
      <c r="D344" s="262" t="n"/>
      <c r="E344" s="263" t="n"/>
      <c r="F344" s="345">
        <f>J344+Q344</f>
        <v/>
      </c>
      <c r="G344" s="262" t="n"/>
      <c r="H344" s="262" t="n"/>
      <c r="I344" s="263" t="n"/>
      <c r="J344" s="345">
        <f>L344+O344</f>
        <v/>
      </c>
      <c r="K344" s="263" t="n"/>
      <c r="L344" s="347" t="n"/>
      <c r="M344" s="272" t="n"/>
      <c r="N344" s="275" t="n"/>
      <c r="O344" s="347" t="n"/>
      <c r="P344" s="275" t="n"/>
      <c r="Q344" s="347" t="n"/>
      <c r="R344" s="272" t="n"/>
      <c r="S344" s="272" t="n"/>
      <c r="T344" s="272" t="n"/>
      <c r="U344" s="275" t="n"/>
    </row>
    <row r="345" hidden="1" ht="15" customHeight="1">
      <c r="B345" s="104" t="inlineStr">
        <is>
          <t>Modification #111</t>
        </is>
      </c>
      <c r="C345" s="262" t="n"/>
      <c r="D345" s="262" t="n"/>
      <c r="E345" s="263" t="n"/>
      <c r="F345" s="345">
        <f>J345+Q345</f>
        <v/>
      </c>
      <c r="G345" s="262" t="n"/>
      <c r="H345" s="262" t="n"/>
      <c r="I345" s="263" t="n"/>
      <c r="J345" s="345">
        <f>L345+O345</f>
        <v/>
      </c>
      <c r="K345" s="263" t="n"/>
      <c r="L345" s="347" t="n"/>
      <c r="M345" s="272" t="n"/>
      <c r="N345" s="275" t="n"/>
      <c r="O345" s="347" t="n"/>
      <c r="P345" s="275" t="n"/>
      <c r="Q345" s="347" t="n"/>
      <c r="R345" s="272" t="n"/>
      <c r="S345" s="272" t="n"/>
      <c r="T345" s="272" t="n"/>
      <c r="U345" s="275" t="n"/>
    </row>
    <row r="346" hidden="1" ht="15" customHeight="1">
      <c r="B346" s="104" t="inlineStr">
        <is>
          <t>Modification #112</t>
        </is>
      </c>
      <c r="C346" s="262" t="n"/>
      <c r="D346" s="262" t="n"/>
      <c r="E346" s="263" t="n"/>
      <c r="F346" s="345">
        <f>J346+Q346</f>
        <v/>
      </c>
      <c r="G346" s="262" t="n"/>
      <c r="H346" s="262" t="n"/>
      <c r="I346" s="263" t="n"/>
      <c r="J346" s="345">
        <f>L346+O346</f>
        <v/>
      </c>
      <c r="K346" s="263" t="n"/>
      <c r="L346" s="347" t="n"/>
      <c r="M346" s="272" t="n"/>
      <c r="N346" s="275" t="n"/>
      <c r="O346" s="347" t="n"/>
      <c r="P346" s="275" t="n"/>
      <c r="Q346" s="347" t="n"/>
      <c r="R346" s="272" t="n"/>
      <c r="S346" s="272" t="n"/>
      <c r="T346" s="272" t="n"/>
      <c r="U346" s="275" t="n"/>
    </row>
    <row r="347" hidden="1" ht="15" customHeight="1">
      <c r="B347" s="104" t="inlineStr">
        <is>
          <t>Modification #113</t>
        </is>
      </c>
      <c r="C347" s="262" t="n"/>
      <c r="D347" s="262" t="n"/>
      <c r="E347" s="263" t="n"/>
      <c r="F347" s="345">
        <f>J347+Q347</f>
        <v/>
      </c>
      <c r="G347" s="262" t="n"/>
      <c r="H347" s="262" t="n"/>
      <c r="I347" s="263" t="n"/>
      <c r="J347" s="345">
        <f>L347+O347</f>
        <v/>
      </c>
      <c r="K347" s="263" t="n"/>
      <c r="L347" s="347" t="n"/>
      <c r="M347" s="272" t="n"/>
      <c r="N347" s="275" t="n"/>
      <c r="O347" s="347" t="n"/>
      <c r="P347" s="275" t="n"/>
      <c r="Q347" s="347" t="n"/>
      <c r="R347" s="272" t="n"/>
      <c r="S347" s="272" t="n"/>
      <c r="T347" s="272" t="n"/>
      <c r="U347" s="275" t="n"/>
    </row>
    <row r="348" hidden="1" ht="15" customHeight="1">
      <c r="B348" s="104" t="inlineStr">
        <is>
          <t>Modification #114</t>
        </is>
      </c>
      <c r="C348" s="262" t="n"/>
      <c r="D348" s="262" t="n"/>
      <c r="E348" s="263" t="n"/>
      <c r="F348" s="345">
        <f>J348+Q348</f>
        <v/>
      </c>
      <c r="G348" s="262" t="n"/>
      <c r="H348" s="262" t="n"/>
      <c r="I348" s="263" t="n"/>
      <c r="J348" s="345">
        <f>L348+O348</f>
        <v/>
      </c>
      <c r="K348" s="263" t="n"/>
      <c r="L348" s="347" t="n"/>
      <c r="M348" s="272" t="n"/>
      <c r="N348" s="275" t="n"/>
      <c r="O348" s="347" t="n"/>
      <c r="P348" s="275" t="n"/>
      <c r="Q348" s="347" t="n"/>
      <c r="R348" s="272" t="n"/>
      <c r="S348" s="272" t="n"/>
      <c r="T348" s="272" t="n"/>
      <c r="U348" s="275" t="n"/>
    </row>
    <row r="349" hidden="1" ht="15" customHeight="1">
      <c r="B349" s="104" t="inlineStr">
        <is>
          <t>Modification #115</t>
        </is>
      </c>
      <c r="C349" s="262" t="n"/>
      <c r="D349" s="262" t="n"/>
      <c r="E349" s="263" t="n"/>
      <c r="F349" s="345">
        <f>J349+Q349</f>
        <v/>
      </c>
      <c r="G349" s="262" t="n"/>
      <c r="H349" s="262" t="n"/>
      <c r="I349" s="263" t="n"/>
      <c r="J349" s="345">
        <f>L349+O349</f>
        <v/>
      </c>
      <c r="K349" s="263" t="n"/>
      <c r="L349" s="347" t="n"/>
      <c r="M349" s="272" t="n"/>
      <c r="N349" s="275" t="n"/>
      <c r="O349" s="347" t="n"/>
      <c r="P349" s="275" t="n"/>
      <c r="Q349" s="347" t="n"/>
      <c r="R349" s="272" t="n"/>
      <c r="S349" s="272" t="n"/>
      <c r="T349" s="272" t="n"/>
      <c r="U349" s="275" t="n"/>
    </row>
    <row r="350" hidden="1" ht="15" customHeight="1">
      <c r="B350" s="104" t="inlineStr">
        <is>
          <t>Modification #116</t>
        </is>
      </c>
      <c r="C350" s="262" t="n"/>
      <c r="D350" s="262" t="n"/>
      <c r="E350" s="263" t="n"/>
      <c r="F350" s="345">
        <f>J350+Q350</f>
        <v/>
      </c>
      <c r="G350" s="262" t="n"/>
      <c r="H350" s="262" t="n"/>
      <c r="I350" s="263" t="n"/>
      <c r="J350" s="345">
        <f>L350+O350</f>
        <v/>
      </c>
      <c r="K350" s="263" t="n"/>
      <c r="L350" s="347" t="n"/>
      <c r="M350" s="272" t="n"/>
      <c r="N350" s="275" t="n"/>
      <c r="O350" s="347" t="n"/>
      <c r="P350" s="275" t="n"/>
      <c r="Q350" s="347" t="n"/>
      <c r="R350" s="272" t="n"/>
      <c r="S350" s="272" t="n"/>
      <c r="T350" s="272" t="n"/>
      <c r="U350" s="275" t="n"/>
    </row>
    <row r="351" hidden="1" ht="15" customHeight="1">
      <c r="B351" s="104" t="inlineStr">
        <is>
          <t>Modification #117</t>
        </is>
      </c>
      <c r="C351" s="262" t="n"/>
      <c r="D351" s="262" t="n"/>
      <c r="E351" s="263" t="n"/>
      <c r="F351" s="345">
        <f>J351+Q351</f>
        <v/>
      </c>
      <c r="G351" s="262" t="n"/>
      <c r="H351" s="262" t="n"/>
      <c r="I351" s="263" t="n"/>
      <c r="J351" s="345">
        <f>L351+O351</f>
        <v/>
      </c>
      <c r="K351" s="263" t="n"/>
      <c r="L351" s="347" t="n"/>
      <c r="M351" s="272" t="n"/>
      <c r="N351" s="275" t="n"/>
      <c r="O351" s="347" t="n"/>
      <c r="P351" s="275" t="n"/>
      <c r="Q351" s="347" t="n"/>
      <c r="R351" s="272" t="n"/>
      <c r="S351" s="272" t="n"/>
      <c r="T351" s="272" t="n"/>
      <c r="U351" s="275" t="n"/>
    </row>
    <row r="352" hidden="1" ht="15" customHeight="1">
      <c r="B352" s="104" t="inlineStr">
        <is>
          <t>Modification #118</t>
        </is>
      </c>
      <c r="C352" s="262" t="n"/>
      <c r="D352" s="262" t="n"/>
      <c r="E352" s="263" t="n"/>
      <c r="F352" s="345">
        <f>J352+Q352</f>
        <v/>
      </c>
      <c r="G352" s="262" t="n"/>
      <c r="H352" s="262" t="n"/>
      <c r="I352" s="263" t="n"/>
      <c r="J352" s="345">
        <f>L352+O352</f>
        <v/>
      </c>
      <c r="K352" s="263" t="n"/>
      <c r="L352" s="347" t="n"/>
      <c r="M352" s="272" t="n"/>
      <c r="N352" s="275" t="n"/>
      <c r="O352" s="347" t="n"/>
      <c r="P352" s="275" t="n"/>
      <c r="Q352" s="347" t="n"/>
      <c r="R352" s="272" t="n"/>
      <c r="S352" s="272" t="n"/>
      <c r="T352" s="272" t="n"/>
      <c r="U352" s="275" t="n"/>
    </row>
    <row r="353" hidden="1" ht="15" customHeight="1">
      <c r="B353" s="104" t="inlineStr">
        <is>
          <t>Modification #119</t>
        </is>
      </c>
      <c r="C353" s="262" t="n"/>
      <c r="D353" s="262" t="n"/>
      <c r="E353" s="263" t="n"/>
      <c r="F353" s="345">
        <f>J353+Q353</f>
        <v/>
      </c>
      <c r="G353" s="262" t="n"/>
      <c r="H353" s="262" t="n"/>
      <c r="I353" s="263" t="n"/>
      <c r="J353" s="345">
        <f>L353+O353</f>
        <v/>
      </c>
      <c r="K353" s="263" t="n"/>
      <c r="L353" s="347" t="n"/>
      <c r="M353" s="272" t="n"/>
      <c r="N353" s="275" t="n"/>
      <c r="O353" s="347" t="n"/>
      <c r="P353" s="275" t="n"/>
      <c r="Q353" s="347" t="n"/>
      <c r="R353" s="272" t="n"/>
      <c r="S353" s="272" t="n"/>
      <c r="T353" s="272" t="n"/>
      <c r="U353" s="275" t="n"/>
    </row>
    <row r="354" hidden="1" ht="15" customHeight="1">
      <c r="B354" s="104" t="inlineStr">
        <is>
          <t>Modification #120</t>
        </is>
      </c>
      <c r="C354" s="262" t="n"/>
      <c r="D354" s="262" t="n"/>
      <c r="E354" s="263" t="n"/>
      <c r="F354" s="345">
        <f>J354+Q354</f>
        <v/>
      </c>
      <c r="G354" s="262" t="n"/>
      <c r="H354" s="262" t="n"/>
      <c r="I354" s="263" t="n"/>
      <c r="J354" s="345">
        <f>L354+O354</f>
        <v/>
      </c>
      <c r="K354" s="263" t="n"/>
      <c r="L354" s="347" t="n"/>
      <c r="M354" s="272" t="n"/>
      <c r="N354" s="275" t="n"/>
      <c r="O354" s="347" t="n"/>
      <c r="P354" s="275" t="n"/>
      <c r="Q354" s="347" t="n"/>
      <c r="R354" s="272" t="n"/>
      <c r="S354" s="272" t="n"/>
      <c r="T354" s="272" t="n"/>
      <c r="U354" s="275" t="n"/>
    </row>
    <row r="355" hidden="1" ht="15" customHeight="1">
      <c r="B355" s="104" t="inlineStr">
        <is>
          <t>Modification #121</t>
        </is>
      </c>
      <c r="C355" s="262" t="n"/>
      <c r="D355" s="262" t="n"/>
      <c r="E355" s="263" t="n"/>
      <c r="F355" s="345">
        <f>J355+Q355</f>
        <v/>
      </c>
      <c r="G355" s="262" t="n"/>
      <c r="H355" s="262" t="n"/>
      <c r="I355" s="263" t="n"/>
      <c r="J355" s="345">
        <f>L355+O355</f>
        <v/>
      </c>
      <c r="K355" s="263" t="n"/>
      <c r="L355" s="347" t="n"/>
      <c r="M355" s="272" t="n"/>
      <c r="N355" s="275" t="n"/>
      <c r="O355" s="347" t="n"/>
      <c r="P355" s="275" t="n"/>
      <c r="Q355" s="347" t="n"/>
      <c r="R355" s="272" t="n"/>
      <c r="S355" s="272" t="n"/>
      <c r="T355" s="272" t="n"/>
      <c r="U355" s="275" t="n"/>
    </row>
    <row r="356" hidden="1" ht="15" customHeight="1">
      <c r="B356" s="104" t="inlineStr">
        <is>
          <t>Modification #122</t>
        </is>
      </c>
      <c r="C356" s="262" t="n"/>
      <c r="D356" s="262" t="n"/>
      <c r="E356" s="263" t="n"/>
      <c r="F356" s="345">
        <f>J356+Q356</f>
        <v/>
      </c>
      <c r="G356" s="262" t="n"/>
      <c r="H356" s="262" t="n"/>
      <c r="I356" s="263" t="n"/>
      <c r="J356" s="345">
        <f>L356+O356</f>
        <v/>
      </c>
      <c r="K356" s="263" t="n"/>
      <c r="L356" s="347" t="n"/>
      <c r="M356" s="272" t="n"/>
      <c r="N356" s="275" t="n"/>
      <c r="O356" s="347" t="n"/>
      <c r="P356" s="275" t="n"/>
      <c r="Q356" s="347" t="n"/>
      <c r="R356" s="272" t="n"/>
      <c r="S356" s="272" t="n"/>
      <c r="T356" s="272" t="n"/>
      <c r="U356" s="275" t="n"/>
    </row>
    <row r="357" hidden="1" ht="15" customHeight="1">
      <c r="B357" s="104" t="inlineStr">
        <is>
          <t>Modification #123</t>
        </is>
      </c>
      <c r="C357" s="262" t="n"/>
      <c r="D357" s="262" t="n"/>
      <c r="E357" s="263" t="n"/>
      <c r="F357" s="345">
        <f>J357+Q357</f>
        <v/>
      </c>
      <c r="G357" s="262" t="n"/>
      <c r="H357" s="262" t="n"/>
      <c r="I357" s="263" t="n"/>
      <c r="J357" s="345">
        <f>L357+O357</f>
        <v/>
      </c>
      <c r="K357" s="263" t="n"/>
      <c r="L357" s="348" t="n"/>
      <c r="M357" s="272" t="n"/>
      <c r="N357" s="275" t="n"/>
      <c r="O357" s="348" t="n"/>
      <c r="P357" s="275" t="n"/>
      <c r="Q357" s="348" t="n"/>
      <c r="R357" s="272" t="n"/>
      <c r="S357" s="272" t="n"/>
      <c r="T357" s="272" t="n"/>
      <c r="U357" s="275" t="n"/>
    </row>
    <row r="358" hidden="1" ht="15" customHeight="1">
      <c r="B358" s="104" t="inlineStr">
        <is>
          <t>Modification #124</t>
        </is>
      </c>
      <c r="C358" s="262" t="n"/>
      <c r="D358" s="262" t="n"/>
      <c r="E358" s="263" t="n"/>
      <c r="F358" s="345">
        <f>J358+Q358</f>
        <v/>
      </c>
      <c r="G358" s="262" t="n"/>
      <c r="H358" s="262" t="n"/>
      <c r="I358" s="263" t="n"/>
      <c r="J358" s="345">
        <f>L358+O358</f>
        <v/>
      </c>
      <c r="K358" s="263" t="n"/>
      <c r="L358" s="348" t="n"/>
      <c r="M358" s="272" t="n"/>
      <c r="N358" s="275" t="n"/>
      <c r="O358" s="348" t="n"/>
      <c r="P358" s="275" t="n"/>
      <c r="Q358" s="348" t="n"/>
      <c r="R358" s="272" t="n"/>
      <c r="S358" s="272" t="n"/>
      <c r="T358" s="272" t="n"/>
      <c r="U358" s="275" t="n"/>
    </row>
    <row r="359" hidden="1" ht="15" customHeight="1">
      <c r="B359" s="104" t="inlineStr">
        <is>
          <t>Modification #125</t>
        </is>
      </c>
      <c r="C359" s="262" t="n"/>
      <c r="D359" s="262" t="n"/>
      <c r="E359" s="263" t="n"/>
      <c r="F359" s="345">
        <f>J359+Q359</f>
        <v/>
      </c>
      <c r="G359" s="262" t="n"/>
      <c r="H359" s="262" t="n"/>
      <c r="I359" s="263" t="n"/>
      <c r="J359" s="345">
        <f>L359+O359</f>
        <v/>
      </c>
      <c r="K359" s="263" t="n"/>
      <c r="L359" s="348" t="n"/>
      <c r="M359" s="272" t="n"/>
      <c r="N359" s="275" t="n"/>
      <c r="O359" s="348" t="n"/>
      <c r="P359" s="275" t="n"/>
      <c r="Q359" s="348" t="n"/>
      <c r="R359" s="272" t="n"/>
      <c r="S359" s="272" t="n"/>
      <c r="T359" s="272" t="n"/>
      <c r="U359" s="275" t="n"/>
    </row>
    <row r="360" hidden="1" ht="15" customHeight="1">
      <c r="B360" s="104" t="inlineStr">
        <is>
          <t>Modification #126</t>
        </is>
      </c>
      <c r="C360" s="262" t="n"/>
      <c r="D360" s="262" t="n"/>
      <c r="E360" s="263" t="n"/>
      <c r="F360" s="345">
        <f>J360+Q360</f>
        <v/>
      </c>
      <c r="G360" s="262" t="n"/>
      <c r="H360" s="262" t="n"/>
      <c r="I360" s="263" t="n"/>
      <c r="J360" s="345">
        <f>L360+O360</f>
        <v/>
      </c>
      <c r="K360" s="263" t="n"/>
      <c r="L360" s="348" t="n"/>
      <c r="M360" s="272" t="n"/>
      <c r="N360" s="275" t="n"/>
      <c r="O360" s="348" t="n"/>
      <c r="P360" s="275" t="n"/>
      <c r="Q360" s="348" t="n"/>
      <c r="R360" s="272" t="n"/>
      <c r="S360" s="272" t="n"/>
      <c r="T360" s="272" t="n"/>
      <c r="U360" s="275" t="n"/>
    </row>
    <row r="361" hidden="1" ht="15" customHeight="1">
      <c r="B361" s="104" t="inlineStr">
        <is>
          <t>Modification #127</t>
        </is>
      </c>
      <c r="C361" s="262" t="n"/>
      <c r="D361" s="262" t="n"/>
      <c r="E361" s="263" t="n"/>
      <c r="F361" s="345">
        <f>J361+Q361</f>
        <v/>
      </c>
      <c r="G361" s="262" t="n"/>
      <c r="H361" s="262" t="n"/>
      <c r="I361" s="263" t="n"/>
      <c r="J361" s="345">
        <f>L361+O361</f>
        <v/>
      </c>
      <c r="K361" s="263" t="n"/>
      <c r="L361" s="349" t="n"/>
      <c r="M361" s="272" t="n"/>
      <c r="N361" s="275" t="n"/>
      <c r="O361" s="349" t="n"/>
      <c r="P361" s="275" t="n"/>
      <c r="Q361" s="349" t="n"/>
      <c r="R361" s="272" t="n"/>
      <c r="S361" s="272" t="n"/>
      <c r="T361" s="272" t="n"/>
      <c r="U361" s="275" t="n"/>
    </row>
    <row r="362" hidden="1" ht="15" customHeight="1">
      <c r="B362" s="104" t="inlineStr">
        <is>
          <t>Modification #128</t>
        </is>
      </c>
      <c r="C362" s="262" t="n"/>
      <c r="D362" s="262" t="n"/>
      <c r="E362" s="263" t="n"/>
      <c r="F362" s="345">
        <f>J362+Q362</f>
        <v/>
      </c>
      <c r="G362" s="262" t="n"/>
      <c r="H362" s="262" t="n"/>
      <c r="I362" s="263" t="n"/>
      <c r="J362" s="345">
        <f>L362+O362</f>
        <v/>
      </c>
      <c r="K362" s="263" t="n"/>
      <c r="L362" s="347" t="n"/>
      <c r="M362" s="272" t="n"/>
      <c r="N362" s="275" t="n"/>
      <c r="O362" s="347" t="n"/>
      <c r="P362" s="275" t="n"/>
      <c r="Q362" s="347" t="n"/>
      <c r="R362" s="272" t="n"/>
      <c r="S362" s="272" t="n"/>
      <c r="T362" s="272" t="n"/>
      <c r="U362" s="275" t="n"/>
    </row>
    <row r="363" hidden="1" ht="15" customHeight="1">
      <c r="B363" s="104" t="inlineStr">
        <is>
          <t>Modification #129</t>
        </is>
      </c>
      <c r="C363" s="262" t="n"/>
      <c r="D363" s="262" t="n"/>
      <c r="E363" s="263" t="n"/>
      <c r="F363" s="345">
        <f>J363+Q363</f>
        <v/>
      </c>
      <c r="G363" s="262" t="n"/>
      <c r="H363" s="262" t="n"/>
      <c r="I363" s="263" t="n"/>
      <c r="J363" s="345">
        <f>L363+O363</f>
        <v/>
      </c>
      <c r="K363" s="263" t="n"/>
      <c r="L363" s="347" t="n"/>
      <c r="M363" s="272" t="n"/>
      <c r="N363" s="275" t="n"/>
      <c r="O363" s="347" t="n"/>
      <c r="P363" s="275" t="n"/>
      <c r="Q363" s="347" t="n"/>
      <c r="R363" s="272" t="n"/>
      <c r="S363" s="272" t="n"/>
      <c r="T363" s="272" t="n"/>
      <c r="U363" s="275" t="n"/>
    </row>
    <row r="364" hidden="1" ht="15" customHeight="1">
      <c r="B364" s="104" t="inlineStr">
        <is>
          <t>Modification #130</t>
        </is>
      </c>
      <c r="C364" s="262" t="n"/>
      <c r="D364" s="262" t="n"/>
      <c r="E364" s="263" t="n"/>
      <c r="F364" s="345">
        <f>J364+Q364</f>
        <v/>
      </c>
      <c r="G364" s="262" t="n"/>
      <c r="H364" s="262" t="n"/>
      <c r="I364" s="263" t="n"/>
      <c r="J364" s="345">
        <f>L364+O364</f>
        <v/>
      </c>
      <c r="K364" s="263" t="n"/>
      <c r="L364" s="347" t="n"/>
      <c r="M364" s="272" t="n"/>
      <c r="N364" s="275" t="n"/>
      <c r="O364" s="347" t="n"/>
      <c r="P364" s="275" t="n"/>
      <c r="Q364" s="347" t="n"/>
      <c r="R364" s="272" t="n"/>
      <c r="S364" s="272" t="n"/>
      <c r="T364" s="272" t="n"/>
      <c r="U364" s="275" t="n"/>
    </row>
    <row r="365" hidden="1" ht="15" customHeight="1">
      <c r="B365" s="104" t="inlineStr">
        <is>
          <t>Modification #131</t>
        </is>
      </c>
      <c r="C365" s="262" t="n"/>
      <c r="D365" s="262" t="n"/>
      <c r="E365" s="263" t="n"/>
      <c r="F365" s="345">
        <f>J365+Q365</f>
        <v/>
      </c>
      <c r="G365" s="262" t="n"/>
      <c r="H365" s="262" t="n"/>
      <c r="I365" s="263" t="n"/>
      <c r="J365" s="345">
        <f>L365+O365</f>
        <v/>
      </c>
      <c r="K365" s="263" t="n"/>
      <c r="L365" s="347" t="n"/>
      <c r="M365" s="272" t="n"/>
      <c r="N365" s="275" t="n"/>
      <c r="O365" s="347" t="n"/>
      <c r="P365" s="275" t="n"/>
      <c r="Q365" s="347" t="n"/>
      <c r="R365" s="272" t="n"/>
      <c r="S365" s="272" t="n"/>
      <c r="T365" s="272" t="n"/>
      <c r="U365" s="275" t="n"/>
    </row>
    <row r="366" hidden="1" ht="15" customHeight="1">
      <c r="B366" s="104" t="inlineStr">
        <is>
          <t>Modification #132</t>
        </is>
      </c>
      <c r="C366" s="262" t="n"/>
      <c r="D366" s="262" t="n"/>
      <c r="E366" s="263" t="n"/>
      <c r="F366" s="345">
        <f>J366+Q366</f>
        <v/>
      </c>
      <c r="G366" s="262" t="n"/>
      <c r="H366" s="262" t="n"/>
      <c r="I366" s="263" t="n"/>
      <c r="J366" s="345">
        <f>L366+O366</f>
        <v/>
      </c>
      <c r="K366" s="263" t="n"/>
      <c r="L366" s="347" t="n"/>
      <c r="M366" s="272" t="n"/>
      <c r="N366" s="275" t="n"/>
      <c r="O366" s="347" t="n"/>
      <c r="P366" s="275" t="n"/>
      <c r="Q366" s="347" t="n"/>
      <c r="R366" s="272" t="n"/>
      <c r="S366" s="272" t="n"/>
      <c r="T366" s="272" t="n"/>
      <c r="U366" s="275" t="n"/>
    </row>
    <row r="367" hidden="1" ht="15" customHeight="1">
      <c r="B367" s="104" t="inlineStr">
        <is>
          <t>Modification #133</t>
        </is>
      </c>
      <c r="C367" s="262" t="n"/>
      <c r="D367" s="262" t="n"/>
      <c r="E367" s="263" t="n"/>
      <c r="F367" s="345">
        <f>J367+Q367</f>
        <v/>
      </c>
      <c r="G367" s="262" t="n"/>
      <c r="H367" s="262" t="n"/>
      <c r="I367" s="263" t="n"/>
      <c r="J367" s="345">
        <f>L367+O367</f>
        <v/>
      </c>
      <c r="K367" s="263" t="n"/>
      <c r="L367" s="347" t="n"/>
      <c r="M367" s="272" t="n"/>
      <c r="N367" s="275" t="n"/>
      <c r="O367" s="347" t="n"/>
      <c r="P367" s="275" t="n"/>
      <c r="Q367" s="347" t="n"/>
      <c r="R367" s="272" t="n"/>
      <c r="S367" s="272" t="n"/>
      <c r="T367" s="272" t="n"/>
      <c r="U367" s="275" t="n"/>
    </row>
    <row r="368" hidden="1" ht="15" customHeight="1">
      <c r="B368" s="104" t="inlineStr">
        <is>
          <t>Modification #134</t>
        </is>
      </c>
      <c r="C368" s="262" t="n"/>
      <c r="D368" s="262" t="n"/>
      <c r="E368" s="263" t="n"/>
      <c r="F368" s="345">
        <f>J368+Q368</f>
        <v/>
      </c>
      <c r="G368" s="262" t="n"/>
      <c r="H368" s="262" t="n"/>
      <c r="I368" s="263" t="n"/>
      <c r="J368" s="345">
        <f>L368+O368</f>
        <v/>
      </c>
      <c r="K368" s="263" t="n"/>
      <c r="L368" s="347" t="n"/>
      <c r="M368" s="272" t="n"/>
      <c r="N368" s="275" t="n"/>
      <c r="O368" s="347" t="n"/>
      <c r="P368" s="275" t="n"/>
      <c r="Q368" s="347" t="n"/>
      <c r="R368" s="272" t="n"/>
      <c r="S368" s="272" t="n"/>
      <c r="T368" s="272" t="n"/>
      <c r="U368" s="275" t="n"/>
    </row>
    <row r="369" hidden="1" ht="15" customHeight="1">
      <c r="B369" s="104" t="inlineStr">
        <is>
          <t>Modification #135</t>
        </is>
      </c>
      <c r="C369" s="262" t="n"/>
      <c r="D369" s="262" t="n"/>
      <c r="E369" s="263" t="n"/>
      <c r="F369" s="345">
        <f>J369+Q369</f>
        <v/>
      </c>
      <c r="G369" s="262" t="n"/>
      <c r="H369" s="262" t="n"/>
      <c r="I369" s="263" t="n"/>
      <c r="J369" s="345">
        <f>L369+O369</f>
        <v/>
      </c>
      <c r="K369" s="263" t="n"/>
      <c r="L369" s="347" t="n"/>
      <c r="M369" s="272" t="n"/>
      <c r="N369" s="275" t="n"/>
      <c r="O369" s="347" t="n"/>
      <c r="P369" s="275" t="n"/>
      <c r="Q369" s="347" t="n"/>
      <c r="R369" s="272" t="n"/>
      <c r="S369" s="272" t="n"/>
      <c r="T369" s="272" t="n"/>
      <c r="U369" s="275" t="n"/>
    </row>
    <row r="370" hidden="1" ht="15" customHeight="1">
      <c r="B370" s="104" t="inlineStr">
        <is>
          <t>Modification #136</t>
        </is>
      </c>
      <c r="C370" s="262" t="n"/>
      <c r="D370" s="262" t="n"/>
      <c r="E370" s="263" t="n"/>
      <c r="F370" s="345">
        <f>J370+Q370</f>
        <v/>
      </c>
      <c r="G370" s="262" t="n"/>
      <c r="H370" s="262" t="n"/>
      <c r="I370" s="263" t="n"/>
      <c r="J370" s="345">
        <f>L370+O370</f>
        <v/>
      </c>
      <c r="K370" s="263" t="n"/>
      <c r="L370" s="347" t="n"/>
      <c r="M370" s="272" t="n"/>
      <c r="N370" s="275" t="n"/>
      <c r="O370" s="347" t="n"/>
      <c r="P370" s="275" t="n"/>
      <c r="Q370" s="347" t="n"/>
      <c r="R370" s="272" t="n"/>
      <c r="S370" s="272" t="n"/>
      <c r="T370" s="272" t="n"/>
      <c r="U370" s="275" t="n"/>
    </row>
    <row r="371" hidden="1" ht="15" customHeight="1">
      <c r="B371" s="104" t="inlineStr">
        <is>
          <t>Modification #137</t>
        </is>
      </c>
      <c r="C371" s="262" t="n"/>
      <c r="D371" s="262" t="n"/>
      <c r="E371" s="263" t="n"/>
      <c r="F371" s="345">
        <f>J371+Q371</f>
        <v/>
      </c>
      <c r="G371" s="262" t="n"/>
      <c r="H371" s="262" t="n"/>
      <c r="I371" s="263" t="n"/>
      <c r="J371" s="345">
        <f>L371+O371</f>
        <v/>
      </c>
      <c r="K371" s="263" t="n"/>
      <c r="L371" s="347" t="n"/>
      <c r="M371" s="272" t="n"/>
      <c r="N371" s="275" t="n"/>
      <c r="O371" s="347" t="n"/>
      <c r="P371" s="275" t="n"/>
      <c r="Q371" s="347" t="n"/>
      <c r="R371" s="272" t="n"/>
      <c r="S371" s="272" t="n"/>
      <c r="T371" s="272" t="n"/>
      <c r="U371" s="275" t="n"/>
    </row>
    <row r="372" hidden="1" ht="15" customHeight="1">
      <c r="B372" s="104" t="inlineStr">
        <is>
          <t>Modification #138</t>
        </is>
      </c>
      <c r="C372" s="262" t="n"/>
      <c r="D372" s="262" t="n"/>
      <c r="E372" s="263" t="n"/>
      <c r="F372" s="345">
        <f>J372+Q372</f>
        <v/>
      </c>
      <c r="G372" s="262" t="n"/>
      <c r="H372" s="262" t="n"/>
      <c r="I372" s="263" t="n"/>
      <c r="J372" s="345">
        <f>L372+O372</f>
        <v/>
      </c>
      <c r="K372" s="263" t="n"/>
      <c r="L372" s="347" t="n"/>
      <c r="M372" s="272" t="n"/>
      <c r="N372" s="275" t="n"/>
      <c r="O372" s="347" t="n"/>
      <c r="P372" s="275" t="n"/>
      <c r="Q372" s="347" t="n"/>
      <c r="R372" s="272" t="n"/>
      <c r="S372" s="272" t="n"/>
      <c r="T372" s="272" t="n"/>
      <c r="U372" s="275" t="n"/>
    </row>
    <row r="373" hidden="1" ht="15" customHeight="1">
      <c r="B373" s="104" t="inlineStr">
        <is>
          <t>Modification #139</t>
        </is>
      </c>
      <c r="C373" s="262" t="n"/>
      <c r="D373" s="262" t="n"/>
      <c r="E373" s="263" t="n"/>
      <c r="F373" s="345">
        <f>J373+Q373</f>
        <v/>
      </c>
      <c r="G373" s="262" t="n"/>
      <c r="H373" s="262" t="n"/>
      <c r="I373" s="263" t="n"/>
      <c r="J373" s="345">
        <f>L373+O373</f>
        <v/>
      </c>
      <c r="K373" s="263" t="n"/>
      <c r="L373" s="347" t="n"/>
      <c r="M373" s="272" t="n"/>
      <c r="N373" s="275" t="n"/>
      <c r="O373" s="347" t="n"/>
      <c r="P373" s="275" t="n"/>
      <c r="Q373" s="347" t="n"/>
      <c r="R373" s="272" t="n"/>
      <c r="S373" s="272" t="n"/>
      <c r="T373" s="272" t="n"/>
      <c r="U373" s="275" t="n"/>
    </row>
    <row r="374" hidden="1" ht="15" customHeight="1">
      <c r="B374" s="104" t="inlineStr">
        <is>
          <t>Modification #140</t>
        </is>
      </c>
      <c r="C374" s="262" t="n"/>
      <c r="D374" s="262" t="n"/>
      <c r="E374" s="263" t="n"/>
      <c r="F374" s="345">
        <f>J374+Q374</f>
        <v/>
      </c>
      <c r="G374" s="262" t="n"/>
      <c r="H374" s="262" t="n"/>
      <c r="I374" s="263" t="n"/>
      <c r="J374" s="345">
        <f>L374+O374</f>
        <v/>
      </c>
      <c r="K374" s="263" t="n"/>
      <c r="L374" s="347" t="n"/>
      <c r="M374" s="272" t="n"/>
      <c r="N374" s="275" t="n"/>
      <c r="O374" s="347" t="n"/>
      <c r="P374" s="275" t="n"/>
      <c r="Q374" s="347" t="n"/>
      <c r="R374" s="272" t="n"/>
      <c r="S374" s="272" t="n"/>
      <c r="T374" s="272" t="n"/>
      <c r="U374" s="275" t="n"/>
    </row>
    <row r="375" hidden="1" ht="15" customHeight="1">
      <c r="B375" s="104" t="inlineStr">
        <is>
          <t>Modification #141</t>
        </is>
      </c>
      <c r="C375" s="262" t="n"/>
      <c r="D375" s="262" t="n"/>
      <c r="E375" s="263" t="n"/>
      <c r="F375" s="345">
        <f>J375+Q375</f>
        <v/>
      </c>
      <c r="G375" s="262" t="n"/>
      <c r="H375" s="262" t="n"/>
      <c r="I375" s="263" t="n"/>
      <c r="J375" s="345">
        <f>L375+O375</f>
        <v/>
      </c>
      <c r="K375" s="263" t="n"/>
      <c r="L375" s="347" t="n"/>
      <c r="M375" s="272" t="n"/>
      <c r="N375" s="275" t="n"/>
      <c r="O375" s="347" t="n"/>
      <c r="P375" s="275" t="n"/>
      <c r="Q375" s="347" t="n"/>
      <c r="R375" s="272" t="n"/>
      <c r="S375" s="272" t="n"/>
      <c r="T375" s="272" t="n"/>
      <c r="U375" s="275" t="n"/>
    </row>
    <row r="376" hidden="1" ht="15" customHeight="1">
      <c r="B376" s="104" t="inlineStr">
        <is>
          <t>Modification #142</t>
        </is>
      </c>
      <c r="C376" s="262" t="n"/>
      <c r="D376" s="262" t="n"/>
      <c r="E376" s="263" t="n"/>
      <c r="F376" s="345">
        <f>J376+Q376</f>
        <v/>
      </c>
      <c r="G376" s="262" t="n"/>
      <c r="H376" s="262" t="n"/>
      <c r="I376" s="263" t="n"/>
      <c r="J376" s="345">
        <f>L376+O376</f>
        <v/>
      </c>
      <c r="K376" s="263" t="n"/>
      <c r="L376" s="347" t="n"/>
      <c r="M376" s="272" t="n"/>
      <c r="N376" s="275" t="n"/>
      <c r="O376" s="347" t="n"/>
      <c r="P376" s="275" t="n"/>
      <c r="Q376" s="347" t="n"/>
      <c r="R376" s="272" t="n"/>
      <c r="S376" s="272" t="n"/>
      <c r="T376" s="272" t="n"/>
      <c r="U376" s="275" t="n"/>
    </row>
    <row r="377" hidden="1" ht="15" customHeight="1">
      <c r="B377" s="104" t="inlineStr">
        <is>
          <t>Modification #143</t>
        </is>
      </c>
      <c r="C377" s="262" t="n"/>
      <c r="D377" s="262" t="n"/>
      <c r="E377" s="263" t="n"/>
      <c r="F377" s="345">
        <f>J377+Q377</f>
        <v/>
      </c>
      <c r="G377" s="262" t="n"/>
      <c r="H377" s="262" t="n"/>
      <c r="I377" s="263" t="n"/>
      <c r="J377" s="345">
        <f>L377+O377</f>
        <v/>
      </c>
      <c r="K377" s="263" t="n"/>
      <c r="L377" s="348" t="n"/>
      <c r="M377" s="272" t="n"/>
      <c r="N377" s="275" t="n"/>
      <c r="O377" s="348" t="n"/>
      <c r="P377" s="275" t="n"/>
      <c r="Q377" s="348" t="n"/>
      <c r="R377" s="272" t="n"/>
      <c r="S377" s="272" t="n"/>
      <c r="T377" s="272" t="n"/>
      <c r="U377" s="275" t="n"/>
    </row>
    <row r="378" hidden="1" ht="15" customHeight="1">
      <c r="B378" s="104" t="inlineStr">
        <is>
          <t>Modification #144</t>
        </is>
      </c>
      <c r="C378" s="262" t="n"/>
      <c r="D378" s="262" t="n"/>
      <c r="E378" s="263" t="n"/>
      <c r="F378" s="345">
        <f>J378+Q378</f>
        <v/>
      </c>
      <c r="G378" s="262" t="n"/>
      <c r="H378" s="262" t="n"/>
      <c r="I378" s="263" t="n"/>
      <c r="J378" s="345">
        <f>L378+O378</f>
        <v/>
      </c>
      <c r="K378" s="263" t="n"/>
      <c r="L378" s="348" t="n"/>
      <c r="M378" s="272" t="n"/>
      <c r="N378" s="275" t="n"/>
      <c r="O378" s="348" t="n"/>
      <c r="P378" s="275" t="n"/>
      <c r="Q378" s="348" t="n"/>
      <c r="R378" s="272" t="n"/>
      <c r="S378" s="272" t="n"/>
      <c r="T378" s="272" t="n"/>
      <c r="U378" s="275" t="n"/>
    </row>
    <row r="379" hidden="1" ht="15" customHeight="1">
      <c r="B379" s="104" t="inlineStr">
        <is>
          <t>Modification #145</t>
        </is>
      </c>
      <c r="C379" s="262" t="n"/>
      <c r="D379" s="262" t="n"/>
      <c r="E379" s="263" t="n"/>
      <c r="F379" s="345">
        <f>J379+Q379</f>
        <v/>
      </c>
      <c r="G379" s="262" t="n"/>
      <c r="H379" s="262" t="n"/>
      <c r="I379" s="263" t="n"/>
      <c r="J379" s="345">
        <f>L379+O379</f>
        <v/>
      </c>
      <c r="K379" s="263" t="n"/>
      <c r="L379" s="348" t="n"/>
      <c r="M379" s="272" t="n"/>
      <c r="N379" s="275" t="n"/>
      <c r="O379" s="348" t="n"/>
      <c r="P379" s="275" t="n"/>
      <c r="Q379" s="348" t="n"/>
      <c r="R379" s="272" t="n"/>
      <c r="S379" s="272" t="n"/>
      <c r="T379" s="272" t="n"/>
      <c r="U379" s="275" t="n"/>
    </row>
    <row r="380" hidden="1" ht="15" customHeight="1">
      <c r="B380" s="104" t="inlineStr">
        <is>
          <t>Modification #146</t>
        </is>
      </c>
      <c r="C380" s="262" t="n"/>
      <c r="D380" s="262" t="n"/>
      <c r="E380" s="263" t="n"/>
      <c r="F380" s="345">
        <f>J380+Q380</f>
        <v/>
      </c>
      <c r="G380" s="262" t="n"/>
      <c r="H380" s="262" t="n"/>
      <c r="I380" s="263" t="n"/>
      <c r="J380" s="345">
        <f>L380+O380</f>
        <v/>
      </c>
      <c r="K380" s="263" t="n"/>
      <c r="L380" s="348" t="n"/>
      <c r="M380" s="272" t="n"/>
      <c r="N380" s="275" t="n"/>
      <c r="O380" s="348" t="n"/>
      <c r="P380" s="275" t="n"/>
      <c r="Q380" s="348" t="n"/>
      <c r="R380" s="272" t="n"/>
      <c r="S380" s="272" t="n"/>
      <c r="T380" s="272" t="n"/>
      <c r="U380" s="275" t="n"/>
    </row>
    <row r="381" hidden="1" ht="15" customHeight="1">
      <c r="B381" s="104" t="inlineStr">
        <is>
          <t>Modification #147</t>
        </is>
      </c>
      <c r="C381" s="262" t="n"/>
      <c r="D381" s="262" t="n"/>
      <c r="E381" s="263" t="n"/>
      <c r="F381" s="345">
        <f>J381+Q381</f>
        <v/>
      </c>
      <c r="G381" s="262" t="n"/>
      <c r="H381" s="262" t="n"/>
      <c r="I381" s="263" t="n"/>
      <c r="J381" s="345">
        <f>L381+O381</f>
        <v/>
      </c>
      <c r="K381" s="263" t="n"/>
      <c r="L381" s="348" t="n"/>
      <c r="M381" s="272" t="n"/>
      <c r="N381" s="275" t="n"/>
      <c r="O381" s="348" t="n"/>
      <c r="P381" s="275" t="n"/>
      <c r="Q381" s="348" t="n"/>
      <c r="R381" s="272" t="n"/>
      <c r="S381" s="272" t="n"/>
      <c r="T381" s="272" t="n"/>
      <c r="U381" s="275" t="n"/>
    </row>
    <row r="382" hidden="1" ht="15" customHeight="1">
      <c r="B382" s="104" t="inlineStr">
        <is>
          <t>Modification #148</t>
        </is>
      </c>
      <c r="C382" s="262" t="n"/>
      <c r="D382" s="262" t="n"/>
      <c r="E382" s="263" t="n"/>
      <c r="F382" s="345">
        <f>J382+Q382</f>
        <v/>
      </c>
      <c r="G382" s="262" t="n"/>
      <c r="H382" s="262" t="n"/>
      <c r="I382" s="263" t="n"/>
      <c r="J382" s="345">
        <f>L382+O382</f>
        <v/>
      </c>
      <c r="K382" s="263" t="n"/>
      <c r="L382" s="348" t="n"/>
      <c r="M382" s="272" t="n"/>
      <c r="N382" s="275" t="n"/>
      <c r="O382" s="348" t="n"/>
      <c r="P382" s="275" t="n"/>
      <c r="Q382" s="348" t="n"/>
      <c r="R382" s="272" t="n"/>
      <c r="S382" s="272" t="n"/>
      <c r="T382" s="272" t="n"/>
      <c r="U382" s="275" t="n"/>
    </row>
    <row r="383" hidden="1" ht="15" customHeight="1">
      <c r="B383" s="104" t="inlineStr">
        <is>
          <t>Modification #149</t>
        </is>
      </c>
      <c r="C383" s="262" t="n"/>
      <c r="D383" s="262" t="n"/>
      <c r="E383" s="263" t="n"/>
      <c r="F383" s="345">
        <f>J383+Q383</f>
        <v/>
      </c>
      <c r="G383" s="262" t="n"/>
      <c r="H383" s="262" t="n"/>
      <c r="I383" s="263" t="n"/>
      <c r="J383" s="345">
        <f>L383+O383</f>
        <v/>
      </c>
      <c r="K383" s="263" t="n"/>
      <c r="L383" s="348" t="n"/>
      <c r="M383" s="272" t="n"/>
      <c r="N383" s="275" t="n"/>
      <c r="O383" s="348" t="n"/>
      <c r="P383" s="275" t="n"/>
      <c r="Q383" s="348" t="n"/>
      <c r="R383" s="272" t="n"/>
      <c r="S383" s="272" t="n"/>
      <c r="T383" s="272" t="n"/>
      <c r="U383" s="275" t="n"/>
    </row>
    <row r="384" hidden="1">
      <c r="B384" s="104" t="inlineStr">
        <is>
          <t>Modification #150</t>
        </is>
      </c>
      <c r="C384" s="262" t="n"/>
      <c r="D384" s="262" t="n"/>
      <c r="E384" s="263" t="n"/>
      <c r="F384" s="345">
        <f>J384+Q384</f>
        <v/>
      </c>
      <c r="G384" s="262" t="n"/>
      <c r="H384" s="262" t="n"/>
      <c r="I384" s="263" t="n"/>
      <c r="J384" s="345">
        <f>L384+O384</f>
        <v/>
      </c>
      <c r="K384" s="263" t="n"/>
      <c r="L384" s="348" t="n"/>
      <c r="M384" s="272" t="n"/>
      <c r="N384" s="275" t="n"/>
      <c r="O384" s="348" t="n"/>
      <c r="P384" s="275" t="n"/>
      <c r="Q384" s="348" t="n"/>
      <c r="R384" s="272" t="n"/>
      <c r="S384" s="272" t="n"/>
      <c r="T384" s="272" t="n"/>
      <c r="U384" s="275" t="n"/>
    </row>
    <row r="385">
      <c r="B385" s="211" t="inlineStr">
        <is>
          <t>Revised Amount</t>
        </is>
      </c>
      <c r="C385" s="262" t="n"/>
      <c r="D385" s="262" t="n"/>
      <c r="E385" s="263" t="n"/>
      <c r="F385" s="350">
        <f>SUM(F234:I384)</f>
        <v/>
      </c>
      <c r="G385" s="262" t="n"/>
      <c r="H385" s="262" t="n"/>
      <c r="I385" s="263" t="n"/>
      <c r="J385" s="350">
        <f>SUM(J234:K384)</f>
        <v/>
      </c>
      <c r="K385" s="263" t="n"/>
      <c r="L385" s="309">
        <f>SUM(L234:N384)</f>
        <v/>
      </c>
      <c r="M385" s="262" t="n"/>
      <c r="N385" s="263" t="n"/>
      <c r="O385" s="351">
        <f>SUM(O234:P384)</f>
        <v/>
      </c>
      <c r="P385" s="263" t="n"/>
      <c r="Q385" s="310">
        <f>SUM(Q234:U384)</f>
        <v/>
      </c>
      <c r="R385" s="262" t="n"/>
      <c r="S385" s="262" t="n"/>
      <c r="T385" s="262" t="n"/>
      <c r="U385" s="263" t="n"/>
    </row>
    <row r="386" ht="15.75" customHeight="1">
      <c r="B386" s="155" t="n"/>
      <c r="C386" s="155" t="n"/>
      <c r="D386" s="155" t="n"/>
      <c r="E386" s="155" t="n"/>
      <c r="F386" s="155" t="n"/>
      <c r="G386" s="155" t="n"/>
      <c r="H386" s="155" t="n"/>
      <c r="I386" s="155" t="n"/>
      <c r="J386" s="155" t="n"/>
      <c r="K386" s="155" t="n"/>
      <c r="L386" s="155" t="n"/>
      <c r="M386" s="155" t="n"/>
      <c r="N386" s="155" t="n"/>
      <c r="O386" s="155" t="n"/>
      <c r="P386" s="155" t="n"/>
      <c r="Q386" s="155" t="n"/>
      <c r="R386" s="155" t="n"/>
      <c r="S386" s="155" t="n"/>
      <c r="T386" s="155" t="n"/>
      <c r="U386" s="155" t="n"/>
    </row>
    <row r="387" ht="18.75" customHeight="1">
      <c r="B387" s="155" t="n"/>
      <c r="C387" s="155" t="n"/>
      <c r="D387" s="155" t="n"/>
      <c r="E387" s="155" t="n"/>
      <c r="F387" s="155" t="n"/>
      <c r="G387" s="155" t="n"/>
      <c r="H387" s="155" t="n"/>
      <c r="I387" s="155" t="n"/>
      <c r="J387" s="155" t="n"/>
      <c r="K387" s="155" t="n"/>
      <c r="L387" s="155" t="n"/>
      <c r="M387" s="155" t="n"/>
      <c r="N387" s="155" t="n"/>
      <c r="O387" s="155" t="n"/>
      <c r="P387" s="155" t="n"/>
      <c r="Q387" s="155" t="n"/>
      <c r="R387" s="155" t="n"/>
      <c r="S387" s="155" t="n"/>
      <c r="T387" s="155" t="n"/>
      <c r="U387" s="155" t="n"/>
    </row>
    <row r="1048572" ht="9" customHeight="1"/>
    <row r="1048573" ht="13.5" customHeight="1"/>
    <row r="1048574" ht="14.25" customHeight="1"/>
  </sheetData>
  <mergeCells count="1644">
    <mergeCell ref="Q199:U199"/>
    <mergeCell ref="B372:E372"/>
    <mergeCell ref="F353:I353"/>
    <mergeCell ref="H109:J109"/>
    <mergeCell ref="B374:E374"/>
    <mergeCell ref="J288:K288"/>
    <mergeCell ref="H75:J75"/>
    <mergeCell ref="Q200:U200"/>
    <mergeCell ref="Q194:U194"/>
    <mergeCell ref="L271:N271"/>
    <mergeCell ref="H111:J111"/>
    <mergeCell ref="Q202:U202"/>
    <mergeCell ref="H104:J104"/>
    <mergeCell ref="T51:U51"/>
    <mergeCell ref="D129:F129"/>
    <mergeCell ref="E11:L11"/>
    <mergeCell ref="B244:E244"/>
    <mergeCell ref="D190:F190"/>
    <mergeCell ref="Q341:U341"/>
    <mergeCell ref="L268:N268"/>
    <mergeCell ref="D183:F183"/>
    <mergeCell ref="F247:I247"/>
    <mergeCell ref="J347:K347"/>
    <mergeCell ref="D219:F219"/>
    <mergeCell ref="P6:U6"/>
    <mergeCell ref="G59:H59"/>
    <mergeCell ref="B298:E298"/>
    <mergeCell ref="H164:J164"/>
    <mergeCell ref="D185:F185"/>
    <mergeCell ref="F249:I249"/>
    <mergeCell ref="J349:K349"/>
    <mergeCell ref="Q124:U124"/>
    <mergeCell ref="Q238:U238"/>
    <mergeCell ref="Q213:U213"/>
    <mergeCell ref="L284:N284"/>
    <mergeCell ref="D214:F214"/>
    <mergeCell ref="T35:U35"/>
    <mergeCell ref="F278:I278"/>
    <mergeCell ref="Q126:U126"/>
    <mergeCell ref="J344:K344"/>
    <mergeCell ref="L286:N286"/>
    <mergeCell ref="D201:F201"/>
    <mergeCell ref="J375:K375"/>
    <mergeCell ref="F267:I267"/>
    <mergeCell ref="O292:P292"/>
    <mergeCell ref="L287:N287"/>
    <mergeCell ref="L281:N281"/>
    <mergeCell ref="J246:K246"/>
    <mergeCell ref="H175:J175"/>
    <mergeCell ref="Q108:U108"/>
    <mergeCell ref="Q266:U266"/>
    <mergeCell ref="Q144:U144"/>
    <mergeCell ref="O374:P374"/>
    <mergeCell ref="L312:N312"/>
    <mergeCell ref="J248:K248"/>
    <mergeCell ref="F262:I262"/>
    <mergeCell ref="H176:J176"/>
    <mergeCell ref="Q268:U268"/>
    <mergeCell ref="E18:F18"/>
    <mergeCell ref="O382:P382"/>
    <mergeCell ref="Q139:U139"/>
    <mergeCell ref="H178:J178"/>
    <mergeCell ref="O375:P375"/>
    <mergeCell ref="B316:E316"/>
    <mergeCell ref="F293:I293"/>
    <mergeCell ref="O377:P377"/>
    <mergeCell ref="B368:E368"/>
    <mergeCell ref="H203:J203"/>
    <mergeCell ref="Q284:U284"/>
    <mergeCell ref="H105:J105"/>
    <mergeCell ref="B370:E370"/>
    <mergeCell ref="H71:J71"/>
    <mergeCell ref="H107:J107"/>
    <mergeCell ref="Q279:U279"/>
    <mergeCell ref="J292:K292"/>
    <mergeCell ref="J286:K286"/>
    <mergeCell ref="J302:K302"/>
    <mergeCell ref="O359:P359"/>
    <mergeCell ref="Q281:U281"/>
    <mergeCell ref="I51:J51"/>
    <mergeCell ref="H102:J102"/>
    <mergeCell ref="L351:N351"/>
    <mergeCell ref="J287:K287"/>
    <mergeCell ref="L264:N264"/>
    <mergeCell ref="L239:N239"/>
    <mergeCell ref="H133:J133"/>
    <mergeCell ref="F333:I333"/>
    <mergeCell ref="L353:N353"/>
    <mergeCell ref="J318:K318"/>
    <mergeCell ref="J312:K312"/>
    <mergeCell ref="F362:I362"/>
    <mergeCell ref="B383:E383"/>
    <mergeCell ref="J320:K320"/>
    <mergeCell ref="J314:K314"/>
    <mergeCell ref="H128:J128"/>
    <mergeCell ref="Q209:U209"/>
    <mergeCell ref="C55:D55"/>
    <mergeCell ref="J313:K313"/>
    <mergeCell ref="L255:N255"/>
    <mergeCell ref="F363:I363"/>
    <mergeCell ref="Q211:U211"/>
    <mergeCell ref="J315:K315"/>
    <mergeCell ref="F365:I365"/>
    <mergeCell ref="B259:E259"/>
    <mergeCell ref="L250:N250"/>
    <mergeCell ref="C52:D52"/>
    <mergeCell ref="L283:N283"/>
    <mergeCell ref="L277:N277"/>
    <mergeCell ref="H146:J146"/>
    <mergeCell ref="C37:D37"/>
    <mergeCell ref="Q352:U352"/>
    <mergeCell ref="J244:K244"/>
    <mergeCell ref="K61:N61"/>
    <mergeCell ref="Q351:U351"/>
    <mergeCell ref="O283:P283"/>
    <mergeCell ref="Q264:U264"/>
    <mergeCell ref="Q239:U239"/>
    <mergeCell ref="L310:N310"/>
    <mergeCell ref="Q353:U353"/>
    <mergeCell ref="H63:U63"/>
    <mergeCell ref="F260:I260"/>
    <mergeCell ref="O285:P285"/>
    <mergeCell ref="D166:F166"/>
    <mergeCell ref="H174:J174"/>
    <mergeCell ref="D168:F168"/>
    <mergeCell ref="F289:I289"/>
    <mergeCell ref="L311:N311"/>
    <mergeCell ref="J384:K384"/>
    <mergeCell ref="F320:I320"/>
    <mergeCell ref="O301:P301"/>
    <mergeCell ref="L296:N296"/>
    <mergeCell ref="J255:K255"/>
    <mergeCell ref="R41:S41"/>
    <mergeCell ref="H200:J200"/>
    <mergeCell ref="H78:J78"/>
    <mergeCell ref="Q275:U275"/>
    <mergeCell ref="Q250:U250"/>
    <mergeCell ref="F321:I321"/>
    <mergeCell ref="R43:S43"/>
    <mergeCell ref="F315:I315"/>
    <mergeCell ref="H202:J202"/>
    <mergeCell ref="D96:F96"/>
    <mergeCell ref="Q277:U277"/>
    <mergeCell ref="H73:J73"/>
    <mergeCell ref="L322:N322"/>
    <mergeCell ref="D91:F91"/>
    <mergeCell ref="R59:S59"/>
    <mergeCell ref="O329:P329"/>
    <mergeCell ref="L349:N349"/>
    <mergeCell ref="L324:N324"/>
    <mergeCell ref="D93:F93"/>
    <mergeCell ref="Q303:U303"/>
    <mergeCell ref="H124:J124"/>
    <mergeCell ref="M14:O14"/>
    <mergeCell ref="J309:K309"/>
    <mergeCell ref="H213:J213"/>
    <mergeCell ref="O226:P226"/>
    <mergeCell ref="H126:J126"/>
    <mergeCell ref="L375:N375"/>
    <mergeCell ref="H215:J215"/>
    <mergeCell ref="J311:K311"/>
    <mergeCell ref="B353:E353"/>
    <mergeCell ref="D109:F109"/>
    <mergeCell ref="F361:I361"/>
    <mergeCell ref="I35:J35"/>
    <mergeCell ref="L246:N246"/>
    <mergeCell ref="L377:N377"/>
    <mergeCell ref="D111:F111"/>
    <mergeCell ref="L248:N248"/>
    <mergeCell ref="D104:F104"/>
    <mergeCell ref="B232:E233"/>
    <mergeCell ref="H108:J108"/>
    <mergeCell ref="H144:J144"/>
    <mergeCell ref="Q322:U322"/>
    <mergeCell ref="O254:P254"/>
    <mergeCell ref="J329:K329"/>
    <mergeCell ref="O256:P256"/>
    <mergeCell ref="H139:J139"/>
    <mergeCell ref="C59:D59"/>
    <mergeCell ref="D164:F164"/>
    <mergeCell ref="B276:E276"/>
    <mergeCell ref="B278:E278"/>
    <mergeCell ref="O272:P272"/>
    <mergeCell ref="Q375:U375"/>
    <mergeCell ref="G41:H41"/>
    <mergeCell ref="O274:P274"/>
    <mergeCell ref="Q246:U246"/>
    <mergeCell ref="R39:S39"/>
    <mergeCell ref="J350:K350"/>
    <mergeCell ref="F311:I311"/>
    <mergeCell ref="G43:H43"/>
    <mergeCell ref="O267:P267"/>
    <mergeCell ref="Q248:U248"/>
    <mergeCell ref="J352:K352"/>
    <mergeCell ref="G36:H36"/>
    <mergeCell ref="D175:F175"/>
    <mergeCell ref="O269:P269"/>
    <mergeCell ref="L318:N318"/>
    <mergeCell ref="B296:E296"/>
    <mergeCell ref="L320:N320"/>
    <mergeCell ref="L314:N314"/>
    <mergeCell ref="D176:F176"/>
    <mergeCell ref="Q88:U88"/>
    <mergeCell ref="O327:P327"/>
    <mergeCell ref="B291:E291"/>
    <mergeCell ref="Q90:U90"/>
    <mergeCell ref="R50:S50"/>
    <mergeCell ref="B293:E293"/>
    <mergeCell ref="H209:J209"/>
    <mergeCell ref="H184:J184"/>
    <mergeCell ref="O356:P356"/>
    <mergeCell ref="B322:E322"/>
    <mergeCell ref="F330:I330"/>
    <mergeCell ref="D203:F203"/>
    <mergeCell ref="Q119:U119"/>
    <mergeCell ref="F324:I324"/>
    <mergeCell ref="H211:J211"/>
    <mergeCell ref="B349:E349"/>
    <mergeCell ref="Q302:U302"/>
    <mergeCell ref="Q116:U116"/>
    <mergeCell ref="P18:S18"/>
    <mergeCell ref="B344:E344"/>
    <mergeCell ref="D75:F75"/>
    <mergeCell ref="O338:P338"/>
    <mergeCell ref="L333:N333"/>
    <mergeCell ref="E51:F51"/>
    <mergeCell ref="D102:F102"/>
    <mergeCell ref="O340:P340"/>
    <mergeCell ref="Q318:U318"/>
    <mergeCell ref="D133:F133"/>
    <mergeCell ref="O252:P252"/>
    <mergeCell ref="Q314:U314"/>
    <mergeCell ref="I42:J42"/>
    <mergeCell ref="O341:P341"/>
    <mergeCell ref="B248:E248"/>
    <mergeCell ref="B62:D62"/>
    <mergeCell ref="I52:J52"/>
    <mergeCell ref="B362:E362"/>
    <mergeCell ref="L359:N359"/>
    <mergeCell ref="I44:J44"/>
    <mergeCell ref="D128:F128"/>
    <mergeCell ref="B249:E249"/>
    <mergeCell ref="B243:E243"/>
    <mergeCell ref="B363:E363"/>
    <mergeCell ref="J294:K294"/>
    <mergeCell ref="Q77:U77"/>
    <mergeCell ref="J382:K382"/>
    <mergeCell ref="O263:P263"/>
    <mergeCell ref="E8:L8"/>
    <mergeCell ref="J348:K348"/>
    <mergeCell ref="D146:F146"/>
    <mergeCell ref="O265:P265"/>
    <mergeCell ref="E10:L10"/>
    <mergeCell ref="H228:U228"/>
    <mergeCell ref="B287:E287"/>
    <mergeCell ref="B262:E262"/>
    <mergeCell ref="F238:I238"/>
    <mergeCell ref="D174:F174"/>
    <mergeCell ref="Q359:U359"/>
    <mergeCell ref="O291:P291"/>
    <mergeCell ref="C32:D34"/>
    <mergeCell ref="B289:E289"/>
    <mergeCell ref="H180:J180"/>
    <mergeCell ref="F240:I240"/>
    <mergeCell ref="G60:H60"/>
    <mergeCell ref="O293:P293"/>
    <mergeCell ref="L285:N285"/>
    <mergeCell ref="B313:E313"/>
    <mergeCell ref="D200:F200"/>
    <mergeCell ref="D78:F78"/>
    <mergeCell ref="B315:E315"/>
    <mergeCell ref="D71:F71"/>
    <mergeCell ref="D202:F202"/>
    <mergeCell ref="F266:I266"/>
    <mergeCell ref="Q141:U141"/>
    <mergeCell ref="D73:F73"/>
    <mergeCell ref="J237:K237"/>
    <mergeCell ref="Q143:U143"/>
    <mergeCell ref="J239:K239"/>
    <mergeCell ref="B25:D25"/>
    <mergeCell ref="O337:P337"/>
    <mergeCell ref="O331:P331"/>
    <mergeCell ref="B333:E333"/>
    <mergeCell ref="O366:P366"/>
    <mergeCell ref="D124:F124"/>
    <mergeCell ref="L357:N357"/>
    <mergeCell ref="J263:K263"/>
    <mergeCell ref="D213:F213"/>
    <mergeCell ref="B239:E239"/>
    <mergeCell ref="Q125:U125"/>
    <mergeCell ref="Q283:U283"/>
    <mergeCell ref="D126:F126"/>
    <mergeCell ref="D215:F215"/>
    <mergeCell ref="F279:I279"/>
    <mergeCell ref="Q127:U127"/>
    <mergeCell ref="O363:P363"/>
    <mergeCell ref="Q154:U154"/>
    <mergeCell ref="E35:F35"/>
    <mergeCell ref="Q285:U285"/>
    <mergeCell ref="F281:I281"/>
    <mergeCell ref="O234:P234"/>
    <mergeCell ref="F367:I367"/>
    <mergeCell ref="Q156:U156"/>
    <mergeCell ref="O236:P236"/>
    <mergeCell ref="L226:N226"/>
    <mergeCell ref="B258:E258"/>
    <mergeCell ref="L222:M222"/>
    <mergeCell ref="Q296:U296"/>
    <mergeCell ref="D139:F139"/>
    <mergeCell ref="H117:J117"/>
    <mergeCell ref="B260:E260"/>
    <mergeCell ref="O376:P376"/>
    <mergeCell ref="Q357:U357"/>
    <mergeCell ref="I33:J34"/>
    <mergeCell ref="H119:J119"/>
    <mergeCell ref="O378:P378"/>
    <mergeCell ref="C41:D41"/>
    <mergeCell ref="D165:F165"/>
    <mergeCell ref="C43:D43"/>
    <mergeCell ref="J331:K331"/>
    <mergeCell ref="C36:D36"/>
    <mergeCell ref="Q226:U226"/>
    <mergeCell ref="Q70:U70"/>
    <mergeCell ref="O300:P300"/>
    <mergeCell ref="G44:H44"/>
    <mergeCell ref="J259:K259"/>
    <mergeCell ref="H163:J163"/>
    <mergeCell ref="D209:F209"/>
    <mergeCell ref="L302:N302"/>
    <mergeCell ref="B330:E330"/>
    <mergeCell ref="B324:E324"/>
    <mergeCell ref="J261:K261"/>
    <mergeCell ref="D211:F211"/>
    <mergeCell ref="F275:I275"/>
    <mergeCell ref="J254:K254"/>
    <mergeCell ref="H77:J77"/>
    <mergeCell ref="F277:I277"/>
    <mergeCell ref="F304:I304"/>
    <mergeCell ref="Q152:U152"/>
    <mergeCell ref="J256:K256"/>
    <mergeCell ref="F276:I276"/>
    <mergeCell ref="F306:I306"/>
    <mergeCell ref="L328:N328"/>
    <mergeCell ref="B352:E352"/>
    <mergeCell ref="D108:F108"/>
    <mergeCell ref="F303:I303"/>
    <mergeCell ref="J272:K272"/>
    <mergeCell ref="E50:F50"/>
    <mergeCell ref="H89:J89"/>
    <mergeCell ref="Q292:U292"/>
    <mergeCell ref="J274:K274"/>
    <mergeCell ref="H88:J88"/>
    <mergeCell ref="F288:I288"/>
    <mergeCell ref="E52:F52"/>
    <mergeCell ref="E44:F44"/>
    <mergeCell ref="Q294:U294"/>
    <mergeCell ref="H90:J90"/>
    <mergeCell ref="Q165:U165"/>
    <mergeCell ref="J269:K269"/>
    <mergeCell ref="Q181:U181"/>
    <mergeCell ref="L252:N252"/>
    <mergeCell ref="L366:N366"/>
    <mergeCell ref="B63:D63"/>
    <mergeCell ref="J300:K300"/>
    <mergeCell ref="M15:O16"/>
    <mergeCell ref="L237:N237"/>
    <mergeCell ref="T17:U17"/>
    <mergeCell ref="Q320:U320"/>
    <mergeCell ref="E228:F228"/>
    <mergeCell ref="F322:I322"/>
    <mergeCell ref="Q191:U191"/>
    <mergeCell ref="T19:U19"/>
    <mergeCell ref="T46:U46"/>
    <mergeCell ref="Q163:U163"/>
    <mergeCell ref="I50:J50"/>
    <mergeCell ref="H143:J143"/>
    <mergeCell ref="J328:K328"/>
    <mergeCell ref="F264:I264"/>
    <mergeCell ref="T48:U48"/>
    <mergeCell ref="L263:N263"/>
    <mergeCell ref="T14:U14"/>
    <mergeCell ref="B241:E241"/>
    <mergeCell ref="L265:N265"/>
    <mergeCell ref="H159:J159"/>
    <mergeCell ref="D180:F180"/>
    <mergeCell ref="B295:E295"/>
    <mergeCell ref="F246:I246"/>
    <mergeCell ref="Q333:U333"/>
    <mergeCell ref="J346:K346"/>
    <mergeCell ref="L266:N266"/>
    <mergeCell ref="J340:K340"/>
    <mergeCell ref="Q252:U252"/>
    <mergeCell ref="H154:J154"/>
    <mergeCell ref="Q366:U366"/>
    <mergeCell ref="F248:I248"/>
    <mergeCell ref="Q123:U123"/>
    <mergeCell ref="H162:J162"/>
    <mergeCell ref="J252:K252"/>
    <mergeCell ref="H156:J156"/>
    <mergeCell ref="O32:U32"/>
    <mergeCell ref="J341:K341"/>
    <mergeCell ref="J377:K377"/>
    <mergeCell ref="F243:I243"/>
    <mergeCell ref="H157:J157"/>
    <mergeCell ref="Q263:U263"/>
    <mergeCell ref="F328:I328"/>
    <mergeCell ref="H84:J84"/>
    <mergeCell ref="Q265:U265"/>
    <mergeCell ref="H86:J86"/>
    <mergeCell ref="J271:K271"/>
    <mergeCell ref="J265:K265"/>
    <mergeCell ref="R51:S51"/>
    <mergeCell ref="L337:N337"/>
    <mergeCell ref="F287:I287"/>
    <mergeCell ref="Q105:U105"/>
    <mergeCell ref="L339:N339"/>
    <mergeCell ref="B367:E367"/>
    <mergeCell ref="F318:I318"/>
    <mergeCell ref="Q107:U107"/>
    <mergeCell ref="F312:I312"/>
    <mergeCell ref="J291:K291"/>
    <mergeCell ref="I46:J46"/>
    <mergeCell ref="F347:I347"/>
    <mergeCell ref="F341:I341"/>
    <mergeCell ref="Q195:U195"/>
    <mergeCell ref="J293:K293"/>
    <mergeCell ref="F313:I313"/>
    <mergeCell ref="N68:N69"/>
    <mergeCell ref="F349:I349"/>
    <mergeCell ref="H99:J99"/>
    <mergeCell ref="T10:U10"/>
    <mergeCell ref="B237:E237"/>
    <mergeCell ref="L365:N365"/>
    <mergeCell ref="I41:J41"/>
    <mergeCell ref="Q190:U190"/>
    <mergeCell ref="H101:J101"/>
    <mergeCell ref="D117:F117"/>
    <mergeCell ref="L350:N350"/>
    <mergeCell ref="I43:J43"/>
    <mergeCell ref="F344:I344"/>
    <mergeCell ref="B238:E238"/>
    <mergeCell ref="L352:N352"/>
    <mergeCell ref="B240:E240"/>
    <mergeCell ref="F369:I369"/>
    <mergeCell ref="H125:J125"/>
    <mergeCell ref="Q337:U337"/>
    <mergeCell ref="Q331:U331"/>
    <mergeCell ref="I59:J59"/>
    <mergeCell ref="H127:J127"/>
    <mergeCell ref="Q330:U330"/>
    <mergeCell ref="L376:N376"/>
    <mergeCell ref="F273:I273"/>
    <mergeCell ref="T57:U57"/>
    <mergeCell ref="B229:D229"/>
    <mergeCell ref="Q332:U332"/>
    <mergeCell ref="F239:I239"/>
    <mergeCell ref="D145:F145"/>
    <mergeCell ref="J339:K339"/>
    <mergeCell ref="L378:N378"/>
    <mergeCell ref="J366:K366"/>
    <mergeCell ref="L280:N280"/>
    <mergeCell ref="T58:U58"/>
    <mergeCell ref="T54:U54"/>
    <mergeCell ref="F359:I359"/>
    <mergeCell ref="C44:D44"/>
    <mergeCell ref="J363:K363"/>
    <mergeCell ref="O280:P280"/>
    <mergeCell ref="J234:K234"/>
    <mergeCell ref="J365:K365"/>
    <mergeCell ref="Q350:U350"/>
    <mergeCell ref="O282:P282"/>
    <mergeCell ref="H171:J171"/>
    <mergeCell ref="J236:K236"/>
    <mergeCell ref="L300:N300"/>
    <mergeCell ref="H165:J165"/>
    <mergeCell ref="G51:H51"/>
    <mergeCell ref="H181:J181"/>
    <mergeCell ref="B250:E250"/>
    <mergeCell ref="L308:N308"/>
    <mergeCell ref="M68:M69"/>
    <mergeCell ref="D77:F77"/>
    <mergeCell ref="B304:E304"/>
    <mergeCell ref="Q376:U376"/>
    <mergeCell ref="R38:S38"/>
    <mergeCell ref="O308:P308"/>
    <mergeCell ref="J383:K383"/>
    <mergeCell ref="L303:N303"/>
    <mergeCell ref="D72:F72"/>
    <mergeCell ref="J376:K376"/>
    <mergeCell ref="Q378:U378"/>
    <mergeCell ref="R40:S40"/>
    <mergeCell ref="O310:P310"/>
    <mergeCell ref="B28:G28"/>
    <mergeCell ref="H199:J199"/>
    <mergeCell ref="J378:K378"/>
    <mergeCell ref="F314:I314"/>
    <mergeCell ref="B24:D24"/>
    <mergeCell ref="D89:F89"/>
    <mergeCell ref="B332:E332"/>
    <mergeCell ref="D88:F88"/>
    <mergeCell ref="I39:J39"/>
    <mergeCell ref="L356:N356"/>
    <mergeCell ref="D90:F90"/>
    <mergeCell ref="Q300:U300"/>
    <mergeCell ref="H121:J121"/>
    <mergeCell ref="H225:K226"/>
    <mergeCell ref="H123:J123"/>
    <mergeCell ref="Q301:U301"/>
    <mergeCell ref="L372:N372"/>
    <mergeCell ref="J308:K308"/>
    <mergeCell ref="O225:P225"/>
    <mergeCell ref="B31:U31"/>
    <mergeCell ref="Q328:U328"/>
    <mergeCell ref="O235:P235"/>
    <mergeCell ref="B343:E343"/>
    <mergeCell ref="L374:N374"/>
    <mergeCell ref="O227:P227"/>
    <mergeCell ref="Q142:U142"/>
    <mergeCell ref="D143:F143"/>
    <mergeCell ref="B345:E345"/>
    <mergeCell ref="I58:J58"/>
    <mergeCell ref="B264:E264"/>
    <mergeCell ref="Q171:U171"/>
    <mergeCell ref="O251:P251"/>
    <mergeCell ref="F384:I384"/>
    <mergeCell ref="Q173:U173"/>
    <mergeCell ref="F378:I378"/>
    <mergeCell ref="H134:J134"/>
    <mergeCell ref="D159:F159"/>
    <mergeCell ref="T56:U56"/>
    <mergeCell ref="O253:P253"/>
    <mergeCell ref="Q356:U356"/>
    <mergeCell ref="L245:N245"/>
    <mergeCell ref="B246:E246"/>
    <mergeCell ref="Q227:U227"/>
    <mergeCell ref="D154:F154"/>
    <mergeCell ref="F381:I381"/>
    <mergeCell ref="B275:E275"/>
    <mergeCell ref="D162:F162"/>
    <mergeCell ref="D156:F156"/>
    <mergeCell ref="Q372:U372"/>
    <mergeCell ref="L299:N299"/>
    <mergeCell ref="G38:H38"/>
    <mergeCell ref="B277:E277"/>
    <mergeCell ref="Q103:U103"/>
    <mergeCell ref="Q374:U374"/>
    <mergeCell ref="R36:S36"/>
    <mergeCell ref="O306:P306"/>
    <mergeCell ref="D157:F157"/>
    <mergeCell ref="E9:L9"/>
    <mergeCell ref="Q367:U367"/>
    <mergeCell ref="O335:P335"/>
    <mergeCell ref="Q98:U98"/>
    <mergeCell ref="D182:F182"/>
    <mergeCell ref="Q369:U369"/>
    <mergeCell ref="G35:H35"/>
    <mergeCell ref="B328:E328"/>
    <mergeCell ref="C53:D53"/>
    <mergeCell ref="D86:F86"/>
    <mergeCell ref="B288:E288"/>
    <mergeCell ref="Q87:U87"/>
    <mergeCell ref="O317:P317"/>
    <mergeCell ref="Q245:U245"/>
    <mergeCell ref="R57:S57"/>
    <mergeCell ref="O325:P325"/>
    <mergeCell ref="R49:S49"/>
    <mergeCell ref="O319:P319"/>
    <mergeCell ref="H208:J208"/>
    <mergeCell ref="Q82:U82"/>
    <mergeCell ref="N224:O224"/>
    <mergeCell ref="Q118:U118"/>
    <mergeCell ref="O354:P354"/>
    <mergeCell ref="O348:P348"/>
    <mergeCell ref="O320:P320"/>
    <mergeCell ref="Q113:U113"/>
    <mergeCell ref="E46:F46"/>
    <mergeCell ref="B347:E347"/>
    <mergeCell ref="B341:E341"/>
    <mergeCell ref="D99:F99"/>
    <mergeCell ref="E41:F41"/>
    <mergeCell ref="B342:E342"/>
    <mergeCell ref="Q169:U169"/>
    <mergeCell ref="J273:K273"/>
    <mergeCell ref="D101:F101"/>
    <mergeCell ref="E43:F43"/>
    <mergeCell ref="B61:D61"/>
    <mergeCell ref="I49:J49"/>
    <mergeCell ref="B359:E359"/>
    <mergeCell ref="Q164:U164"/>
    <mergeCell ref="B369:E369"/>
    <mergeCell ref="T47:U47"/>
    <mergeCell ref="D125:F125"/>
    <mergeCell ref="F377:I377"/>
    <mergeCell ref="K29:U29"/>
    <mergeCell ref="D127:F127"/>
    <mergeCell ref="Q197:U197"/>
    <mergeCell ref="Q180:U180"/>
    <mergeCell ref="J284:K284"/>
    <mergeCell ref="Q188:U188"/>
    <mergeCell ref="O262:P262"/>
    <mergeCell ref="Q208:U208"/>
    <mergeCell ref="D181:F181"/>
    <mergeCell ref="F245:I245"/>
    <mergeCell ref="Q210:U210"/>
    <mergeCell ref="F237:I237"/>
    <mergeCell ref="G57:H57"/>
    <mergeCell ref="D196:F196"/>
    <mergeCell ref="Q122:U122"/>
    <mergeCell ref="R55:S55"/>
    <mergeCell ref="Q78:U78"/>
    <mergeCell ref="L282:N282"/>
    <mergeCell ref="G58:H58"/>
    <mergeCell ref="Q80:U80"/>
    <mergeCell ref="O316:P316"/>
    <mergeCell ref="D191:F191"/>
    <mergeCell ref="B312:E312"/>
    <mergeCell ref="D199:F199"/>
    <mergeCell ref="F263:I263"/>
    <mergeCell ref="Q138:U138"/>
    <mergeCell ref="B314:E314"/>
    <mergeCell ref="Q104:U104"/>
    <mergeCell ref="Q140:U140"/>
    <mergeCell ref="H173:J173"/>
    <mergeCell ref="D194:F194"/>
    <mergeCell ref="F258:I258"/>
    <mergeCell ref="J358:K358"/>
    <mergeCell ref="Q106:U106"/>
    <mergeCell ref="Q133:U133"/>
    <mergeCell ref="F294:I294"/>
    <mergeCell ref="Q135:U135"/>
    <mergeCell ref="B365:E365"/>
    <mergeCell ref="L301:N301"/>
    <mergeCell ref="O373:P373"/>
    <mergeCell ref="Q280:U280"/>
    <mergeCell ref="Q282:U282"/>
    <mergeCell ref="H103:J103"/>
    <mergeCell ref="B6:L6"/>
    <mergeCell ref="O362:P362"/>
    <mergeCell ref="Q153:U153"/>
    <mergeCell ref="J282:K282"/>
    <mergeCell ref="E58:F58"/>
    <mergeCell ref="L354:N354"/>
    <mergeCell ref="J290:K290"/>
    <mergeCell ref="O385:P385"/>
    <mergeCell ref="H98:J98"/>
    <mergeCell ref="O357:P357"/>
    <mergeCell ref="L232:N233"/>
    <mergeCell ref="L225:N225"/>
    <mergeCell ref="L347:N347"/>
    <mergeCell ref="B384:E384"/>
    <mergeCell ref="B378:E378"/>
    <mergeCell ref="L227:N227"/>
    <mergeCell ref="J285:K285"/>
    <mergeCell ref="H131:J131"/>
    <mergeCell ref="H87:J87"/>
    <mergeCell ref="Q206:U206"/>
    <mergeCell ref="J316:K316"/>
    <mergeCell ref="J310:K310"/>
    <mergeCell ref="F360:I360"/>
    <mergeCell ref="C51:D51"/>
    <mergeCell ref="L251:N251"/>
    <mergeCell ref="H116:J116"/>
    <mergeCell ref="B381:E381"/>
    <mergeCell ref="J301:K301"/>
    <mergeCell ref="H82:J82"/>
    <mergeCell ref="Q207:U207"/>
    <mergeCell ref="M12:O13"/>
    <mergeCell ref="L278:N278"/>
    <mergeCell ref="L253:N253"/>
    <mergeCell ref="C38:D38"/>
    <mergeCell ref="H113:J113"/>
    <mergeCell ref="F259:I259"/>
    <mergeCell ref="B257:E257"/>
    <mergeCell ref="L273:N273"/>
    <mergeCell ref="H142:J142"/>
    <mergeCell ref="F261:I261"/>
    <mergeCell ref="T45:U45"/>
    <mergeCell ref="Q348:U348"/>
    <mergeCell ref="C35:D35"/>
    <mergeCell ref="Q232:U233"/>
    <mergeCell ref="Q225:U225"/>
    <mergeCell ref="Q347:U347"/>
    <mergeCell ref="F254:I254"/>
    <mergeCell ref="J354:K354"/>
    <mergeCell ref="F290:I290"/>
    <mergeCell ref="F343:I343"/>
    <mergeCell ref="L306:N306"/>
    <mergeCell ref="Q349:U349"/>
    <mergeCell ref="F256:I256"/>
    <mergeCell ref="Q131:U131"/>
    <mergeCell ref="L297:N297"/>
    <mergeCell ref="L291:N291"/>
    <mergeCell ref="F285:I285"/>
    <mergeCell ref="P68:P69"/>
    <mergeCell ref="Q276:U276"/>
    <mergeCell ref="Q251:U251"/>
    <mergeCell ref="L293:N293"/>
    <mergeCell ref="J380:K380"/>
    <mergeCell ref="F272:I272"/>
    <mergeCell ref="L292:N292"/>
    <mergeCell ref="Q278:U278"/>
    <mergeCell ref="J251:K251"/>
    <mergeCell ref="H74:J74"/>
    <mergeCell ref="F274:I274"/>
    <mergeCell ref="O299:P299"/>
    <mergeCell ref="L294:N294"/>
    <mergeCell ref="Q271:U271"/>
    <mergeCell ref="H188:J188"/>
    <mergeCell ref="J253:K253"/>
    <mergeCell ref="Q273:U273"/>
    <mergeCell ref="L319:N319"/>
    <mergeCell ref="F269:I269"/>
    <mergeCell ref="O353:P353"/>
    <mergeCell ref="E61:J61"/>
    <mergeCell ref="F300:I300"/>
    <mergeCell ref="F329:I329"/>
    <mergeCell ref="E49:F49"/>
    <mergeCell ref="Q299:U299"/>
    <mergeCell ref="H216:J216"/>
    <mergeCell ref="H210:J210"/>
    <mergeCell ref="F301:I301"/>
    <mergeCell ref="Q291:U291"/>
    <mergeCell ref="F295:I295"/>
    <mergeCell ref="F356:I356"/>
    <mergeCell ref="F331:I331"/>
    <mergeCell ref="Q170:U170"/>
    <mergeCell ref="H122:J122"/>
    <mergeCell ref="Q293:U293"/>
    <mergeCell ref="Q172:U172"/>
    <mergeCell ref="L249:N249"/>
    <mergeCell ref="D105:F105"/>
    <mergeCell ref="L363:N363"/>
    <mergeCell ref="L338:N338"/>
    <mergeCell ref="L373:N373"/>
    <mergeCell ref="D107:F107"/>
    <mergeCell ref="Q317:U317"/>
    <mergeCell ref="L244:N244"/>
    <mergeCell ref="H138:J138"/>
    <mergeCell ref="Q319:U319"/>
    <mergeCell ref="H140:J140"/>
    <mergeCell ref="T9:U9"/>
    <mergeCell ref="J325:K325"/>
    <mergeCell ref="Q312:U312"/>
    <mergeCell ref="J319:K319"/>
    <mergeCell ref="O242:P242"/>
    <mergeCell ref="F375:I375"/>
    <mergeCell ref="T11:U11"/>
    <mergeCell ref="J327:K327"/>
    <mergeCell ref="H141:J141"/>
    <mergeCell ref="F368:I368"/>
    <mergeCell ref="H135:J135"/>
    <mergeCell ref="Q216:U216"/>
    <mergeCell ref="L384:N384"/>
    <mergeCell ref="L262:N262"/>
    <mergeCell ref="J356:K356"/>
    <mergeCell ref="Q218:U218"/>
    <mergeCell ref="C57:D57"/>
    <mergeCell ref="Q243:U243"/>
    <mergeCell ref="Q363:U363"/>
    <mergeCell ref="C58:D58"/>
    <mergeCell ref="O270:P270"/>
    <mergeCell ref="Q33:Q34"/>
    <mergeCell ref="L290:N290"/>
    <mergeCell ref="Q242:U242"/>
    <mergeCell ref="H153:J153"/>
    <mergeCell ref="G39:H39"/>
    <mergeCell ref="J338:K338"/>
    <mergeCell ref="Q244:U244"/>
    <mergeCell ref="O290:P290"/>
    <mergeCell ref="B292:E292"/>
    <mergeCell ref="D173:F173"/>
    <mergeCell ref="L316:N316"/>
    <mergeCell ref="B294:E294"/>
    <mergeCell ref="H179:J179"/>
    <mergeCell ref="Q84:U84"/>
    <mergeCell ref="R53:S53"/>
    <mergeCell ref="F325:I325"/>
    <mergeCell ref="B16:G16"/>
    <mergeCell ref="H212:J212"/>
    <mergeCell ref="Q86:U86"/>
    <mergeCell ref="Q384:U384"/>
    <mergeCell ref="R46:S46"/>
    <mergeCell ref="Q262:U262"/>
    <mergeCell ref="F291:I291"/>
    <mergeCell ref="F327:I327"/>
    <mergeCell ref="G50:H50"/>
    <mergeCell ref="Q255:U255"/>
    <mergeCell ref="R48:S48"/>
    <mergeCell ref="P19:S19"/>
    <mergeCell ref="G52:H52"/>
    <mergeCell ref="H207:J207"/>
    <mergeCell ref="H85:J85"/>
    <mergeCell ref="D70:F70"/>
    <mergeCell ref="L334:N334"/>
    <mergeCell ref="P12:S12"/>
    <mergeCell ref="D103:F103"/>
    <mergeCell ref="B305:E305"/>
    <mergeCell ref="P14:S14"/>
    <mergeCell ref="Q313:U313"/>
    <mergeCell ref="H80:J80"/>
    <mergeCell ref="R37:S37"/>
    <mergeCell ref="L329:N329"/>
    <mergeCell ref="Q315:U315"/>
    <mergeCell ref="D98:F98"/>
    <mergeCell ref="O336:P336"/>
    <mergeCell ref="L331:N331"/>
    <mergeCell ref="Q308:U308"/>
    <mergeCell ref="Q99:U99"/>
    <mergeCell ref="H224:M224"/>
    <mergeCell ref="F340:I340"/>
    <mergeCell ref="Q316:U316"/>
    <mergeCell ref="T13:U13"/>
    <mergeCell ref="O365:P365"/>
    <mergeCell ref="Q310:U310"/>
    <mergeCell ref="I38:J38"/>
    <mergeCell ref="P33:P34"/>
    <mergeCell ref="D131:F131"/>
    <mergeCell ref="T36:U36"/>
    <mergeCell ref="I40:J40"/>
    <mergeCell ref="L382:N382"/>
    <mergeCell ref="H222:J222"/>
    <mergeCell ref="B60:D60"/>
    <mergeCell ref="B360:E360"/>
    <mergeCell ref="D116:F116"/>
    <mergeCell ref="Q326:U326"/>
    <mergeCell ref="L259:N259"/>
    <mergeCell ref="O266:P266"/>
    <mergeCell ref="B361:E361"/>
    <mergeCell ref="O355:P355"/>
    <mergeCell ref="O259:P259"/>
    <mergeCell ref="E229:F229"/>
    <mergeCell ref="Q329:U329"/>
    <mergeCell ref="D142:F142"/>
    <mergeCell ref="O261:P261"/>
    <mergeCell ref="H150:J150"/>
    <mergeCell ref="B263:E263"/>
    <mergeCell ref="D144:F144"/>
    <mergeCell ref="B290:E290"/>
    <mergeCell ref="B283:E283"/>
    <mergeCell ref="H177:J177"/>
    <mergeCell ref="Q380:U380"/>
    <mergeCell ref="J362:K362"/>
    <mergeCell ref="B285:E285"/>
    <mergeCell ref="O323:P323"/>
    <mergeCell ref="B8:D8"/>
    <mergeCell ref="O279:P279"/>
    <mergeCell ref="L68:L69"/>
    <mergeCell ref="J364:K364"/>
    <mergeCell ref="M6:O6"/>
    <mergeCell ref="G48:H48"/>
    <mergeCell ref="O281:P281"/>
    <mergeCell ref="B309:E309"/>
    <mergeCell ref="D74:F74"/>
    <mergeCell ref="B301:E301"/>
    <mergeCell ref="P10:S10"/>
    <mergeCell ref="D188:F188"/>
    <mergeCell ref="B311:E311"/>
    <mergeCell ref="O305:P305"/>
    <mergeCell ref="B303:E303"/>
    <mergeCell ref="Q129:U129"/>
    <mergeCell ref="O332:P332"/>
    <mergeCell ref="O307:P307"/>
    <mergeCell ref="H196:J196"/>
    <mergeCell ref="Q95:U95"/>
    <mergeCell ref="J235:K235"/>
    <mergeCell ref="O361:P361"/>
    <mergeCell ref="H191:J191"/>
    <mergeCell ref="Q96:U96"/>
    <mergeCell ref="B329:E329"/>
    <mergeCell ref="B23:D23"/>
    <mergeCell ref="O61:U61"/>
    <mergeCell ref="F337:I337"/>
    <mergeCell ref="D210:F210"/>
    <mergeCell ref="H218:J218"/>
    <mergeCell ref="B331:E331"/>
    <mergeCell ref="D87:F87"/>
    <mergeCell ref="Q121:U121"/>
    <mergeCell ref="D122:F122"/>
    <mergeCell ref="Q150:U150"/>
    <mergeCell ref="F364:I364"/>
    <mergeCell ref="O351:P351"/>
    <mergeCell ref="D82:F82"/>
    <mergeCell ref="O345:P345"/>
    <mergeCell ref="L340:N340"/>
    <mergeCell ref="O380:P380"/>
    <mergeCell ref="T60:U60"/>
    <mergeCell ref="D138:F138"/>
    <mergeCell ref="L371:N371"/>
    <mergeCell ref="O346:P346"/>
    <mergeCell ref="D140:F140"/>
    <mergeCell ref="K68:K69"/>
    <mergeCell ref="B375:E375"/>
    <mergeCell ref="B254:E254"/>
    <mergeCell ref="Q134:U134"/>
    <mergeCell ref="D141:F141"/>
    <mergeCell ref="D135:F135"/>
    <mergeCell ref="E42:F42"/>
    <mergeCell ref="B256:E256"/>
    <mergeCell ref="O372:P372"/>
    <mergeCell ref="O250:P250"/>
    <mergeCell ref="F376:I376"/>
    <mergeCell ref="E13:L13"/>
    <mergeCell ref="L242:N242"/>
    <mergeCell ref="Q382:U382"/>
    <mergeCell ref="O276:P276"/>
    <mergeCell ref="B272:E272"/>
    <mergeCell ref="M33:M34"/>
    <mergeCell ref="D153:F153"/>
    <mergeCell ref="C39:D39"/>
    <mergeCell ref="B274:E274"/>
    <mergeCell ref="O303:P303"/>
    <mergeCell ref="B267:E267"/>
    <mergeCell ref="B269:E269"/>
    <mergeCell ref="O304:P304"/>
    <mergeCell ref="D179:F179"/>
    <mergeCell ref="O298:P298"/>
    <mergeCell ref="H187:J187"/>
    <mergeCell ref="B325:E325"/>
    <mergeCell ref="D212:F212"/>
    <mergeCell ref="Q97:U97"/>
    <mergeCell ref="B327:E327"/>
    <mergeCell ref="C50:D50"/>
    <mergeCell ref="B320:E320"/>
    <mergeCell ref="J257:K257"/>
    <mergeCell ref="E32:J32"/>
    <mergeCell ref="D207:F207"/>
    <mergeCell ref="Q236:U236"/>
    <mergeCell ref="R54:S54"/>
    <mergeCell ref="J242:K242"/>
    <mergeCell ref="Q148:U148"/>
    <mergeCell ref="R56:S56"/>
    <mergeCell ref="Q237:U237"/>
    <mergeCell ref="D80:F80"/>
    <mergeCell ref="F302:I302"/>
    <mergeCell ref="B338:E338"/>
    <mergeCell ref="L309:N309"/>
    <mergeCell ref="B340:E340"/>
    <mergeCell ref="Q130:U130"/>
    <mergeCell ref="E38:F38"/>
    <mergeCell ref="Q166:U166"/>
    <mergeCell ref="D106:F106"/>
    <mergeCell ref="J270:K270"/>
    <mergeCell ref="L33:L34"/>
    <mergeCell ref="F284:I284"/>
    <mergeCell ref="Q132:U132"/>
    <mergeCell ref="O368:P368"/>
    <mergeCell ref="Q159:U159"/>
    <mergeCell ref="E40:F40"/>
    <mergeCell ref="Q290:U290"/>
    <mergeCell ref="F292:I292"/>
    <mergeCell ref="F286:I286"/>
    <mergeCell ref="Q167:U167"/>
    <mergeCell ref="M10:O11"/>
    <mergeCell ref="L238:N238"/>
    <mergeCell ref="Q161:U161"/>
    <mergeCell ref="O241:P241"/>
    <mergeCell ref="Q192:U192"/>
    <mergeCell ref="O243:P243"/>
    <mergeCell ref="K28:U28"/>
    <mergeCell ref="L235:N235"/>
    <mergeCell ref="Q187:U187"/>
    <mergeCell ref="H129:J129"/>
    <mergeCell ref="T15:U15"/>
    <mergeCell ref="D150:F150"/>
    <mergeCell ref="Q179:U179"/>
    <mergeCell ref="H70:J70"/>
    <mergeCell ref="Q189:U189"/>
    <mergeCell ref="B265:E265"/>
    <mergeCell ref="Q309:U309"/>
    <mergeCell ref="O383:P383"/>
    <mergeCell ref="Q93:U93"/>
    <mergeCell ref="D177:F177"/>
    <mergeCell ref="B231:U231"/>
    <mergeCell ref="L261:N261"/>
    <mergeCell ref="C46:D46"/>
    <mergeCell ref="Q205:U205"/>
    <mergeCell ref="C48:D48"/>
    <mergeCell ref="D178:F178"/>
    <mergeCell ref="F242:I242"/>
    <mergeCell ref="D172:F172"/>
    <mergeCell ref="J342:K342"/>
    <mergeCell ref="G54:H54"/>
    <mergeCell ref="F244:I244"/>
    <mergeCell ref="R52:S52"/>
    <mergeCell ref="H152:J152"/>
    <mergeCell ref="G56:H56"/>
    <mergeCell ref="J337:K337"/>
    <mergeCell ref="L279:N279"/>
    <mergeCell ref="J373:K373"/>
    <mergeCell ref="K33:K34"/>
    <mergeCell ref="Q235:U235"/>
    <mergeCell ref="L272:N272"/>
    <mergeCell ref="L274:N274"/>
    <mergeCell ref="Q259:U259"/>
    <mergeCell ref="J266:K266"/>
    <mergeCell ref="H170:J170"/>
    <mergeCell ref="F255:I255"/>
    <mergeCell ref="J355:K355"/>
    <mergeCell ref="Q261:U261"/>
    <mergeCell ref="J268:K268"/>
    <mergeCell ref="O369:P369"/>
    <mergeCell ref="H172:J172"/>
    <mergeCell ref="F282:I282"/>
    <mergeCell ref="P8:S8"/>
    <mergeCell ref="J357:K357"/>
    <mergeCell ref="O370:P370"/>
    <mergeCell ref="B364:E364"/>
    <mergeCell ref="L335:N335"/>
    <mergeCell ref="H100:J100"/>
    <mergeCell ref="Q272:U272"/>
    <mergeCell ref="J279:K279"/>
    <mergeCell ref="Q185:U185"/>
    <mergeCell ref="G68:G69"/>
    <mergeCell ref="Q274:U274"/>
    <mergeCell ref="J281:K281"/>
    <mergeCell ref="F339:I339"/>
    <mergeCell ref="Q193:U193"/>
    <mergeCell ref="H95:J95"/>
    <mergeCell ref="J280:K280"/>
    <mergeCell ref="Q186:U186"/>
    <mergeCell ref="L257:N257"/>
    <mergeCell ref="H97:J97"/>
    <mergeCell ref="B235:E235"/>
    <mergeCell ref="F326:I326"/>
    <mergeCell ref="B227:D227"/>
    <mergeCell ref="L346:N346"/>
    <mergeCell ref="J305:K305"/>
    <mergeCell ref="F355:I355"/>
    <mergeCell ref="L348:N348"/>
    <mergeCell ref="Q203:U203"/>
    <mergeCell ref="B376:E376"/>
    <mergeCell ref="J307:K307"/>
    <mergeCell ref="B228:D228"/>
    <mergeCell ref="F357:I357"/>
    <mergeCell ref="Q327:U327"/>
    <mergeCell ref="F350:I350"/>
    <mergeCell ref="Q204:U204"/>
    <mergeCell ref="Q198:U198"/>
    <mergeCell ref="Q335:U335"/>
    <mergeCell ref="L275:N275"/>
    <mergeCell ref="H115:J115"/>
    <mergeCell ref="T53:U53"/>
    <mergeCell ref="O232:P233"/>
    <mergeCell ref="I57:J57"/>
    <mergeCell ref="F358:I358"/>
    <mergeCell ref="F352:I352"/>
    <mergeCell ref="J335:K335"/>
    <mergeCell ref="T55:U55"/>
    <mergeCell ref="L276:N276"/>
    <mergeCell ref="L270:N270"/>
    <mergeCell ref="B247:E247"/>
    <mergeCell ref="H166:J166"/>
    <mergeCell ref="F251:I251"/>
    <mergeCell ref="J351:K351"/>
    <mergeCell ref="J326:K326"/>
    <mergeCell ref="Q257:U257"/>
    <mergeCell ref="H168:J168"/>
    <mergeCell ref="Q346:U346"/>
    <mergeCell ref="F253:I253"/>
    <mergeCell ref="O278:P278"/>
    <mergeCell ref="T37:U37"/>
    <mergeCell ref="J353:K353"/>
    <mergeCell ref="Q340:U340"/>
    <mergeCell ref="H167:J167"/>
    <mergeCell ref="H161:J161"/>
    <mergeCell ref="O68:O69"/>
    <mergeCell ref="Q217:U217"/>
    <mergeCell ref="L288:N288"/>
    <mergeCell ref="H169:J169"/>
    <mergeCell ref="L298:N298"/>
    <mergeCell ref="T38:U38"/>
    <mergeCell ref="B29:G29"/>
    <mergeCell ref="H194:J194"/>
    <mergeCell ref="J379:K379"/>
    <mergeCell ref="B302:E302"/>
    <mergeCell ref="O296:P296"/>
    <mergeCell ref="J372:K372"/>
    <mergeCell ref="J250:K250"/>
    <mergeCell ref="H195:J195"/>
    <mergeCell ref="H189:J189"/>
    <mergeCell ref="Q270:U270"/>
    <mergeCell ref="J374:K374"/>
    <mergeCell ref="F335:I335"/>
    <mergeCell ref="Q68:U69"/>
    <mergeCell ref="F310:I310"/>
    <mergeCell ref="O297:P297"/>
    <mergeCell ref="H197:J197"/>
    <mergeCell ref="B318:E318"/>
    <mergeCell ref="B22:D22"/>
    <mergeCell ref="D84:F84"/>
    <mergeCell ref="L342:N342"/>
    <mergeCell ref="O379:P379"/>
    <mergeCell ref="L317:N317"/>
    <mergeCell ref="L344:N344"/>
    <mergeCell ref="J303:K303"/>
    <mergeCell ref="Q112:U112"/>
    <mergeCell ref="Q288:U288"/>
    <mergeCell ref="Q298:U298"/>
    <mergeCell ref="L368:N368"/>
    <mergeCell ref="J304:K304"/>
    <mergeCell ref="I53:J53"/>
    <mergeCell ref="F354:I354"/>
    <mergeCell ref="F348:I348"/>
    <mergeCell ref="L370:N370"/>
    <mergeCell ref="J306:K306"/>
    <mergeCell ref="I55:J55"/>
    <mergeCell ref="L241:N241"/>
    <mergeCell ref="H106:J106"/>
    <mergeCell ref="L355:N355"/>
    <mergeCell ref="I48:J48"/>
    <mergeCell ref="L243:N243"/>
    <mergeCell ref="H137:J137"/>
    <mergeCell ref="O247:P247"/>
    <mergeCell ref="J322:K322"/>
    <mergeCell ref="F380:I380"/>
    <mergeCell ref="B245:E245"/>
    <mergeCell ref="H130:J130"/>
    <mergeCell ref="Q342:U342"/>
    <mergeCell ref="Q336:U336"/>
    <mergeCell ref="O249:P249"/>
    <mergeCell ref="F382:I382"/>
    <mergeCell ref="F338:I338"/>
    <mergeCell ref="H132:J132"/>
    <mergeCell ref="Q344:U344"/>
    <mergeCell ref="J317:K317"/>
    <mergeCell ref="E225:F226"/>
    <mergeCell ref="C54:D54"/>
    <mergeCell ref="L383:N383"/>
    <mergeCell ref="Q373:U373"/>
    <mergeCell ref="B271:E271"/>
    <mergeCell ref="Q339:U339"/>
    <mergeCell ref="D152:F152"/>
    <mergeCell ref="C56:D56"/>
    <mergeCell ref="Q368:U368"/>
    <mergeCell ref="L385:N385"/>
    <mergeCell ref="B273:E273"/>
    <mergeCell ref="Q370:U370"/>
    <mergeCell ref="O302:P302"/>
    <mergeCell ref="Q364:U364"/>
    <mergeCell ref="Q241:U241"/>
    <mergeCell ref="J370:K370"/>
    <mergeCell ref="Q355:U355"/>
    <mergeCell ref="O287:P287"/>
    <mergeCell ref="H193:J193"/>
    <mergeCell ref="S3:U3"/>
    <mergeCell ref="Q365:U365"/>
    <mergeCell ref="D170:F170"/>
    <mergeCell ref="O289:P289"/>
    <mergeCell ref="B255:E255"/>
    <mergeCell ref="L313:N313"/>
    <mergeCell ref="L307:N307"/>
    <mergeCell ref="J243:K243"/>
    <mergeCell ref="D163:F163"/>
    <mergeCell ref="B284:E284"/>
    <mergeCell ref="L315:N315"/>
    <mergeCell ref="D171:F171"/>
    <mergeCell ref="Q83:U83"/>
    <mergeCell ref="B286:E286"/>
    <mergeCell ref="O349:P349"/>
    <mergeCell ref="B9:D9"/>
    <mergeCell ref="Q85:U85"/>
    <mergeCell ref="O321:P321"/>
    <mergeCell ref="Q383:U383"/>
    <mergeCell ref="R45:S45"/>
    <mergeCell ref="O315:P315"/>
    <mergeCell ref="G49:H49"/>
    <mergeCell ref="H204:J204"/>
    <mergeCell ref="P9:S9"/>
    <mergeCell ref="Q114:U114"/>
    <mergeCell ref="Q385:U385"/>
    <mergeCell ref="R47:S47"/>
    <mergeCell ref="F319:I319"/>
    <mergeCell ref="O344:P344"/>
    <mergeCell ref="H206:J206"/>
    <mergeCell ref="D100:F100"/>
    <mergeCell ref="P11:S11"/>
    <mergeCell ref="J385:K385"/>
    <mergeCell ref="B337:E337"/>
    <mergeCell ref="L326:N326"/>
    <mergeCell ref="B339:E339"/>
    <mergeCell ref="D95:F95"/>
    <mergeCell ref="E63:G63"/>
    <mergeCell ref="O333:P333"/>
    <mergeCell ref="Q305:U305"/>
    <mergeCell ref="O33:O34"/>
    <mergeCell ref="O326:P326"/>
    <mergeCell ref="D97:F97"/>
    <mergeCell ref="O245:P245"/>
    <mergeCell ref="Q307:U307"/>
    <mergeCell ref="E39:F39"/>
    <mergeCell ref="O334:P334"/>
    <mergeCell ref="H217:J217"/>
    <mergeCell ref="O364:P364"/>
    <mergeCell ref="B355:E355"/>
    <mergeCell ref="I37:J37"/>
    <mergeCell ref="D121:F121"/>
    <mergeCell ref="H227:K227"/>
    <mergeCell ref="L379:N379"/>
    <mergeCell ref="B357:E357"/>
    <mergeCell ref="D113:F113"/>
    <mergeCell ref="B236:E236"/>
    <mergeCell ref="D148:F148"/>
    <mergeCell ref="D123:F123"/>
    <mergeCell ref="B350:E350"/>
    <mergeCell ref="L381:N381"/>
    <mergeCell ref="D115:F115"/>
    <mergeCell ref="L380:N380"/>
    <mergeCell ref="E57:F57"/>
    <mergeCell ref="B358:E358"/>
    <mergeCell ref="Q178:U178"/>
    <mergeCell ref="O258:P258"/>
    <mergeCell ref="F385:I385"/>
    <mergeCell ref="Q361:U361"/>
    <mergeCell ref="O260:P260"/>
    <mergeCell ref="B251:E251"/>
    <mergeCell ref="D134:F134"/>
    <mergeCell ref="B280:E280"/>
    <mergeCell ref="D167:F167"/>
    <mergeCell ref="D161:F161"/>
    <mergeCell ref="Q79:U79"/>
    <mergeCell ref="J359:K359"/>
    <mergeCell ref="B282:E282"/>
    <mergeCell ref="E22:U25"/>
    <mergeCell ref="D169:F169"/>
    <mergeCell ref="Q81:U81"/>
    <mergeCell ref="Q379:U379"/>
    <mergeCell ref="O311:P311"/>
    <mergeCell ref="G45:H45"/>
    <mergeCell ref="F235:I235"/>
    <mergeCell ref="Q74:U74"/>
    <mergeCell ref="G55:H55"/>
    <mergeCell ref="Q110:U110"/>
    <mergeCell ref="Q381:U381"/>
    <mergeCell ref="B225:D226"/>
    <mergeCell ref="G47:H47"/>
    <mergeCell ref="Q76:U76"/>
    <mergeCell ref="G46:H46"/>
    <mergeCell ref="G40:H40"/>
    <mergeCell ref="B308:E308"/>
    <mergeCell ref="D195:F195"/>
    <mergeCell ref="D189:F189"/>
    <mergeCell ref="B300:E300"/>
    <mergeCell ref="B335:E335"/>
    <mergeCell ref="B310:E310"/>
    <mergeCell ref="D197:F197"/>
    <mergeCell ref="Q136:U136"/>
    <mergeCell ref="Q92:U92"/>
    <mergeCell ref="Q102:U102"/>
    <mergeCell ref="Q94:U94"/>
    <mergeCell ref="O330:P330"/>
    <mergeCell ref="O324:P324"/>
    <mergeCell ref="J232:K233"/>
    <mergeCell ref="O360:P360"/>
    <mergeCell ref="B326:E326"/>
    <mergeCell ref="Q89:U89"/>
    <mergeCell ref="E33:F34"/>
    <mergeCell ref="D119:F119"/>
    <mergeCell ref="D208:F208"/>
    <mergeCell ref="Q120:U120"/>
    <mergeCell ref="E53:F53"/>
    <mergeCell ref="B354:E354"/>
    <mergeCell ref="B348:E348"/>
    <mergeCell ref="Q149:U149"/>
    <mergeCell ref="E55:F55"/>
    <mergeCell ref="O352:P352"/>
    <mergeCell ref="Q115:U115"/>
    <mergeCell ref="E48:F48"/>
    <mergeCell ref="Q151:U151"/>
    <mergeCell ref="O381:P381"/>
    <mergeCell ref="O343:P343"/>
    <mergeCell ref="D137:F137"/>
    <mergeCell ref="I54:J54"/>
    <mergeCell ref="H68:J69"/>
    <mergeCell ref="B380:E380"/>
    <mergeCell ref="D130:F130"/>
    <mergeCell ref="I56:J56"/>
    <mergeCell ref="B382:E382"/>
    <mergeCell ref="D132:F132"/>
    <mergeCell ref="J296:K296"/>
    <mergeCell ref="B253:E253"/>
    <mergeCell ref="K32:N32"/>
    <mergeCell ref="J298:K298"/>
    <mergeCell ref="H112:J112"/>
    <mergeCell ref="B377:E377"/>
    <mergeCell ref="O371:P371"/>
    <mergeCell ref="J297:K297"/>
    <mergeCell ref="M8:O9"/>
    <mergeCell ref="H114:J114"/>
    <mergeCell ref="E12:L12"/>
    <mergeCell ref="J299:K299"/>
    <mergeCell ref="Q345:U345"/>
    <mergeCell ref="L234:N234"/>
    <mergeCell ref="E14:L14"/>
    <mergeCell ref="J324:K324"/>
    <mergeCell ref="J381:K381"/>
    <mergeCell ref="B306:E306"/>
    <mergeCell ref="L236:N236"/>
    <mergeCell ref="D193:F193"/>
    <mergeCell ref="F257:I257"/>
    <mergeCell ref="Q215:U215"/>
    <mergeCell ref="O295:P295"/>
    <mergeCell ref="F252:I252"/>
    <mergeCell ref="L289:N289"/>
    <mergeCell ref="B317:E317"/>
    <mergeCell ref="C49:D49"/>
    <mergeCell ref="D204:F204"/>
    <mergeCell ref="D198:F198"/>
    <mergeCell ref="J368:K368"/>
    <mergeCell ref="J247:K247"/>
    <mergeCell ref="B319:E319"/>
    <mergeCell ref="C42:D42"/>
    <mergeCell ref="D206:F206"/>
    <mergeCell ref="F270:I270"/>
    <mergeCell ref="E17:F17"/>
    <mergeCell ref="Q145:U145"/>
    <mergeCell ref="J249:K249"/>
    <mergeCell ref="Q234:U234"/>
    <mergeCell ref="Q117:U117"/>
    <mergeCell ref="H72:J72"/>
    <mergeCell ref="J241:K241"/>
    <mergeCell ref="Q111:U111"/>
    <mergeCell ref="F299:I299"/>
    <mergeCell ref="Q147:U147"/>
    <mergeCell ref="H186:J186"/>
    <mergeCell ref="F271:I271"/>
    <mergeCell ref="F265:I265"/>
    <mergeCell ref="J267:K267"/>
    <mergeCell ref="F298:I298"/>
    <mergeCell ref="D217:F217"/>
    <mergeCell ref="E37:F37"/>
    <mergeCell ref="Q287:U287"/>
    <mergeCell ref="H83:J83"/>
    <mergeCell ref="B373:E373"/>
    <mergeCell ref="E47:F47"/>
    <mergeCell ref="O367:P367"/>
    <mergeCell ref="Q158:U158"/>
    <mergeCell ref="Q289:U289"/>
    <mergeCell ref="J262:K262"/>
    <mergeCell ref="H110:J110"/>
    <mergeCell ref="Q160:U160"/>
    <mergeCell ref="J289:K289"/>
    <mergeCell ref="L361:N361"/>
    <mergeCell ref="Q72:U72"/>
    <mergeCell ref="L240:N240"/>
    <mergeCell ref="Q184:U184"/>
    <mergeCell ref="T12:U12"/>
    <mergeCell ref="B385:E385"/>
    <mergeCell ref="H136:J136"/>
    <mergeCell ref="H92:J92"/>
    <mergeCell ref="J321:K321"/>
    <mergeCell ref="T41:U41"/>
    <mergeCell ref="O238:P238"/>
    <mergeCell ref="Q219:U219"/>
    <mergeCell ref="J323:K323"/>
    <mergeCell ref="T43:U43"/>
    <mergeCell ref="O240:P240"/>
    <mergeCell ref="F373:I373"/>
    <mergeCell ref="Q212:U212"/>
    <mergeCell ref="L258:N258"/>
    <mergeCell ref="F366:I366"/>
    <mergeCell ref="Q214:U214"/>
    <mergeCell ref="L260:N260"/>
    <mergeCell ref="C45:D45"/>
    <mergeCell ref="J333:K333"/>
    <mergeCell ref="C47:D47"/>
    <mergeCell ref="F241:I241"/>
    <mergeCell ref="H155:J155"/>
    <mergeCell ref="J245:K245"/>
    <mergeCell ref="H149:J149"/>
    <mergeCell ref="C40:D40"/>
    <mergeCell ref="F234:I234"/>
    <mergeCell ref="J334:K334"/>
    <mergeCell ref="Q240:U240"/>
    <mergeCell ref="H151:J151"/>
    <mergeCell ref="Q354:U354"/>
    <mergeCell ref="T33:U34"/>
    <mergeCell ref="F236:I236"/>
    <mergeCell ref="J336:K336"/>
    <mergeCell ref="L304:N304"/>
    <mergeCell ref="Q258:U258"/>
    <mergeCell ref="P13:S13"/>
    <mergeCell ref="F323:I323"/>
    <mergeCell ref="H79:J79"/>
    <mergeCell ref="Q260:U260"/>
    <mergeCell ref="J258:K258"/>
    <mergeCell ref="N33:N34"/>
    <mergeCell ref="H81:J81"/>
    <mergeCell ref="Q253:U253"/>
    <mergeCell ref="L330:N330"/>
    <mergeCell ref="J260:K260"/>
    <mergeCell ref="F280:I280"/>
    <mergeCell ref="Q155:U155"/>
    <mergeCell ref="L332:N332"/>
    <mergeCell ref="E59:F59"/>
    <mergeCell ref="F309:I309"/>
    <mergeCell ref="H76:J76"/>
    <mergeCell ref="F305:I305"/>
    <mergeCell ref="L325:N325"/>
    <mergeCell ref="T8:U8"/>
    <mergeCell ref="Q311:U311"/>
    <mergeCell ref="F307:I307"/>
    <mergeCell ref="E62:G62"/>
    <mergeCell ref="F334:I334"/>
    <mergeCell ref="L327:N327"/>
    <mergeCell ref="Q182:U182"/>
    <mergeCell ref="E54:F54"/>
    <mergeCell ref="D68:F69"/>
    <mergeCell ref="F342:I342"/>
    <mergeCell ref="F336:I336"/>
    <mergeCell ref="E56:F56"/>
    <mergeCell ref="Q306:U306"/>
    <mergeCell ref="H223:J223"/>
    <mergeCell ref="T39:U39"/>
    <mergeCell ref="F308:I308"/>
    <mergeCell ref="Q183:U183"/>
    <mergeCell ref="L254:N254"/>
    <mergeCell ref="H94:J94"/>
    <mergeCell ref="Q297:U297"/>
    <mergeCell ref="L343:N343"/>
    <mergeCell ref="I36:J36"/>
    <mergeCell ref="L256:N256"/>
    <mergeCell ref="B356:E356"/>
    <mergeCell ref="D112:F112"/>
    <mergeCell ref="L345:N345"/>
    <mergeCell ref="D114:F114"/>
    <mergeCell ref="B32:B34"/>
    <mergeCell ref="Q324:U324"/>
    <mergeCell ref="H145:J145"/>
    <mergeCell ref="H120:J120"/>
    <mergeCell ref="Q201:U201"/>
    <mergeCell ref="J330:K330"/>
    <mergeCell ref="O264:P264"/>
    <mergeCell ref="H147:J147"/>
    <mergeCell ref="Q325:U325"/>
    <mergeCell ref="O257:P257"/>
    <mergeCell ref="T16:U16"/>
    <mergeCell ref="B68:C68"/>
    <mergeCell ref="Z222:AB222"/>
    <mergeCell ref="J332:K332"/>
    <mergeCell ref="F268:I268"/>
    <mergeCell ref="E227:F227"/>
    <mergeCell ref="T52:U52"/>
    <mergeCell ref="Q196:U196"/>
    <mergeCell ref="H62:U62"/>
    <mergeCell ref="L267:N267"/>
    <mergeCell ref="T18:U18"/>
    <mergeCell ref="J361:K361"/>
    <mergeCell ref="H148:J148"/>
    <mergeCell ref="L269:N269"/>
    <mergeCell ref="T49:U49"/>
    <mergeCell ref="Q254:U254"/>
    <mergeCell ref="T42:U42"/>
    <mergeCell ref="Q343:U343"/>
    <mergeCell ref="F250:I250"/>
    <mergeCell ref="O275:P275"/>
    <mergeCell ref="Q256:U256"/>
    <mergeCell ref="T50:U50"/>
    <mergeCell ref="H158:J158"/>
    <mergeCell ref="T44:U44"/>
    <mergeCell ref="J360:K360"/>
    <mergeCell ref="J343:K343"/>
    <mergeCell ref="O277:P277"/>
    <mergeCell ref="Q249:U249"/>
    <mergeCell ref="L295:N295"/>
    <mergeCell ref="H160:J160"/>
    <mergeCell ref="Q338:U338"/>
    <mergeCell ref="J345:K345"/>
    <mergeCell ref="B297:E297"/>
    <mergeCell ref="L321:N321"/>
    <mergeCell ref="B299:E299"/>
    <mergeCell ref="D186:F186"/>
    <mergeCell ref="R58:S58"/>
    <mergeCell ref="L323:N323"/>
    <mergeCell ref="H192:J192"/>
    <mergeCell ref="Q91:U91"/>
    <mergeCell ref="Q267:U267"/>
    <mergeCell ref="J371:K371"/>
    <mergeCell ref="R60:S60"/>
    <mergeCell ref="F332:I332"/>
    <mergeCell ref="H219:J219"/>
    <mergeCell ref="O288:P288"/>
    <mergeCell ref="Q269:U269"/>
    <mergeCell ref="H214:J214"/>
    <mergeCell ref="D83:F83"/>
    <mergeCell ref="L341:N341"/>
    <mergeCell ref="Q109:U109"/>
    <mergeCell ref="R42:S42"/>
    <mergeCell ref="D110:F110"/>
    <mergeCell ref="D85:F85"/>
    <mergeCell ref="Q295:U295"/>
    <mergeCell ref="O347:P347"/>
    <mergeCell ref="L336:N336"/>
    <mergeCell ref="H205:J205"/>
    <mergeCell ref="J295:K295"/>
    <mergeCell ref="F351:I351"/>
    <mergeCell ref="H118:J118"/>
    <mergeCell ref="F345:I345"/>
    <mergeCell ref="Q321:U321"/>
    <mergeCell ref="L367:N367"/>
    <mergeCell ref="I60:J60"/>
    <mergeCell ref="F317:I317"/>
    <mergeCell ref="O342:P342"/>
    <mergeCell ref="D136:F136"/>
    <mergeCell ref="Q323:U323"/>
    <mergeCell ref="L369:N369"/>
    <mergeCell ref="I45:J45"/>
    <mergeCell ref="F346:I346"/>
    <mergeCell ref="L362:N362"/>
    <mergeCell ref="I47:J47"/>
    <mergeCell ref="B242:E242"/>
    <mergeCell ref="F371:I371"/>
    <mergeCell ref="L364:N364"/>
    <mergeCell ref="B252:E252"/>
    <mergeCell ref="Q377:U377"/>
    <mergeCell ref="O271:P271"/>
    <mergeCell ref="O246:P246"/>
    <mergeCell ref="B366:E366"/>
    <mergeCell ref="F379:I379"/>
    <mergeCell ref="T40:U40"/>
    <mergeCell ref="O273:P273"/>
    <mergeCell ref="F372:I372"/>
    <mergeCell ref="O248:P248"/>
    <mergeCell ref="Q334:U334"/>
    <mergeCell ref="F374:I374"/>
    <mergeCell ref="D155:F155"/>
    <mergeCell ref="D149:F149"/>
    <mergeCell ref="O268:P268"/>
    <mergeCell ref="B234:E234"/>
    <mergeCell ref="B270:E270"/>
    <mergeCell ref="D151:F151"/>
    <mergeCell ref="H182:J182"/>
    <mergeCell ref="J367:K367"/>
    <mergeCell ref="G33:H34"/>
    <mergeCell ref="O328:P328"/>
    <mergeCell ref="O284:P284"/>
    <mergeCell ref="H190:J190"/>
    <mergeCell ref="Q362:U362"/>
    <mergeCell ref="T59:U59"/>
    <mergeCell ref="O294:P294"/>
    <mergeCell ref="J369:K369"/>
    <mergeCell ref="G53:H53"/>
    <mergeCell ref="H183:J183"/>
    <mergeCell ref="B321:E321"/>
    <mergeCell ref="O286:P286"/>
    <mergeCell ref="H185:J185"/>
    <mergeCell ref="B323:E323"/>
    <mergeCell ref="D79:F79"/>
    <mergeCell ref="D81:F81"/>
    <mergeCell ref="L305:N305"/>
    <mergeCell ref="O318:P318"/>
    <mergeCell ref="O312:P312"/>
    <mergeCell ref="J238:K238"/>
    <mergeCell ref="H201:J201"/>
    <mergeCell ref="Q100:U100"/>
    <mergeCell ref="Q75:U75"/>
    <mergeCell ref="D76:F76"/>
    <mergeCell ref="R44:S44"/>
    <mergeCell ref="O314:P314"/>
    <mergeCell ref="J240:K240"/>
    <mergeCell ref="Q286:U286"/>
    <mergeCell ref="O313:P313"/>
    <mergeCell ref="B334:E334"/>
    <mergeCell ref="L358:N358"/>
    <mergeCell ref="H198:J198"/>
    <mergeCell ref="B336:E336"/>
    <mergeCell ref="D92:F92"/>
    <mergeCell ref="Q162:U162"/>
    <mergeCell ref="L360:N360"/>
    <mergeCell ref="D216:F216"/>
    <mergeCell ref="D94:F94"/>
    <mergeCell ref="F316:I316"/>
    <mergeCell ref="E36:F36"/>
    <mergeCell ref="D218:F218"/>
    <mergeCell ref="O244:P244"/>
    <mergeCell ref="Q157:U157"/>
    <mergeCell ref="O358:P358"/>
    <mergeCell ref="O237:P237"/>
    <mergeCell ref="F370:I370"/>
    <mergeCell ref="D120:F120"/>
    <mergeCell ref="O239:P239"/>
    <mergeCell ref="B266:E266"/>
    <mergeCell ref="Q146:U146"/>
    <mergeCell ref="Q304:U304"/>
    <mergeCell ref="D147:F147"/>
    <mergeCell ref="B268:E268"/>
    <mergeCell ref="Q175:U175"/>
    <mergeCell ref="B261:E261"/>
    <mergeCell ref="O255:P255"/>
    <mergeCell ref="Q177:U177"/>
    <mergeCell ref="B67:U67"/>
    <mergeCell ref="Q358:U358"/>
    <mergeCell ref="Q176:U176"/>
    <mergeCell ref="L247:N247"/>
    <mergeCell ref="Q360:U360"/>
    <mergeCell ref="F383:I383"/>
    <mergeCell ref="D158:F158"/>
    <mergeCell ref="B279:E279"/>
    <mergeCell ref="D160:F160"/>
    <mergeCell ref="G42:H42"/>
    <mergeCell ref="B281:E281"/>
    <mergeCell ref="Q71:U71"/>
    <mergeCell ref="F232:I233"/>
    <mergeCell ref="Q73:U73"/>
    <mergeCell ref="O309:P309"/>
    <mergeCell ref="D184:F184"/>
    <mergeCell ref="Q371:U371"/>
    <mergeCell ref="G37:H37"/>
    <mergeCell ref="O339:P339"/>
    <mergeCell ref="D192:F192"/>
    <mergeCell ref="R35:S35"/>
    <mergeCell ref="B307:E307"/>
    <mergeCell ref="F283:I283"/>
    <mergeCell ref="Q247:U247"/>
    <mergeCell ref="D187:F187"/>
    <mergeCell ref="J264:K264"/>
    <mergeCell ref="Q101:U101"/>
    <mergeCell ref="Q128:U128"/>
    <mergeCell ref="B4:U4"/>
    <mergeCell ref="O322:P322"/>
    <mergeCell ref="D205:F205"/>
    <mergeCell ref="B351:E351"/>
    <mergeCell ref="D118:F118"/>
    <mergeCell ref="H96:J96"/>
    <mergeCell ref="F296:I296"/>
    <mergeCell ref="E60:F60"/>
    <mergeCell ref="R33:S34"/>
    <mergeCell ref="J275:K275"/>
    <mergeCell ref="Q137:U137"/>
    <mergeCell ref="E45:F45"/>
    <mergeCell ref="B346:E346"/>
    <mergeCell ref="J283:K283"/>
    <mergeCell ref="O384:P384"/>
    <mergeCell ref="J277:K277"/>
    <mergeCell ref="F297:I297"/>
    <mergeCell ref="H91:J91"/>
    <mergeCell ref="O350:P350"/>
    <mergeCell ref="J276:K276"/>
    <mergeCell ref="B65:U65"/>
    <mergeCell ref="B371:E371"/>
    <mergeCell ref="H93:J93"/>
    <mergeCell ref="Q174:U174"/>
    <mergeCell ref="Q168:U168"/>
    <mergeCell ref="J278:K278"/>
    <mergeCell ref="B379:E379"/>
  </mergeCells>
  <conditionalFormatting sqref="T13:V13">
    <cfRule type="cellIs" priority="28" operator="greaterThanOrEqual" dxfId="0">
      <formula>0.3</formula>
    </cfRule>
  </conditionalFormatting>
  <conditionalFormatting sqref="T15">
    <cfRule type="cellIs" priority="27" operator="greaterThanOrEqual" dxfId="0">
      <formula>0.125</formula>
    </cfRule>
  </conditionalFormatting>
  <conditionalFormatting sqref="E227">
    <cfRule type="cellIs" priority="24" operator="greaterThan" dxfId="0">
      <formula>$F$385</formula>
    </cfRule>
  </conditionalFormatting>
  <conditionalFormatting sqref="Q227">
    <cfRule type="expression" priority="32" dxfId="0">
      <formula>$Q$226&gt;0</formula>
    </cfRule>
  </conditionalFormatting>
  <conditionalFormatting sqref="L227">
    <cfRule type="expression" priority="33" dxfId="0">
      <formula>$L$226&gt;0</formula>
    </cfRule>
  </conditionalFormatting>
  <conditionalFormatting sqref="O227">
    <cfRule type="expression" priority="19" dxfId="0">
      <formula>$O$226&gt;0</formula>
    </cfRule>
  </conditionalFormatting>
  <conditionalFormatting sqref="L226">
    <cfRule type="expression" priority="15" dxfId="0">
      <formula>$L$226&gt;0</formula>
    </cfRule>
  </conditionalFormatting>
  <conditionalFormatting sqref="O226">
    <cfRule type="expression" priority="13" dxfId="0">
      <formula>$O$226&gt;0</formula>
    </cfRule>
  </conditionalFormatting>
  <conditionalFormatting sqref="Q226">
    <cfRule type="expression" priority="11" dxfId="0">
      <formula>$Q$226&gt;0</formula>
    </cfRule>
  </conditionalFormatting>
  <conditionalFormatting sqref="E228">
    <cfRule type="expression" priority="17" dxfId="0">
      <formula>$E$228&gt;0</formula>
    </cfRule>
  </conditionalFormatting>
  <conditionalFormatting sqref="E229:F229">
    <cfRule type="expression" priority="8" dxfId="0">
      <formula>$E$229&gt;0</formula>
    </cfRule>
  </conditionalFormatting>
  <conditionalFormatting sqref="K29:U29">
    <cfRule type="expression" priority="6" dxfId="2">
      <formula>$I$29="YES"</formula>
    </cfRule>
  </conditionalFormatting>
  <conditionalFormatting sqref="T18:U18">
    <cfRule type="expression" priority="2" dxfId="0">
      <formula>AND($W$18&lt;0,$W$18&gt;-4000)</formula>
    </cfRule>
  </conditionalFormatting>
  <conditionalFormatting sqref="T19:U19">
    <cfRule type="expression" priority="1" dxfId="0">
      <formula>AND($W$19&lt;0,$W$19&gt;-4000)</formula>
    </cfRule>
  </conditionalFormatting>
  <dataValidations count="10">
    <dataValidation sqref="E17:F20" showDropDown="0" showInputMessage="1" showErrorMessage="1" allowBlank="1" type="whole">
      <formula1>0</formula1>
      <formula2>100</formula2>
    </dataValidation>
    <dataValidation sqref="E14:I14 J14:L15 T8:U8 T17:T20 U18:U20" showDropDown="0" showInputMessage="1" showErrorMessage="1" allowBlank="1" type="date" operator="greaterThan">
      <formula1>32874</formula1>
    </dataValidation>
    <dataValidation sqref="G70:G221 T16" showDropDown="0" showInputMessage="1" showErrorMessage="1" allowBlank="1" type="decimal">
      <formula1>0</formula1>
      <formula2>1</formula2>
    </dataValidation>
    <dataValidation sqref="E225 G225:G226 H225 H227:H229 L227 O227 Q227" showDropDown="0" showInputMessage="1" showErrorMessage="1" allowBlank="1" operator="greaterThanOrEqual"/>
    <dataValidation sqref="I28:I29" showDropDown="0" showInputMessage="1" showErrorMessage="1" allowBlank="1" type="list">
      <formula1>"YES, NO"</formula1>
    </dataValidation>
    <dataValidation sqref="T9:U9 T11:V12" showDropDown="0" showInputMessage="1" showErrorMessage="1" allowBlank="1" type="whole" operator="greaterThan">
      <formula1>-1000000</formula1>
    </dataValidation>
    <dataValidation sqref="D70:F221 E225 E227:E229 F234:F385 G223:H223 H70:H221 J234:J385 K70:O221 K223:N223 L226 L234:L385 O234:O385 Q226 Q234:Q385 W226 Y226" showDropDown="0" showInputMessage="1" showErrorMessage="1" allowBlank="1" type="decimal" operator="greaterThanOrEqual">
      <formula1>-100000000</formula1>
    </dataValidation>
    <dataValidation sqref="E35:O59 Q35:T59" showDropDown="0" showInputMessage="1" showErrorMessage="1" allowBlank="1" type="decimal" operator="greaterThanOrEqual">
      <formula1>0</formula1>
    </dataValidation>
    <dataValidation sqref="H16" showDropDown="0" showInputMessage="1" showErrorMessage="1" allowBlank="1" operator="greaterThan"/>
    <dataValidation sqref="I16" showDropDown="0" showInputMessage="1" showErrorMessage="1" allowBlank="1" type="list" operator="greaterThan">
      <formula1>"YES, NO"</formula1>
    </dataValidation>
  </dataValidations>
  <printOptions horizontalCentered="1"/>
  <pageMargins left="0.25" right="0.25" top="0.75" bottom="0.75" header="0.3" footer="0.3"/>
  <pageSetup orientation="portrait" scale="49" fitToHeight="0"/>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Y6"/>
  <sheetViews>
    <sheetView workbookViewId="0">
      <selection activeCell="E19" sqref="E19"/>
    </sheetView>
  </sheetViews>
  <sheetFormatPr baseColWidth="8" defaultRowHeight="15.6"/>
  <cols>
    <col width="11.19921875" bestFit="1" customWidth="1" min="1" max="1"/>
    <col width="10.5" bestFit="1" customWidth="1" min="2" max="2"/>
    <col width="10.59765625" bestFit="1" customWidth="1" min="3" max="3"/>
    <col width="11" bestFit="1" customWidth="1" min="4" max="4"/>
    <col width="31.69921875" bestFit="1" customWidth="1" min="5" max="5"/>
    <col width="24.296875" bestFit="1" customWidth="1" min="6" max="6"/>
    <col width="22.09765625" bestFit="1" customWidth="1" min="7" max="7"/>
    <col width="20.296875" bestFit="1" customWidth="1" min="8" max="8"/>
    <col width="24" bestFit="1" customWidth="1" min="9" max="9"/>
    <col width="26.09765625" bestFit="1" customWidth="1" min="10" max="10"/>
    <col width="23.796875" bestFit="1" customWidth="1" min="11" max="11"/>
    <col width="26" bestFit="1" customWidth="1" min="12" max="12"/>
    <col width="26.8984375" bestFit="1" customWidth="1" min="13" max="13"/>
    <col width="28.8984375" bestFit="1" customWidth="1" min="14" max="14"/>
    <col width="25" bestFit="1" customWidth="1" min="15" max="15"/>
    <col width="25.09765625" bestFit="1" customWidth="1" min="16" max="16"/>
    <col width="21.8984375" bestFit="1" customWidth="1" min="17" max="17"/>
    <col width="21" bestFit="1" customWidth="1" min="18" max="18"/>
    <col width="21.69921875" bestFit="1" customWidth="1" min="19" max="19"/>
    <col width="25.09765625" bestFit="1" customWidth="1" min="20" max="20"/>
    <col width="25.8984375" bestFit="1" customWidth="1" min="21" max="21"/>
    <col width="23.19921875" bestFit="1" customWidth="1" min="22" max="22"/>
    <col width="17.59765625" bestFit="1" customWidth="1" min="23" max="23"/>
    <col width="36.59765625" bestFit="1" customWidth="1" min="24" max="24"/>
    <col width="34.8984375" bestFit="1" customWidth="1" min="25" max="25"/>
  </cols>
  <sheetData>
    <row r="1" ht="15.75" customFormat="1" customHeight="1" s="9">
      <c r="A1" s="8" t="inlineStr">
        <is>
          <t>Report Date</t>
        </is>
      </c>
      <c r="B1" s="8" t="inlineStr">
        <is>
          <t>Project No.</t>
        </is>
      </c>
      <c r="C1" s="8" t="inlineStr">
        <is>
          <t>Federal No.</t>
        </is>
      </c>
      <c r="D1" s="8" t="inlineStr">
        <is>
          <t>Oracle No.</t>
        </is>
      </c>
      <c r="E1" s="8" t="inlineStr">
        <is>
          <t>Project Title</t>
        </is>
      </c>
      <c r="F1" s="8" t="inlineStr">
        <is>
          <t>Contractor</t>
        </is>
      </c>
      <c r="G1" s="8" t="inlineStr">
        <is>
          <t>Contract Beginning Date</t>
        </is>
      </c>
      <c r="H1" s="8" t="inlineStr">
        <is>
          <t>Original Contract Time</t>
        </is>
      </c>
      <c r="I1" s="8" t="inlineStr">
        <is>
          <t>Original Termination Date:</t>
        </is>
      </c>
      <c r="J1" s="8" t="inlineStr">
        <is>
          <t>Total Time Extensions (Days):</t>
        </is>
      </c>
      <c r="K1" s="8" t="inlineStr">
        <is>
          <t>Revised Termination Date:</t>
        </is>
      </c>
      <c r="L1" s="8" t="inlineStr">
        <is>
          <t>Change in Contract Time (%):</t>
        </is>
      </c>
      <c r="M1" s="8" t="inlineStr">
        <is>
          <t>% of Time Completed to Date:</t>
        </is>
      </c>
      <c r="N1" s="8" t="inlineStr">
        <is>
          <t>Change in Contract Amount (%):</t>
        </is>
      </c>
      <c r="O1" s="8" t="inlineStr">
        <is>
          <t>% Work Performed to Date:</t>
        </is>
      </c>
      <c r="P1" s="8" t="inlineStr">
        <is>
          <t>Estimated Completion Date:</t>
        </is>
      </c>
      <c r="Q1" s="8" t="inlineStr">
        <is>
          <t>Project End Date (FMIS):</t>
        </is>
      </c>
      <c r="R1" s="8" t="inlineStr">
        <is>
          <t>Eng. Contract Estimate:</t>
        </is>
      </c>
      <c r="S1" s="8" t="inlineStr">
        <is>
          <t>Total Construction Cost:</t>
        </is>
      </c>
      <c r="T1" s="8" t="inlineStr">
        <is>
          <t>Number of CHO documents:</t>
        </is>
      </c>
      <c r="U1" s="8" t="inlineStr">
        <is>
          <t>Number of EWO documents:</t>
        </is>
      </c>
      <c r="V1" s="8" t="inlineStr">
        <is>
          <t>Revised Contract Amount:</t>
        </is>
      </c>
      <c r="W1" s="8" t="inlineStr">
        <is>
          <t>Obligation Amount:</t>
        </is>
      </c>
      <c r="X1" s="8" t="inlineStr">
        <is>
          <t>Amount of Federal Funds Needed (FMIS):</t>
        </is>
      </c>
      <c r="Y1" s="8" t="inlineStr">
        <is>
          <t>Amount of State Funds Needed (FMIS):</t>
        </is>
      </c>
    </row>
    <row r="2" ht="46.8" customHeight="1">
      <c r="A2" s="4">
        <f>IF('CML Report'!E14=0," ",'CML Report'!E14)</f>
        <v/>
      </c>
      <c r="B2" s="88">
        <f>IF('CML Report'!E8=0," ",'CML Report'!E8)</f>
        <v/>
      </c>
      <c r="C2" s="88">
        <f>IF('CML Report'!E9=0," ",'CML Report'!E9)</f>
        <v/>
      </c>
      <c r="D2" s="88">
        <f>IF('CML Report'!E10=0," ",'CML Report'!E10)</f>
        <v/>
      </c>
      <c r="E2" s="89">
        <f>IF('CML Report'!E11=0," ",'CML Report'!E11)</f>
        <v/>
      </c>
      <c r="F2" s="88">
        <f>IF('CML Report'!E12=0," ",'CML Report'!E12)</f>
        <v/>
      </c>
      <c r="G2" s="4">
        <f>IF('CML Report'!T8=0," ",'CML Report'!T8)</f>
        <v/>
      </c>
      <c r="H2" s="4">
        <f>IF('CML Report'!T9=0," ",'CML Report'!T9)</f>
        <v/>
      </c>
      <c r="I2" s="4">
        <f>IF('CML Report'!T10=0," ",'CML Report'!T10)</f>
        <v/>
      </c>
      <c r="J2" s="4">
        <f>IF('CML Report'!T11=0," ",'CML Report'!T11)</f>
        <v/>
      </c>
      <c r="K2" s="4">
        <f>IF('CML Report'!T12=0," ",'CML Report'!T12)</f>
        <v/>
      </c>
      <c r="L2" s="5">
        <f>IF('CML Report'!T13=0,0,'CML Report'!T13)</f>
        <v/>
      </c>
      <c r="M2" s="5">
        <f>IF('CML Report'!T14=0,0,'CML Report'!T14)</f>
        <v/>
      </c>
      <c r="N2" s="5">
        <f>IF('CML Report'!T15=0,0,'CML Report'!T15)</f>
        <v/>
      </c>
      <c r="O2" s="5">
        <f>IF('CML Report'!T16=0,0,'CML Report'!T16)</f>
        <v/>
      </c>
      <c r="P2" s="4">
        <f>IF('CML Report'!T17=0," ",'CML Report'!T17)</f>
        <v/>
      </c>
      <c r="Q2" s="4">
        <f>IF('CML Report'!T19=0," ",'CML Report'!T19)</f>
        <v/>
      </c>
      <c r="R2" s="352">
        <f>IF('CML Report'!E62=0,0,'CML Report'!E62)</f>
        <v/>
      </c>
      <c r="S2" s="352">
        <f>IF('CML Report'!E63=0,0,'CML Report'!E63)</f>
        <v/>
      </c>
      <c r="T2" s="7">
        <f>IF('CML Report'!E17=0,0,'CML Report'!E17)</f>
        <v/>
      </c>
      <c r="U2" s="7">
        <f>IF('CML Report'!E18=0,0,'CML Report'!E18)</f>
        <v/>
      </c>
      <c r="V2" s="352">
        <f>IF('CML Report'!E227=0,0,'CML Report'!E227)</f>
        <v/>
      </c>
      <c r="W2" s="352">
        <f>IF('CML Report'!F385=0,0,'CML Report'!F385)</f>
        <v/>
      </c>
      <c r="X2" s="352">
        <f>IF('CML Report'!E228=0,0,'CML Report'!E228)</f>
        <v/>
      </c>
      <c r="Y2" s="352">
        <f>IF('CML Report'!E229=0,0,'CML Report'!E229)</f>
        <v/>
      </c>
    </row>
    <row r="6">
      <c r="V6" s="3"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Ayala</dc:creator>
  <dcterms:created xmlns:dcterms="http://purl.org/dc/terms/" xmlns:xsi="http://www.w3.org/2001/XMLSchema-instance" xsi:type="dcterms:W3CDTF">2021-08-24T23:52:23Z</dcterms:created>
  <dcterms:modified xmlns:dcterms="http://purl.org/dc/terms/" xmlns:xsi="http://www.w3.org/2001/XMLSchema-instance" xsi:type="dcterms:W3CDTF">2026-03-23T14:47:45Z</dcterms:modified>
  <cp:lastModifiedBy>Enrique Saavedra</cp:lastModifiedBy>
  <cp:lastPrinted>2022-01-24T15:37:10Z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0x0101004A94CD9CAC958C47B15A5BF01F82D37E</vt:lpwstr>
  </property>
</Properties>
</file>